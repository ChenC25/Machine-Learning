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Test files/"/>
    </mc:Choice>
  </mc:AlternateContent>
  <xr:revisionPtr revIDLastSave="95" documentId="8_{9C0A1593-4569-43CC-AB05-B26C2706B999}" xr6:coauthVersionLast="47" xr6:coauthVersionMax="47" xr10:uidLastSave="{9D1AEDFD-18B2-4EBF-9236-6616939953EF}"/>
  <bookViews>
    <workbookView xWindow="28680" yWindow="-120" windowWidth="38640" windowHeight="21120" xr2:uid="{BB6E22F2-A89B-42FE-828C-C741093C268A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Sheet1!$A$1:$Q$1536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38" i="1" l="1"/>
  <c r="V2" i="1"/>
  <c r="W2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V1529" i="1"/>
  <c r="W1529" i="1" s="1"/>
  <c r="V1530" i="1"/>
  <c r="W1530" i="1" s="1"/>
  <c r="V1531" i="1"/>
  <c r="W1531" i="1" s="1"/>
  <c r="V1532" i="1"/>
  <c r="W1532" i="1" s="1"/>
  <c r="V1533" i="1"/>
  <c r="V1534" i="1"/>
  <c r="V1535" i="1"/>
  <c r="V1536" i="1"/>
  <c r="W1536" i="1" s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U526" i="1" s="1"/>
  <c r="T527" i="1"/>
  <c r="U527" i="1" s="1"/>
  <c r="T528" i="1"/>
  <c r="U528" i="1" s="1"/>
  <c r="T529" i="1"/>
  <c r="U529" i="1" s="1"/>
  <c r="T530" i="1"/>
  <c r="U530" i="1" s="1"/>
  <c r="T531" i="1"/>
  <c r="U531" i="1" s="1"/>
  <c r="T532" i="1"/>
  <c r="U532" i="1" s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 s="1"/>
  <c r="T622" i="1"/>
  <c r="U622" i="1" s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 s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U697" i="1" s="1"/>
  <c r="T698" i="1"/>
  <c r="U698" i="1" s="1"/>
  <c r="T699" i="1"/>
  <c r="U699" i="1" s="1"/>
  <c r="T700" i="1"/>
  <c r="U700" i="1" s="1"/>
  <c r="T701" i="1"/>
  <c r="U701" i="1" s="1"/>
  <c r="T702" i="1"/>
  <c r="U702" i="1" s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U709" i="1" s="1"/>
  <c r="T710" i="1"/>
  <c r="U710" i="1" s="1"/>
  <c r="T711" i="1"/>
  <c r="U711" i="1" s="1"/>
  <c r="T712" i="1"/>
  <c r="U712" i="1" s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U718" i="1" s="1"/>
  <c r="T719" i="1"/>
  <c r="U719" i="1" s="1"/>
  <c r="T720" i="1"/>
  <c r="U720" i="1" s="1"/>
  <c r="T721" i="1"/>
  <c r="U721" i="1" s="1"/>
  <c r="T722" i="1"/>
  <c r="U722" i="1" s="1"/>
  <c r="T723" i="1"/>
  <c r="U723" i="1" s="1"/>
  <c r="T724" i="1"/>
  <c r="U724" i="1" s="1"/>
  <c r="T725" i="1"/>
  <c r="U725" i="1" s="1"/>
  <c r="T726" i="1"/>
  <c r="U726" i="1" s="1"/>
  <c r="T727" i="1"/>
  <c r="U727" i="1" s="1"/>
  <c r="T728" i="1"/>
  <c r="U728" i="1" s="1"/>
  <c r="T729" i="1"/>
  <c r="U729" i="1" s="1"/>
  <c r="T730" i="1"/>
  <c r="U730" i="1" s="1"/>
  <c r="T731" i="1"/>
  <c r="U731" i="1" s="1"/>
  <c r="T732" i="1"/>
  <c r="U732" i="1" s="1"/>
  <c r="T733" i="1"/>
  <c r="U733" i="1" s="1"/>
  <c r="T734" i="1"/>
  <c r="U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4" i="1"/>
  <c r="U744" i="1" s="1"/>
  <c r="T745" i="1"/>
  <c r="U745" i="1" s="1"/>
  <c r="T746" i="1"/>
  <c r="U746" i="1" s="1"/>
  <c r="T747" i="1"/>
  <c r="U747" i="1" s="1"/>
  <c r="T748" i="1"/>
  <c r="U748" i="1" s="1"/>
  <c r="T749" i="1"/>
  <c r="U749" i="1" s="1"/>
  <c r="T750" i="1"/>
  <c r="U750" i="1" s="1"/>
  <c r="T751" i="1"/>
  <c r="U751" i="1" s="1"/>
  <c r="T752" i="1"/>
  <c r="U752" i="1" s="1"/>
  <c r="T753" i="1"/>
  <c r="U753" i="1" s="1"/>
  <c r="T754" i="1"/>
  <c r="U754" i="1" s="1"/>
  <c r="T755" i="1"/>
  <c r="U755" i="1" s="1"/>
  <c r="T756" i="1"/>
  <c r="U756" i="1" s="1"/>
  <c r="T757" i="1"/>
  <c r="U757" i="1" s="1"/>
  <c r="T758" i="1"/>
  <c r="U758" i="1" s="1"/>
  <c r="T759" i="1"/>
  <c r="U759" i="1" s="1"/>
  <c r="T760" i="1"/>
  <c r="U760" i="1" s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U766" i="1" s="1"/>
  <c r="T767" i="1"/>
  <c r="U767" i="1" s="1"/>
  <c r="T768" i="1"/>
  <c r="U768" i="1" s="1"/>
  <c r="T769" i="1"/>
  <c r="U769" i="1" s="1"/>
  <c r="T770" i="1"/>
  <c r="U770" i="1" s="1"/>
  <c r="T771" i="1"/>
  <c r="U771" i="1" s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U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U791" i="1" s="1"/>
  <c r="T792" i="1"/>
  <c r="U792" i="1" s="1"/>
  <c r="T793" i="1"/>
  <c r="U793" i="1" s="1"/>
  <c r="T794" i="1"/>
  <c r="U794" i="1" s="1"/>
  <c r="T795" i="1"/>
  <c r="U795" i="1" s="1"/>
  <c r="T796" i="1"/>
  <c r="U796" i="1" s="1"/>
  <c r="T797" i="1"/>
  <c r="U797" i="1" s="1"/>
  <c r="T798" i="1"/>
  <c r="U798" i="1" s="1"/>
  <c r="T799" i="1"/>
  <c r="U799" i="1" s="1"/>
  <c r="T800" i="1"/>
  <c r="U800" i="1" s="1"/>
  <c r="T801" i="1"/>
  <c r="U801" i="1" s="1"/>
  <c r="T802" i="1"/>
  <c r="U802" i="1" s="1"/>
  <c r="T803" i="1"/>
  <c r="U803" i="1" s="1"/>
  <c r="T804" i="1"/>
  <c r="U804" i="1" s="1"/>
  <c r="T805" i="1"/>
  <c r="U805" i="1" s="1"/>
  <c r="T806" i="1"/>
  <c r="U806" i="1" s="1"/>
  <c r="T807" i="1"/>
  <c r="U807" i="1" s="1"/>
  <c r="T808" i="1"/>
  <c r="U808" i="1" s="1"/>
  <c r="T809" i="1"/>
  <c r="U809" i="1" s="1"/>
  <c r="T810" i="1"/>
  <c r="U810" i="1" s="1"/>
  <c r="T811" i="1"/>
  <c r="U811" i="1" s="1"/>
  <c r="T812" i="1"/>
  <c r="U812" i="1" s="1"/>
  <c r="T813" i="1"/>
  <c r="U813" i="1" s="1"/>
  <c r="T814" i="1"/>
  <c r="U814" i="1" s="1"/>
  <c r="T815" i="1"/>
  <c r="U815" i="1" s="1"/>
  <c r="T816" i="1"/>
  <c r="U816" i="1" s="1"/>
  <c r="T817" i="1"/>
  <c r="U817" i="1" s="1"/>
  <c r="T818" i="1"/>
  <c r="U818" i="1" s="1"/>
  <c r="T819" i="1"/>
  <c r="U819" i="1" s="1"/>
  <c r="T820" i="1"/>
  <c r="U820" i="1" s="1"/>
  <c r="T821" i="1"/>
  <c r="U821" i="1" s="1"/>
  <c r="T822" i="1"/>
  <c r="U822" i="1" s="1"/>
  <c r="T823" i="1"/>
  <c r="U823" i="1" s="1"/>
  <c r="T824" i="1"/>
  <c r="U824" i="1" s="1"/>
  <c r="T825" i="1"/>
  <c r="U825" i="1" s="1"/>
  <c r="T826" i="1"/>
  <c r="U826" i="1" s="1"/>
  <c r="T827" i="1"/>
  <c r="U827" i="1" s="1"/>
  <c r="T828" i="1"/>
  <c r="U828" i="1" s="1"/>
  <c r="T829" i="1"/>
  <c r="U829" i="1" s="1"/>
  <c r="T830" i="1"/>
  <c r="U830" i="1" s="1"/>
  <c r="T831" i="1"/>
  <c r="U831" i="1" s="1"/>
  <c r="T832" i="1"/>
  <c r="U832" i="1" s="1"/>
  <c r="T833" i="1"/>
  <c r="U833" i="1" s="1"/>
  <c r="T834" i="1"/>
  <c r="U834" i="1" s="1"/>
  <c r="T835" i="1"/>
  <c r="U835" i="1" s="1"/>
  <c r="T836" i="1"/>
  <c r="U836" i="1" s="1"/>
  <c r="T837" i="1"/>
  <c r="U837" i="1" s="1"/>
  <c r="T838" i="1"/>
  <c r="U838" i="1" s="1"/>
  <c r="T839" i="1"/>
  <c r="U839" i="1" s="1"/>
  <c r="T840" i="1"/>
  <c r="U840" i="1" s="1"/>
  <c r="T841" i="1"/>
  <c r="U841" i="1" s="1"/>
  <c r="T842" i="1"/>
  <c r="U842" i="1" s="1"/>
  <c r="T843" i="1"/>
  <c r="U843" i="1" s="1"/>
  <c r="T844" i="1"/>
  <c r="U844" i="1" s="1"/>
  <c r="T845" i="1"/>
  <c r="U845" i="1" s="1"/>
  <c r="T846" i="1"/>
  <c r="U846" i="1" s="1"/>
  <c r="T847" i="1"/>
  <c r="U847" i="1" s="1"/>
  <c r="T848" i="1"/>
  <c r="U848" i="1" s="1"/>
  <c r="T849" i="1"/>
  <c r="U849" i="1" s="1"/>
  <c r="T850" i="1"/>
  <c r="U850" i="1" s="1"/>
  <c r="T851" i="1"/>
  <c r="U851" i="1" s="1"/>
  <c r="T852" i="1"/>
  <c r="U852" i="1" s="1"/>
  <c r="T853" i="1"/>
  <c r="U853" i="1" s="1"/>
  <c r="T854" i="1"/>
  <c r="U854" i="1" s="1"/>
  <c r="T855" i="1"/>
  <c r="U855" i="1" s="1"/>
  <c r="T856" i="1"/>
  <c r="U856" i="1" s="1"/>
  <c r="T857" i="1"/>
  <c r="U857" i="1" s="1"/>
  <c r="T858" i="1"/>
  <c r="U858" i="1" s="1"/>
  <c r="T859" i="1"/>
  <c r="U859" i="1" s="1"/>
  <c r="T860" i="1"/>
  <c r="U860" i="1" s="1"/>
  <c r="T861" i="1"/>
  <c r="U861" i="1" s="1"/>
  <c r="T862" i="1"/>
  <c r="U862" i="1" s="1"/>
  <c r="T863" i="1"/>
  <c r="U863" i="1" s="1"/>
  <c r="T864" i="1"/>
  <c r="U864" i="1" s="1"/>
  <c r="T865" i="1"/>
  <c r="U865" i="1" s="1"/>
  <c r="T866" i="1"/>
  <c r="U866" i="1" s="1"/>
  <c r="T867" i="1"/>
  <c r="U867" i="1" s="1"/>
  <c r="T868" i="1"/>
  <c r="U868" i="1" s="1"/>
  <c r="T869" i="1"/>
  <c r="U869" i="1" s="1"/>
  <c r="T870" i="1"/>
  <c r="U870" i="1" s="1"/>
  <c r="T871" i="1"/>
  <c r="U871" i="1" s="1"/>
  <c r="T872" i="1"/>
  <c r="U872" i="1" s="1"/>
  <c r="T873" i="1"/>
  <c r="U873" i="1" s="1"/>
  <c r="T874" i="1"/>
  <c r="U874" i="1" s="1"/>
  <c r="T875" i="1"/>
  <c r="U875" i="1" s="1"/>
  <c r="T876" i="1"/>
  <c r="U876" i="1" s="1"/>
  <c r="T877" i="1"/>
  <c r="U877" i="1" s="1"/>
  <c r="T878" i="1"/>
  <c r="U878" i="1" s="1"/>
  <c r="T879" i="1"/>
  <c r="U879" i="1" s="1"/>
  <c r="T880" i="1"/>
  <c r="U880" i="1" s="1"/>
  <c r="T881" i="1"/>
  <c r="U881" i="1" s="1"/>
  <c r="T882" i="1"/>
  <c r="U882" i="1" s="1"/>
  <c r="T883" i="1"/>
  <c r="U883" i="1" s="1"/>
  <c r="T884" i="1"/>
  <c r="U884" i="1" s="1"/>
  <c r="T885" i="1"/>
  <c r="U885" i="1" s="1"/>
  <c r="T886" i="1"/>
  <c r="U886" i="1" s="1"/>
  <c r="T887" i="1"/>
  <c r="U887" i="1" s="1"/>
  <c r="T888" i="1"/>
  <c r="U888" i="1" s="1"/>
  <c r="T889" i="1"/>
  <c r="U889" i="1" s="1"/>
  <c r="T890" i="1"/>
  <c r="U890" i="1" s="1"/>
  <c r="T891" i="1"/>
  <c r="U891" i="1" s="1"/>
  <c r="T892" i="1"/>
  <c r="U892" i="1" s="1"/>
  <c r="T893" i="1"/>
  <c r="U893" i="1" s="1"/>
  <c r="T894" i="1"/>
  <c r="U894" i="1" s="1"/>
  <c r="T895" i="1"/>
  <c r="U895" i="1" s="1"/>
  <c r="T896" i="1"/>
  <c r="U896" i="1" s="1"/>
  <c r="T897" i="1"/>
  <c r="U897" i="1" s="1"/>
  <c r="T898" i="1"/>
  <c r="U898" i="1" s="1"/>
  <c r="T899" i="1"/>
  <c r="U899" i="1" s="1"/>
  <c r="T900" i="1"/>
  <c r="U900" i="1" s="1"/>
  <c r="T901" i="1"/>
  <c r="U901" i="1" s="1"/>
  <c r="T902" i="1"/>
  <c r="U902" i="1" s="1"/>
  <c r="T903" i="1"/>
  <c r="U903" i="1" s="1"/>
  <c r="T904" i="1"/>
  <c r="U904" i="1" s="1"/>
  <c r="T905" i="1"/>
  <c r="U905" i="1" s="1"/>
  <c r="T906" i="1"/>
  <c r="U906" i="1" s="1"/>
  <c r="T907" i="1"/>
  <c r="U907" i="1" s="1"/>
  <c r="T908" i="1"/>
  <c r="U908" i="1" s="1"/>
  <c r="T909" i="1"/>
  <c r="U909" i="1" s="1"/>
  <c r="T910" i="1"/>
  <c r="U910" i="1" s="1"/>
  <c r="T911" i="1"/>
  <c r="U911" i="1" s="1"/>
  <c r="T912" i="1"/>
  <c r="U912" i="1" s="1"/>
  <c r="T913" i="1"/>
  <c r="U913" i="1" s="1"/>
  <c r="T914" i="1"/>
  <c r="U914" i="1" s="1"/>
  <c r="T915" i="1"/>
  <c r="U915" i="1" s="1"/>
  <c r="T916" i="1"/>
  <c r="U916" i="1" s="1"/>
  <c r="T917" i="1"/>
  <c r="U917" i="1" s="1"/>
  <c r="T918" i="1"/>
  <c r="U918" i="1" s="1"/>
  <c r="T919" i="1"/>
  <c r="U919" i="1" s="1"/>
  <c r="T920" i="1"/>
  <c r="U920" i="1" s="1"/>
  <c r="T921" i="1"/>
  <c r="U921" i="1" s="1"/>
  <c r="T922" i="1"/>
  <c r="U922" i="1" s="1"/>
  <c r="T923" i="1"/>
  <c r="U923" i="1" s="1"/>
  <c r="T924" i="1"/>
  <c r="U924" i="1" s="1"/>
  <c r="T925" i="1"/>
  <c r="U925" i="1" s="1"/>
  <c r="T926" i="1"/>
  <c r="U926" i="1" s="1"/>
  <c r="T927" i="1"/>
  <c r="U927" i="1" s="1"/>
  <c r="T928" i="1"/>
  <c r="U928" i="1" s="1"/>
  <c r="T929" i="1"/>
  <c r="U929" i="1" s="1"/>
  <c r="T930" i="1"/>
  <c r="U930" i="1" s="1"/>
  <c r="T931" i="1"/>
  <c r="U931" i="1" s="1"/>
  <c r="T932" i="1"/>
  <c r="U932" i="1" s="1"/>
  <c r="T933" i="1"/>
  <c r="U933" i="1" s="1"/>
  <c r="T934" i="1"/>
  <c r="U934" i="1" s="1"/>
  <c r="T935" i="1"/>
  <c r="U935" i="1" s="1"/>
  <c r="T936" i="1"/>
  <c r="U936" i="1" s="1"/>
  <c r="T937" i="1"/>
  <c r="U937" i="1" s="1"/>
  <c r="T938" i="1"/>
  <c r="U938" i="1" s="1"/>
  <c r="T939" i="1"/>
  <c r="U939" i="1" s="1"/>
  <c r="T940" i="1"/>
  <c r="U940" i="1" s="1"/>
  <c r="T941" i="1"/>
  <c r="U941" i="1" s="1"/>
  <c r="T942" i="1"/>
  <c r="U942" i="1" s="1"/>
  <c r="T943" i="1"/>
  <c r="U943" i="1" s="1"/>
  <c r="T944" i="1"/>
  <c r="U944" i="1" s="1"/>
  <c r="T945" i="1"/>
  <c r="U945" i="1" s="1"/>
  <c r="T946" i="1"/>
  <c r="U946" i="1" s="1"/>
  <c r="T947" i="1"/>
  <c r="U947" i="1" s="1"/>
  <c r="T948" i="1"/>
  <c r="U948" i="1" s="1"/>
  <c r="T949" i="1"/>
  <c r="U949" i="1" s="1"/>
  <c r="T950" i="1"/>
  <c r="U950" i="1" s="1"/>
  <c r="T951" i="1"/>
  <c r="U951" i="1" s="1"/>
  <c r="T952" i="1"/>
  <c r="U952" i="1" s="1"/>
  <c r="T953" i="1"/>
  <c r="U953" i="1" s="1"/>
  <c r="T954" i="1"/>
  <c r="U954" i="1" s="1"/>
  <c r="T955" i="1"/>
  <c r="U955" i="1" s="1"/>
  <c r="T956" i="1"/>
  <c r="U956" i="1" s="1"/>
  <c r="T957" i="1"/>
  <c r="U957" i="1" s="1"/>
  <c r="T958" i="1"/>
  <c r="U958" i="1" s="1"/>
  <c r="T959" i="1"/>
  <c r="U959" i="1" s="1"/>
  <c r="T960" i="1"/>
  <c r="U960" i="1" s="1"/>
  <c r="T961" i="1"/>
  <c r="U961" i="1" s="1"/>
  <c r="T962" i="1"/>
  <c r="U962" i="1" s="1"/>
  <c r="T963" i="1"/>
  <c r="U963" i="1" s="1"/>
  <c r="T964" i="1"/>
  <c r="U964" i="1" s="1"/>
  <c r="T965" i="1"/>
  <c r="U965" i="1" s="1"/>
  <c r="T966" i="1"/>
  <c r="U966" i="1" s="1"/>
  <c r="T967" i="1"/>
  <c r="U967" i="1" s="1"/>
  <c r="T968" i="1"/>
  <c r="U968" i="1" s="1"/>
  <c r="T969" i="1"/>
  <c r="U969" i="1" s="1"/>
  <c r="T970" i="1"/>
  <c r="U970" i="1" s="1"/>
  <c r="T971" i="1"/>
  <c r="U971" i="1" s="1"/>
  <c r="T972" i="1"/>
  <c r="U972" i="1" s="1"/>
  <c r="T973" i="1"/>
  <c r="U973" i="1" s="1"/>
  <c r="T974" i="1"/>
  <c r="U974" i="1" s="1"/>
  <c r="T975" i="1"/>
  <c r="U975" i="1" s="1"/>
  <c r="T976" i="1"/>
  <c r="U976" i="1" s="1"/>
  <c r="T977" i="1"/>
  <c r="U977" i="1" s="1"/>
  <c r="T978" i="1"/>
  <c r="U978" i="1" s="1"/>
  <c r="T979" i="1"/>
  <c r="U979" i="1" s="1"/>
  <c r="T980" i="1"/>
  <c r="U980" i="1" s="1"/>
  <c r="T981" i="1"/>
  <c r="U981" i="1" s="1"/>
  <c r="T982" i="1"/>
  <c r="U982" i="1" s="1"/>
  <c r="T983" i="1"/>
  <c r="U983" i="1" s="1"/>
  <c r="T984" i="1"/>
  <c r="U984" i="1" s="1"/>
  <c r="T985" i="1"/>
  <c r="U985" i="1" s="1"/>
  <c r="T986" i="1"/>
  <c r="U986" i="1" s="1"/>
  <c r="T987" i="1"/>
  <c r="U987" i="1" s="1"/>
  <c r="T988" i="1"/>
  <c r="U988" i="1" s="1"/>
  <c r="T989" i="1"/>
  <c r="U989" i="1" s="1"/>
  <c r="T990" i="1"/>
  <c r="U990" i="1" s="1"/>
  <c r="T991" i="1"/>
  <c r="U991" i="1" s="1"/>
  <c r="T992" i="1"/>
  <c r="U992" i="1" s="1"/>
  <c r="T993" i="1"/>
  <c r="U993" i="1" s="1"/>
  <c r="T994" i="1"/>
  <c r="U994" i="1" s="1"/>
  <c r="T995" i="1"/>
  <c r="U995" i="1" s="1"/>
  <c r="T996" i="1"/>
  <c r="U996" i="1" s="1"/>
  <c r="T997" i="1"/>
  <c r="U997" i="1" s="1"/>
  <c r="T998" i="1"/>
  <c r="U998" i="1" s="1"/>
  <c r="T999" i="1"/>
  <c r="U999" i="1" s="1"/>
  <c r="T1000" i="1"/>
  <c r="U1000" i="1" s="1"/>
  <c r="T1001" i="1"/>
  <c r="U1001" i="1" s="1"/>
  <c r="T1002" i="1"/>
  <c r="U1002" i="1" s="1"/>
  <c r="T1003" i="1"/>
  <c r="U1003" i="1" s="1"/>
  <c r="T1004" i="1"/>
  <c r="U1004" i="1" s="1"/>
  <c r="T1005" i="1"/>
  <c r="U1005" i="1" s="1"/>
  <c r="T1006" i="1"/>
  <c r="U1006" i="1" s="1"/>
  <c r="T1007" i="1"/>
  <c r="U1007" i="1" s="1"/>
  <c r="T1008" i="1"/>
  <c r="U1008" i="1" s="1"/>
  <c r="T1009" i="1"/>
  <c r="U1009" i="1" s="1"/>
  <c r="T1010" i="1"/>
  <c r="U1010" i="1" s="1"/>
  <c r="T1011" i="1"/>
  <c r="U1011" i="1" s="1"/>
  <c r="T1012" i="1"/>
  <c r="U1012" i="1" s="1"/>
  <c r="T1013" i="1"/>
  <c r="U1013" i="1" s="1"/>
  <c r="T1014" i="1"/>
  <c r="U1014" i="1" s="1"/>
  <c r="T1015" i="1"/>
  <c r="U1015" i="1" s="1"/>
  <c r="T1016" i="1"/>
  <c r="U1016" i="1" s="1"/>
  <c r="T1017" i="1"/>
  <c r="U1017" i="1" s="1"/>
  <c r="T1018" i="1"/>
  <c r="U1018" i="1" s="1"/>
  <c r="T1019" i="1"/>
  <c r="U1019" i="1" s="1"/>
  <c r="T1020" i="1"/>
  <c r="U1020" i="1" s="1"/>
  <c r="T1021" i="1"/>
  <c r="U1021" i="1" s="1"/>
  <c r="T1022" i="1"/>
  <c r="U1022" i="1" s="1"/>
  <c r="T1023" i="1"/>
  <c r="U1023" i="1" s="1"/>
  <c r="T1024" i="1"/>
  <c r="U1024" i="1" s="1"/>
  <c r="T1025" i="1"/>
  <c r="U1025" i="1" s="1"/>
  <c r="T1026" i="1"/>
  <c r="U1026" i="1" s="1"/>
  <c r="T1027" i="1"/>
  <c r="U1027" i="1" s="1"/>
  <c r="T1028" i="1"/>
  <c r="U1028" i="1" s="1"/>
  <c r="T1029" i="1"/>
  <c r="U1029" i="1" s="1"/>
  <c r="T1030" i="1"/>
  <c r="U1030" i="1" s="1"/>
  <c r="T1031" i="1"/>
  <c r="U1031" i="1" s="1"/>
  <c r="T1032" i="1"/>
  <c r="U1032" i="1" s="1"/>
  <c r="T1033" i="1"/>
  <c r="U1033" i="1" s="1"/>
  <c r="T1034" i="1"/>
  <c r="U1034" i="1" s="1"/>
  <c r="T1035" i="1"/>
  <c r="U1035" i="1" s="1"/>
  <c r="T1036" i="1"/>
  <c r="U1036" i="1" s="1"/>
  <c r="T1037" i="1"/>
  <c r="U1037" i="1" s="1"/>
  <c r="T1038" i="1"/>
  <c r="U1038" i="1" s="1"/>
  <c r="T1039" i="1"/>
  <c r="U1039" i="1" s="1"/>
  <c r="T1040" i="1"/>
  <c r="U1040" i="1" s="1"/>
  <c r="T1041" i="1"/>
  <c r="U1041" i="1" s="1"/>
  <c r="T1042" i="1"/>
  <c r="U1042" i="1" s="1"/>
  <c r="T1043" i="1"/>
  <c r="U1043" i="1" s="1"/>
  <c r="T1044" i="1"/>
  <c r="U1044" i="1" s="1"/>
  <c r="T1045" i="1"/>
  <c r="U1045" i="1" s="1"/>
  <c r="T1046" i="1"/>
  <c r="U1046" i="1" s="1"/>
  <c r="T1047" i="1"/>
  <c r="U1047" i="1" s="1"/>
  <c r="T1048" i="1"/>
  <c r="U1048" i="1" s="1"/>
  <c r="T1049" i="1"/>
  <c r="U1049" i="1" s="1"/>
  <c r="T1050" i="1"/>
  <c r="U1050" i="1" s="1"/>
  <c r="T1051" i="1"/>
  <c r="U1051" i="1" s="1"/>
  <c r="T1052" i="1"/>
  <c r="U1052" i="1" s="1"/>
  <c r="T1053" i="1"/>
  <c r="U1053" i="1" s="1"/>
  <c r="T1054" i="1"/>
  <c r="U1054" i="1" s="1"/>
  <c r="T1055" i="1"/>
  <c r="U1055" i="1" s="1"/>
  <c r="T1056" i="1"/>
  <c r="U1056" i="1" s="1"/>
  <c r="T1057" i="1"/>
  <c r="U1057" i="1" s="1"/>
  <c r="T1058" i="1"/>
  <c r="U1058" i="1" s="1"/>
  <c r="T1059" i="1"/>
  <c r="U1059" i="1" s="1"/>
  <c r="T1060" i="1"/>
  <c r="U1060" i="1" s="1"/>
  <c r="T1061" i="1"/>
  <c r="U1061" i="1" s="1"/>
  <c r="T1062" i="1"/>
  <c r="U1062" i="1" s="1"/>
  <c r="T1063" i="1"/>
  <c r="U1063" i="1" s="1"/>
  <c r="T1064" i="1"/>
  <c r="U1064" i="1" s="1"/>
  <c r="T1065" i="1"/>
  <c r="U1065" i="1" s="1"/>
  <c r="T1066" i="1"/>
  <c r="U1066" i="1" s="1"/>
  <c r="T1067" i="1"/>
  <c r="U1067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T1073" i="1"/>
  <c r="U1073" i="1" s="1"/>
  <c r="T1074" i="1"/>
  <c r="U1074" i="1" s="1"/>
  <c r="T1075" i="1"/>
  <c r="U1075" i="1" s="1"/>
  <c r="T1076" i="1"/>
  <c r="U1076" i="1" s="1"/>
  <c r="T1077" i="1"/>
  <c r="U1077" i="1" s="1"/>
  <c r="T1078" i="1"/>
  <c r="U1078" i="1" s="1"/>
  <c r="T1079" i="1"/>
  <c r="U1079" i="1" s="1"/>
  <c r="T1080" i="1"/>
  <c r="U1080" i="1" s="1"/>
  <c r="T1081" i="1"/>
  <c r="U1081" i="1" s="1"/>
  <c r="T1082" i="1"/>
  <c r="U1082" i="1" s="1"/>
  <c r="T1083" i="1"/>
  <c r="U1083" i="1" s="1"/>
  <c r="T1084" i="1"/>
  <c r="U1084" i="1" s="1"/>
  <c r="T1085" i="1"/>
  <c r="U1085" i="1" s="1"/>
  <c r="T1086" i="1"/>
  <c r="U1086" i="1" s="1"/>
  <c r="T1087" i="1"/>
  <c r="U1087" i="1" s="1"/>
  <c r="T1088" i="1"/>
  <c r="U1088" i="1" s="1"/>
  <c r="T1089" i="1"/>
  <c r="U1089" i="1" s="1"/>
  <c r="T1090" i="1"/>
  <c r="U1090" i="1" s="1"/>
  <c r="T1091" i="1"/>
  <c r="U1091" i="1" s="1"/>
  <c r="T1092" i="1"/>
  <c r="U1092" i="1" s="1"/>
  <c r="T1093" i="1"/>
  <c r="U1093" i="1" s="1"/>
  <c r="T1094" i="1"/>
  <c r="U1094" i="1" s="1"/>
  <c r="T1095" i="1"/>
  <c r="U1095" i="1" s="1"/>
  <c r="T1096" i="1"/>
  <c r="U1096" i="1" s="1"/>
  <c r="T1097" i="1"/>
  <c r="U1097" i="1" s="1"/>
  <c r="T1098" i="1"/>
  <c r="U1098" i="1" s="1"/>
  <c r="T1099" i="1"/>
  <c r="U1099" i="1" s="1"/>
  <c r="T1100" i="1"/>
  <c r="U1100" i="1" s="1"/>
  <c r="T1101" i="1"/>
  <c r="U1101" i="1" s="1"/>
  <c r="T1102" i="1"/>
  <c r="U1102" i="1" s="1"/>
  <c r="T1103" i="1"/>
  <c r="U1103" i="1" s="1"/>
  <c r="T1104" i="1"/>
  <c r="U1104" i="1" s="1"/>
  <c r="T1105" i="1"/>
  <c r="U1105" i="1" s="1"/>
  <c r="T1106" i="1"/>
  <c r="U1106" i="1" s="1"/>
  <c r="T1107" i="1"/>
  <c r="U1107" i="1" s="1"/>
  <c r="T1108" i="1"/>
  <c r="U1108" i="1" s="1"/>
  <c r="T1109" i="1"/>
  <c r="U1109" i="1" s="1"/>
  <c r="T1110" i="1"/>
  <c r="U1110" i="1" s="1"/>
  <c r="T1111" i="1"/>
  <c r="U1111" i="1" s="1"/>
  <c r="T1112" i="1"/>
  <c r="U1112" i="1" s="1"/>
  <c r="T1113" i="1"/>
  <c r="U1113" i="1" s="1"/>
  <c r="T1114" i="1"/>
  <c r="U1114" i="1" s="1"/>
  <c r="T1115" i="1"/>
  <c r="U1115" i="1" s="1"/>
  <c r="T1116" i="1"/>
  <c r="U1116" i="1" s="1"/>
  <c r="T1117" i="1"/>
  <c r="U1117" i="1" s="1"/>
  <c r="T1118" i="1"/>
  <c r="U1118" i="1" s="1"/>
  <c r="T1119" i="1"/>
  <c r="U1119" i="1" s="1"/>
  <c r="T1120" i="1"/>
  <c r="U1120" i="1" s="1"/>
  <c r="T1121" i="1"/>
  <c r="U1121" i="1" s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28" i="1"/>
  <c r="U1128" i="1" s="1"/>
  <c r="T1129" i="1"/>
  <c r="U1129" i="1" s="1"/>
  <c r="T1130" i="1"/>
  <c r="U1130" i="1" s="1"/>
  <c r="T1131" i="1"/>
  <c r="U1131" i="1" s="1"/>
  <c r="T1132" i="1"/>
  <c r="U1132" i="1" s="1"/>
  <c r="T1133" i="1"/>
  <c r="U1133" i="1" s="1"/>
  <c r="T1134" i="1"/>
  <c r="U1134" i="1" s="1"/>
  <c r="T1135" i="1"/>
  <c r="U1135" i="1" s="1"/>
  <c r="T1136" i="1"/>
  <c r="U1136" i="1" s="1"/>
  <c r="T1137" i="1"/>
  <c r="U1137" i="1" s="1"/>
  <c r="T1138" i="1"/>
  <c r="U1138" i="1" s="1"/>
  <c r="T1139" i="1"/>
  <c r="U1139" i="1" s="1"/>
  <c r="T1140" i="1"/>
  <c r="U1140" i="1" s="1"/>
  <c r="T1141" i="1"/>
  <c r="U1141" i="1" s="1"/>
  <c r="T1142" i="1"/>
  <c r="U1142" i="1" s="1"/>
  <c r="T1143" i="1"/>
  <c r="U1143" i="1" s="1"/>
  <c r="T1144" i="1"/>
  <c r="U1144" i="1" s="1"/>
  <c r="T1145" i="1"/>
  <c r="U1145" i="1" s="1"/>
  <c r="T1146" i="1"/>
  <c r="U1146" i="1" s="1"/>
  <c r="T1147" i="1"/>
  <c r="U1147" i="1" s="1"/>
  <c r="T1148" i="1"/>
  <c r="U1148" i="1" s="1"/>
  <c r="T1149" i="1"/>
  <c r="U1149" i="1" s="1"/>
  <c r="T1150" i="1"/>
  <c r="U1150" i="1" s="1"/>
  <c r="T1151" i="1"/>
  <c r="U1151" i="1" s="1"/>
  <c r="T1152" i="1"/>
  <c r="U1152" i="1" s="1"/>
  <c r="T1153" i="1"/>
  <c r="U1153" i="1" s="1"/>
  <c r="T1154" i="1"/>
  <c r="U1154" i="1" s="1"/>
  <c r="T1155" i="1"/>
  <c r="U1155" i="1" s="1"/>
  <c r="T1156" i="1"/>
  <c r="U1156" i="1" s="1"/>
  <c r="T1157" i="1"/>
  <c r="U1157" i="1" s="1"/>
  <c r="T1158" i="1"/>
  <c r="U1158" i="1" s="1"/>
  <c r="T1159" i="1"/>
  <c r="U1159" i="1" s="1"/>
  <c r="T1160" i="1"/>
  <c r="U1160" i="1" s="1"/>
  <c r="T1161" i="1"/>
  <c r="U1161" i="1" s="1"/>
  <c r="T1162" i="1"/>
  <c r="U1162" i="1" s="1"/>
  <c r="T1163" i="1"/>
  <c r="U1163" i="1" s="1"/>
  <c r="T1164" i="1"/>
  <c r="U1164" i="1" s="1"/>
  <c r="T1165" i="1"/>
  <c r="U1165" i="1" s="1"/>
  <c r="T1166" i="1"/>
  <c r="U1166" i="1" s="1"/>
  <c r="T1167" i="1"/>
  <c r="U1167" i="1" s="1"/>
  <c r="T1168" i="1"/>
  <c r="U1168" i="1" s="1"/>
  <c r="T1169" i="1"/>
  <c r="U1169" i="1" s="1"/>
  <c r="T1170" i="1"/>
  <c r="U1170" i="1" s="1"/>
  <c r="T1171" i="1"/>
  <c r="U1171" i="1" s="1"/>
  <c r="T1172" i="1"/>
  <c r="U1172" i="1" s="1"/>
  <c r="T1173" i="1"/>
  <c r="U1173" i="1" s="1"/>
  <c r="T1174" i="1"/>
  <c r="U1174" i="1" s="1"/>
  <c r="T1175" i="1"/>
  <c r="U1175" i="1" s="1"/>
  <c r="T1176" i="1"/>
  <c r="U1176" i="1" s="1"/>
  <c r="T1177" i="1"/>
  <c r="U1177" i="1" s="1"/>
  <c r="T1178" i="1"/>
  <c r="U1178" i="1" s="1"/>
  <c r="T1179" i="1"/>
  <c r="U1179" i="1" s="1"/>
  <c r="T1180" i="1"/>
  <c r="U1180" i="1" s="1"/>
  <c r="T1181" i="1"/>
  <c r="U1181" i="1" s="1"/>
  <c r="T1182" i="1"/>
  <c r="U1182" i="1" s="1"/>
  <c r="T1183" i="1"/>
  <c r="U1183" i="1" s="1"/>
  <c r="T1184" i="1"/>
  <c r="U1184" i="1" s="1"/>
  <c r="T1185" i="1"/>
  <c r="U1185" i="1" s="1"/>
  <c r="T1186" i="1"/>
  <c r="U1186" i="1" s="1"/>
  <c r="T1187" i="1"/>
  <c r="U1187" i="1" s="1"/>
  <c r="T1188" i="1"/>
  <c r="U1188" i="1" s="1"/>
  <c r="T1189" i="1"/>
  <c r="U1189" i="1" s="1"/>
  <c r="T1190" i="1"/>
  <c r="U1190" i="1" s="1"/>
  <c r="T1191" i="1"/>
  <c r="U1191" i="1" s="1"/>
  <c r="T1192" i="1"/>
  <c r="U1192" i="1" s="1"/>
  <c r="T1193" i="1"/>
  <c r="U1193" i="1" s="1"/>
  <c r="T1194" i="1"/>
  <c r="U1194" i="1" s="1"/>
  <c r="T1195" i="1"/>
  <c r="U1195" i="1" s="1"/>
  <c r="T1196" i="1"/>
  <c r="U1196" i="1" s="1"/>
  <c r="T1197" i="1"/>
  <c r="U1197" i="1" s="1"/>
  <c r="T1198" i="1"/>
  <c r="U1198" i="1" s="1"/>
  <c r="T1199" i="1"/>
  <c r="U1199" i="1" s="1"/>
  <c r="T1200" i="1"/>
  <c r="U1200" i="1" s="1"/>
  <c r="T1201" i="1"/>
  <c r="U1201" i="1" s="1"/>
  <c r="T1202" i="1"/>
  <c r="U1202" i="1" s="1"/>
  <c r="T1203" i="1"/>
  <c r="U1203" i="1" s="1"/>
  <c r="T1204" i="1"/>
  <c r="U1204" i="1" s="1"/>
  <c r="T1205" i="1"/>
  <c r="U1205" i="1" s="1"/>
  <c r="T1206" i="1"/>
  <c r="U1206" i="1" s="1"/>
  <c r="T1207" i="1"/>
  <c r="U1207" i="1" s="1"/>
  <c r="T1208" i="1"/>
  <c r="U1208" i="1" s="1"/>
  <c r="T1209" i="1"/>
  <c r="U1209" i="1" s="1"/>
  <c r="T1210" i="1"/>
  <c r="U1210" i="1" s="1"/>
  <c r="T1211" i="1"/>
  <c r="U1211" i="1" s="1"/>
  <c r="T1212" i="1"/>
  <c r="U1212" i="1" s="1"/>
  <c r="T1213" i="1"/>
  <c r="U1213" i="1" s="1"/>
  <c r="T1214" i="1"/>
  <c r="U1214" i="1" s="1"/>
  <c r="T1215" i="1"/>
  <c r="U1215" i="1" s="1"/>
  <c r="T1216" i="1"/>
  <c r="U1216" i="1" s="1"/>
  <c r="T1217" i="1"/>
  <c r="U1217" i="1" s="1"/>
  <c r="T1218" i="1"/>
  <c r="U1218" i="1" s="1"/>
  <c r="T1219" i="1"/>
  <c r="U1219" i="1" s="1"/>
  <c r="T1220" i="1"/>
  <c r="U1220" i="1" s="1"/>
  <c r="T1221" i="1"/>
  <c r="U1221" i="1" s="1"/>
  <c r="T1222" i="1"/>
  <c r="U1222" i="1" s="1"/>
  <c r="T1223" i="1"/>
  <c r="U1223" i="1" s="1"/>
  <c r="T1224" i="1"/>
  <c r="U1224" i="1" s="1"/>
  <c r="T1225" i="1"/>
  <c r="U1225" i="1" s="1"/>
  <c r="T1226" i="1"/>
  <c r="U1226" i="1" s="1"/>
  <c r="T1227" i="1"/>
  <c r="U1227" i="1" s="1"/>
  <c r="T1228" i="1"/>
  <c r="U1228" i="1" s="1"/>
  <c r="T1229" i="1"/>
  <c r="U1229" i="1" s="1"/>
  <c r="T1230" i="1"/>
  <c r="U1230" i="1" s="1"/>
  <c r="T1231" i="1"/>
  <c r="U1231" i="1" s="1"/>
  <c r="T1232" i="1"/>
  <c r="U1232" i="1" s="1"/>
  <c r="T1233" i="1"/>
  <c r="U1233" i="1" s="1"/>
  <c r="T1234" i="1"/>
  <c r="U1234" i="1" s="1"/>
  <c r="T1235" i="1"/>
  <c r="U1235" i="1" s="1"/>
  <c r="T1236" i="1"/>
  <c r="U1236" i="1" s="1"/>
  <c r="T1237" i="1"/>
  <c r="U1237" i="1" s="1"/>
  <c r="T1238" i="1"/>
  <c r="U1238" i="1" s="1"/>
  <c r="T1239" i="1"/>
  <c r="U1239" i="1" s="1"/>
  <c r="T1240" i="1"/>
  <c r="U1240" i="1" s="1"/>
  <c r="T1241" i="1"/>
  <c r="U1241" i="1" s="1"/>
  <c r="T1242" i="1"/>
  <c r="U1242" i="1" s="1"/>
  <c r="T1243" i="1"/>
  <c r="U1243" i="1" s="1"/>
  <c r="T1244" i="1"/>
  <c r="U1244" i="1" s="1"/>
  <c r="T1245" i="1"/>
  <c r="U1245" i="1" s="1"/>
  <c r="T1246" i="1"/>
  <c r="U1246" i="1" s="1"/>
  <c r="T1247" i="1"/>
  <c r="U1247" i="1" s="1"/>
  <c r="T1248" i="1"/>
  <c r="U1248" i="1" s="1"/>
  <c r="T1249" i="1"/>
  <c r="U1249" i="1" s="1"/>
  <c r="T1250" i="1"/>
  <c r="U1250" i="1" s="1"/>
  <c r="T1251" i="1"/>
  <c r="U1251" i="1" s="1"/>
  <c r="T1252" i="1"/>
  <c r="U1252" i="1" s="1"/>
  <c r="T1253" i="1"/>
  <c r="U1253" i="1" s="1"/>
  <c r="T1254" i="1"/>
  <c r="U1254" i="1" s="1"/>
  <c r="T1255" i="1"/>
  <c r="U1255" i="1" s="1"/>
  <c r="T1256" i="1"/>
  <c r="U1256" i="1" s="1"/>
  <c r="T1257" i="1"/>
  <c r="U1257" i="1" s="1"/>
  <c r="T1258" i="1"/>
  <c r="U1258" i="1" s="1"/>
  <c r="T1259" i="1"/>
  <c r="U1259" i="1" s="1"/>
  <c r="T1260" i="1"/>
  <c r="U1260" i="1" s="1"/>
  <c r="T1261" i="1"/>
  <c r="U1261" i="1" s="1"/>
  <c r="T1262" i="1"/>
  <c r="U1262" i="1" s="1"/>
  <c r="T1263" i="1"/>
  <c r="U1263" i="1" s="1"/>
  <c r="T1264" i="1"/>
  <c r="U1264" i="1" s="1"/>
  <c r="T1265" i="1"/>
  <c r="U1265" i="1" s="1"/>
  <c r="T1266" i="1"/>
  <c r="U1266" i="1" s="1"/>
  <c r="T1267" i="1"/>
  <c r="U1267" i="1" s="1"/>
  <c r="T1268" i="1"/>
  <c r="U1268" i="1" s="1"/>
  <c r="T1269" i="1"/>
  <c r="U1269" i="1" s="1"/>
  <c r="T1270" i="1"/>
  <c r="U1270" i="1" s="1"/>
  <c r="T1271" i="1"/>
  <c r="U1271" i="1" s="1"/>
  <c r="T1272" i="1"/>
  <c r="U1272" i="1" s="1"/>
  <c r="T1273" i="1"/>
  <c r="U1273" i="1" s="1"/>
  <c r="T1274" i="1"/>
  <c r="U1274" i="1" s="1"/>
  <c r="T1275" i="1"/>
  <c r="U1275" i="1" s="1"/>
  <c r="T1276" i="1"/>
  <c r="U1276" i="1" s="1"/>
  <c r="T1277" i="1"/>
  <c r="U1277" i="1" s="1"/>
  <c r="T1278" i="1"/>
  <c r="U1278" i="1" s="1"/>
  <c r="T1279" i="1"/>
  <c r="U1279" i="1" s="1"/>
  <c r="T1280" i="1"/>
  <c r="U1280" i="1" s="1"/>
  <c r="T1281" i="1"/>
  <c r="U1281" i="1" s="1"/>
  <c r="T1282" i="1"/>
  <c r="U1282" i="1" s="1"/>
  <c r="T1283" i="1"/>
  <c r="U1283" i="1" s="1"/>
  <c r="T1284" i="1"/>
  <c r="U1284" i="1" s="1"/>
  <c r="T1285" i="1"/>
  <c r="U1285" i="1" s="1"/>
  <c r="T1286" i="1"/>
  <c r="U1286" i="1" s="1"/>
  <c r="T1287" i="1"/>
  <c r="U1287" i="1" s="1"/>
  <c r="T1288" i="1"/>
  <c r="U1288" i="1" s="1"/>
  <c r="T1289" i="1"/>
  <c r="U1289" i="1" s="1"/>
  <c r="T1290" i="1"/>
  <c r="U1290" i="1" s="1"/>
  <c r="T1291" i="1"/>
  <c r="U1291" i="1" s="1"/>
  <c r="T1292" i="1"/>
  <c r="U1292" i="1" s="1"/>
  <c r="T1293" i="1"/>
  <c r="U1293" i="1" s="1"/>
  <c r="T1294" i="1"/>
  <c r="U1294" i="1" s="1"/>
  <c r="T1295" i="1"/>
  <c r="U1295" i="1" s="1"/>
  <c r="T1296" i="1"/>
  <c r="U1296" i="1" s="1"/>
  <c r="T1297" i="1"/>
  <c r="U1297" i="1" s="1"/>
  <c r="T1298" i="1"/>
  <c r="U1298" i="1" s="1"/>
  <c r="T1299" i="1"/>
  <c r="U1299" i="1" s="1"/>
  <c r="T1300" i="1"/>
  <c r="U1300" i="1" s="1"/>
  <c r="T1301" i="1"/>
  <c r="U1301" i="1" s="1"/>
  <c r="T1302" i="1"/>
  <c r="U1302" i="1" s="1"/>
  <c r="T1303" i="1"/>
  <c r="U1303" i="1" s="1"/>
  <c r="T1304" i="1"/>
  <c r="U1304" i="1" s="1"/>
  <c r="T1305" i="1"/>
  <c r="U1305" i="1" s="1"/>
  <c r="T1306" i="1"/>
  <c r="U1306" i="1" s="1"/>
  <c r="T1307" i="1"/>
  <c r="U1307" i="1" s="1"/>
  <c r="T1308" i="1"/>
  <c r="U1308" i="1" s="1"/>
  <c r="T1309" i="1"/>
  <c r="U1309" i="1" s="1"/>
  <c r="T1310" i="1"/>
  <c r="U1310" i="1" s="1"/>
  <c r="T1311" i="1"/>
  <c r="U1311" i="1" s="1"/>
  <c r="T1312" i="1"/>
  <c r="U1312" i="1" s="1"/>
  <c r="T1313" i="1"/>
  <c r="U1313" i="1" s="1"/>
  <c r="T1314" i="1"/>
  <c r="U1314" i="1" s="1"/>
  <c r="T1315" i="1"/>
  <c r="U1315" i="1" s="1"/>
  <c r="T1316" i="1"/>
  <c r="U1316" i="1" s="1"/>
  <c r="T1317" i="1"/>
  <c r="U1317" i="1" s="1"/>
  <c r="T1318" i="1"/>
  <c r="U1318" i="1" s="1"/>
  <c r="T1319" i="1"/>
  <c r="U1319" i="1" s="1"/>
  <c r="T1320" i="1"/>
  <c r="U1320" i="1" s="1"/>
  <c r="T1321" i="1"/>
  <c r="U1321" i="1" s="1"/>
  <c r="T1322" i="1"/>
  <c r="U1322" i="1" s="1"/>
  <c r="T1323" i="1"/>
  <c r="U1323" i="1" s="1"/>
  <c r="T1324" i="1"/>
  <c r="U1324" i="1" s="1"/>
  <c r="T1325" i="1"/>
  <c r="U1325" i="1" s="1"/>
  <c r="T1326" i="1"/>
  <c r="U1326" i="1" s="1"/>
  <c r="T1327" i="1"/>
  <c r="U1327" i="1" s="1"/>
  <c r="T1328" i="1"/>
  <c r="U1328" i="1" s="1"/>
  <c r="T1329" i="1"/>
  <c r="U1329" i="1" s="1"/>
  <c r="T1330" i="1"/>
  <c r="U1330" i="1" s="1"/>
  <c r="T1331" i="1"/>
  <c r="U1331" i="1" s="1"/>
  <c r="T1332" i="1"/>
  <c r="U1332" i="1" s="1"/>
  <c r="T1333" i="1"/>
  <c r="U1333" i="1" s="1"/>
  <c r="T1334" i="1"/>
  <c r="U1334" i="1" s="1"/>
  <c r="T1335" i="1"/>
  <c r="U1335" i="1" s="1"/>
  <c r="T1336" i="1"/>
  <c r="U1336" i="1" s="1"/>
  <c r="T1337" i="1"/>
  <c r="U1337" i="1" s="1"/>
  <c r="T1338" i="1"/>
  <c r="U1338" i="1" s="1"/>
  <c r="T1339" i="1"/>
  <c r="U1339" i="1" s="1"/>
  <c r="T1340" i="1"/>
  <c r="U1340" i="1" s="1"/>
  <c r="T1341" i="1"/>
  <c r="U1341" i="1" s="1"/>
  <c r="T1342" i="1"/>
  <c r="U1342" i="1" s="1"/>
  <c r="T1343" i="1"/>
  <c r="U1343" i="1" s="1"/>
  <c r="T1344" i="1"/>
  <c r="U1344" i="1" s="1"/>
  <c r="T1345" i="1"/>
  <c r="U1345" i="1" s="1"/>
  <c r="T1346" i="1"/>
  <c r="U1346" i="1" s="1"/>
  <c r="T1347" i="1"/>
  <c r="U1347" i="1" s="1"/>
  <c r="T1348" i="1"/>
  <c r="U1348" i="1" s="1"/>
  <c r="T1349" i="1"/>
  <c r="U1349" i="1" s="1"/>
  <c r="T1350" i="1"/>
  <c r="U1350" i="1" s="1"/>
  <c r="T1351" i="1"/>
  <c r="U1351" i="1" s="1"/>
  <c r="T1352" i="1"/>
  <c r="U1352" i="1" s="1"/>
  <c r="T1353" i="1"/>
  <c r="U1353" i="1" s="1"/>
  <c r="T1354" i="1"/>
  <c r="U1354" i="1" s="1"/>
  <c r="T1355" i="1"/>
  <c r="U1355" i="1" s="1"/>
  <c r="T1356" i="1"/>
  <c r="U1356" i="1" s="1"/>
  <c r="T1357" i="1"/>
  <c r="U1357" i="1" s="1"/>
  <c r="T1358" i="1"/>
  <c r="U1358" i="1" s="1"/>
  <c r="T1359" i="1"/>
  <c r="U1359" i="1" s="1"/>
  <c r="T1360" i="1"/>
  <c r="U1360" i="1" s="1"/>
  <c r="T1361" i="1"/>
  <c r="U1361" i="1" s="1"/>
  <c r="T1362" i="1"/>
  <c r="U1362" i="1" s="1"/>
  <c r="T1363" i="1"/>
  <c r="U1363" i="1" s="1"/>
  <c r="T1364" i="1"/>
  <c r="U1364" i="1" s="1"/>
  <c r="T1365" i="1"/>
  <c r="U1365" i="1" s="1"/>
  <c r="T1366" i="1"/>
  <c r="U1366" i="1" s="1"/>
  <c r="T1367" i="1"/>
  <c r="U1367" i="1" s="1"/>
  <c r="T1368" i="1"/>
  <c r="U1368" i="1" s="1"/>
  <c r="T1369" i="1"/>
  <c r="U1369" i="1" s="1"/>
  <c r="T1370" i="1"/>
  <c r="U1370" i="1" s="1"/>
  <c r="T1371" i="1"/>
  <c r="U1371" i="1" s="1"/>
  <c r="T1372" i="1"/>
  <c r="U1372" i="1" s="1"/>
  <c r="T1373" i="1"/>
  <c r="U1373" i="1" s="1"/>
  <c r="T1374" i="1"/>
  <c r="U1374" i="1" s="1"/>
  <c r="T1375" i="1"/>
  <c r="U1375" i="1" s="1"/>
  <c r="T1376" i="1"/>
  <c r="U1376" i="1" s="1"/>
  <c r="T1377" i="1"/>
  <c r="U1377" i="1" s="1"/>
  <c r="T1378" i="1"/>
  <c r="U1378" i="1" s="1"/>
  <c r="T1379" i="1"/>
  <c r="U1379" i="1" s="1"/>
  <c r="T1380" i="1"/>
  <c r="U1380" i="1" s="1"/>
  <c r="T1381" i="1"/>
  <c r="U1381" i="1" s="1"/>
  <c r="T1382" i="1"/>
  <c r="U1382" i="1" s="1"/>
  <c r="T1383" i="1"/>
  <c r="U1383" i="1" s="1"/>
  <c r="T1384" i="1"/>
  <c r="U1384" i="1" s="1"/>
  <c r="T1385" i="1"/>
  <c r="U1385" i="1" s="1"/>
  <c r="T1386" i="1"/>
  <c r="U1386" i="1" s="1"/>
  <c r="T1387" i="1"/>
  <c r="U1387" i="1" s="1"/>
  <c r="T1388" i="1"/>
  <c r="U1388" i="1" s="1"/>
  <c r="T1389" i="1"/>
  <c r="U1389" i="1" s="1"/>
  <c r="T1390" i="1"/>
  <c r="U1390" i="1" s="1"/>
  <c r="T1391" i="1"/>
  <c r="U1391" i="1" s="1"/>
  <c r="T1392" i="1"/>
  <c r="U1392" i="1" s="1"/>
  <c r="T1393" i="1"/>
  <c r="U1393" i="1" s="1"/>
  <c r="T1394" i="1"/>
  <c r="U1394" i="1" s="1"/>
  <c r="T1395" i="1"/>
  <c r="U1395" i="1" s="1"/>
  <c r="T1396" i="1"/>
  <c r="U1396" i="1" s="1"/>
  <c r="T1397" i="1"/>
  <c r="U1397" i="1" s="1"/>
  <c r="T1398" i="1"/>
  <c r="U1398" i="1" s="1"/>
  <c r="T1399" i="1"/>
  <c r="U1399" i="1" s="1"/>
  <c r="T1400" i="1"/>
  <c r="U1400" i="1" s="1"/>
  <c r="T1401" i="1"/>
  <c r="U1401" i="1" s="1"/>
  <c r="T1402" i="1"/>
  <c r="U1402" i="1" s="1"/>
  <c r="T1403" i="1"/>
  <c r="U1403" i="1" s="1"/>
  <c r="T1404" i="1"/>
  <c r="U1404" i="1" s="1"/>
  <c r="T1405" i="1"/>
  <c r="U1405" i="1" s="1"/>
  <c r="T1406" i="1"/>
  <c r="U1406" i="1" s="1"/>
  <c r="T1407" i="1"/>
  <c r="U1407" i="1" s="1"/>
  <c r="T1408" i="1"/>
  <c r="U1408" i="1" s="1"/>
  <c r="T1409" i="1"/>
  <c r="U1409" i="1" s="1"/>
  <c r="T1410" i="1"/>
  <c r="U1410" i="1" s="1"/>
  <c r="T1411" i="1"/>
  <c r="U1411" i="1" s="1"/>
  <c r="T1412" i="1"/>
  <c r="U1412" i="1" s="1"/>
  <c r="T1413" i="1"/>
  <c r="U1413" i="1" s="1"/>
  <c r="T1414" i="1"/>
  <c r="U1414" i="1" s="1"/>
  <c r="T1415" i="1"/>
  <c r="U1415" i="1" s="1"/>
  <c r="T1416" i="1"/>
  <c r="U1416" i="1" s="1"/>
  <c r="T1417" i="1"/>
  <c r="U1417" i="1" s="1"/>
  <c r="T1418" i="1"/>
  <c r="U1418" i="1" s="1"/>
  <c r="T1419" i="1"/>
  <c r="U1419" i="1" s="1"/>
  <c r="T1420" i="1"/>
  <c r="U1420" i="1" s="1"/>
  <c r="T1421" i="1"/>
  <c r="U1421" i="1" s="1"/>
  <c r="T1422" i="1"/>
  <c r="U1422" i="1" s="1"/>
  <c r="T1423" i="1"/>
  <c r="U1423" i="1" s="1"/>
  <c r="T1424" i="1"/>
  <c r="U1424" i="1" s="1"/>
  <c r="T1425" i="1"/>
  <c r="U1425" i="1" s="1"/>
  <c r="T1426" i="1"/>
  <c r="U1426" i="1" s="1"/>
  <c r="T1427" i="1"/>
  <c r="U1427" i="1" s="1"/>
  <c r="T1428" i="1"/>
  <c r="U1428" i="1" s="1"/>
  <c r="T1429" i="1"/>
  <c r="U1429" i="1" s="1"/>
  <c r="T1430" i="1"/>
  <c r="U1430" i="1" s="1"/>
  <c r="T1431" i="1"/>
  <c r="U1431" i="1" s="1"/>
  <c r="T1432" i="1"/>
  <c r="U1432" i="1" s="1"/>
  <c r="T1433" i="1"/>
  <c r="U1433" i="1" s="1"/>
  <c r="T1434" i="1"/>
  <c r="U1434" i="1" s="1"/>
  <c r="T1435" i="1"/>
  <c r="U1435" i="1" s="1"/>
  <c r="T1436" i="1"/>
  <c r="U1436" i="1" s="1"/>
  <c r="T1437" i="1"/>
  <c r="U1437" i="1" s="1"/>
  <c r="T1438" i="1"/>
  <c r="U1438" i="1" s="1"/>
  <c r="T1439" i="1"/>
  <c r="U1439" i="1" s="1"/>
  <c r="T1440" i="1"/>
  <c r="U1440" i="1" s="1"/>
  <c r="T1441" i="1"/>
  <c r="U1441" i="1" s="1"/>
  <c r="T1442" i="1"/>
  <c r="U1442" i="1" s="1"/>
  <c r="T1443" i="1"/>
  <c r="U1443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U1453" i="1" s="1"/>
  <c r="T1454" i="1"/>
  <c r="U1454" i="1" s="1"/>
  <c r="T1455" i="1"/>
  <c r="U1455" i="1" s="1"/>
  <c r="T1456" i="1"/>
  <c r="U1456" i="1" s="1"/>
  <c r="T1457" i="1"/>
  <c r="U1457" i="1" s="1"/>
  <c r="T1458" i="1"/>
  <c r="U1458" i="1" s="1"/>
  <c r="T1459" i="1"/>
  <c r="U1459" i="1" s="1"/>
  <c r="T1460" i="1"/>
  <c r="U1460" i="1" s="1"/>
  <c r="T1461" i="1"/>
  <c r="U1461" i="1" s="1"/>
  <c r="T1462" i="1"/>
  <c r="U1462" i="1" s="1"/>
  <c r="T1463" i="1"/>
  <c r="U1463" i="1" s="1"/>
  <c r="T1464" i="1"/>
  <c r="U1464" i="1" s="1"/>
  <c r="T1465" i="1"/>
  <c r="U1465" i="1" s="1"/>
  <c r="T1466" i="1"/>
  <c r="U1466" i="1" s="1"/>
  <c r="T1467" i="1"/>
  <c r="U1467" i="1" s="1"/>
  <c r="T1468" i="1"/>
  <c r="U1468" i="1" s="1"/>
  <c r="T1469" i="1"/>
  <c r="U1469" i="1" s="1"/>
  <c r="T1470" i="1"/>
  <c r="U1470" i="1" s="1"/>
  <c r="T1471" i="1"/>
  <c r="U1471" i="1" s="1"/>
  <c r="T1472" i="1"/>
  <c r="U1472" i="1" s="1"/>
  <c r="T1473" i="1"/>
  <c r="U1473" i="1" s="1"/>
  <c r="T1474" i="1"/>
  <c r="U1474" i="1" s="1"/>
  <c r="T1475" i="1"/>
  <c r="U1475" i="1" s="1"/>
  <c r="T1476" i="1"/>
  <c r="U1476" i="1" s="1"/>
  <c r="T1477" i="1"/>
  <c r="U1477" i="1" s="1"/>
  <c r="T1478" i="1"/>
  <c r="U1478" i="1" s="1"/>
  <c r="T1479" i="1"/>
  <c r="U1479" i="1" s="1"/>
  <c r="T1480" i="1"/>
  <c r="U1480" i="1" s="1"/>
  <c r="T1481" i="1"/>
  <c r="U1481" i="1" s="1"/>
  <c r="T1482" i="1"/>
  <c r="U1482" i="1" s="1"/>
  <c r="T1483" i="1"/>
  <c r="U1483" i="1" s="1"/>
  <c r="T1484" i="1"/>
  <c r="U1484" i="1" s="1"/>
  <c r="T1485" i="1"/>
  <c r="U1485" i="1" s="1"/>
  <c r="T1486" i="1"/>
  <c r="U1486" i="1" s="1"/>
  <c r="T1487" i="1"/>
  <c r="U1487" i="1" s="1"/>
  <c r="T1488" i="1"/>
  <c r="U1488" i="1" s="1"/>
  <c r="T1489" i="1"/>
  <c r="U1489" i="1" s="1"/>
  <c r="T1490" i="1"/>
  <c r="U1490" i="1" s="1"/>
  <c r="T1491" i="1"/>
  <c r="U1491" i="1" s="1"/>
  <c r="T1492" i="1"/>
  <c r="U1492" i="1" s="1"/>
  <c r="T1493" i="1"/>
  <c r="U1493" i="1" s="1"/>
  <c r="T1494" i="1"/>
  <c r="U1494" i="1" s="1"/>
  <c r="T1495" i="1"/>
  <c r="U1495" i="1" s="1"/>
  <c r="T1496" i="1"/>
  <c r="U1496" i="1" s="1"/>
  <c r="T1497" i="1"/>
  <c r="U1497" i="1" s="1"/>
  <c r="T1498" i="1"/>
  <c r="U1498" i="1" s="1"/>
  <c r="T1499" i="1"/>
  <c r="U1499" i="1" s="1"/>
  <c r="T1500" i="1"/>
  <c r="U1500" i="1" s="1"/>
  <c r="T1501" i="1"/>
  <c r="U1501" i="1" s="1"/>
  <c r="T1502" i="1"/>
  <c r="U1502" i="1" s="1"/>
  <c r="T1503" i="1"/>
  <c r="U1503" i="1" s="1"/>
  <c r="T1504" i="1"/>
  <c r="U1504" i="1" s="1"/>
  <c r="T1505" i="1"/>
  <c r="U1505" i="1" s="1"/>
  <c r="T1506" i="1"/>
  <c r="U1506" i="1" s="1"/>
  <c r="T1507" i="1"/>
  <c r="U1507" i="1" s="1"/>
  <c r="T1508" i="1"/>
  <c r="U1508" i="1" s="1"/>
  <c r="T1509" i="1"/>
  <c r="U1509" i="1" s="1"/>
  <c r="T1510" i="1"/>
  <c r="U1510" i="1" s="1"/>
  <c r="T1511" i="1"/>
  <c r="U1511" i="1" s="1"/>
  <c r="T1512" i="1"/>
  <c r="U1512" i="1" s="1"/>
  <c r="T1513" i="1"/>
  <c r="U1513" i="1" s="1"/>
  <c r="T1514" i="1"/>
  <c r="U1514" i="1" s="1"/>
  <c r="T1515" i="1"/>
  <c r="U1515" i="1" s="1"/>
  <c r="T1516" i="1"/>
  <c r="U1516" i="1" s="1"/>
  <c r="T1517" i="1"/>
  <c r="U1517" i="1" s="1"/>
  <c r="T1518" i="1"/>
  <c r="U1518" i="1" s="1"/>
  <c r="T1519" i="1"/>
  <c r="U1519" i="1" s="1"/>
  <c r="T1520" i="1"/>
  <c r="U1520" i="1" s="1"/>
  <c r="T1521" i="1"/>
  <c r="U1521" i="1" s="1"/>
  <c r="T1522" i="1"/>
  <c r="U1522" i="1" s="1"/>
  <c r="T1523" i="1"/>
  <c r="U1523" i="1" s="1"/>
  <c r="T1524" i="1"/>
  <c r="U1524" i="1" s="1"/>
  <c r="T1525" i="1"/>
  <c r="U1525" i="1" s="1"/>
  <c r="T1526" i="1"/>
  <c r="U1526" i="1" s="1"/>
  <c r="T1527" i="1"/>
  <c r="U1527" i="1" s="1"/>
  <c r="T1528" i="1"/>
  <c r="T1529" i="1"/>
  <c r="U1529" i="1" s="1"/>
  <c r="T1530" i="1"/>
  <c r="U1530" i="1" s="1"/>
  <c r="T1531" i="1"/>
  <c r="U1531" i="1" s="1"/>
  <c r="T1532" i="1"/>
  <c r="U1532" i="1" s="1"/>
  <c r="T1533" i="1"/>
  <c r="T1534" i="1"/>
  <c r="T1535" i="1"/>
  <c r="T1536" i="1"/>
  <c r="U1536" i="1" s="1"/>
  <c r="T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R1529" i="1"/>
  <c r="S1529" i="1" s="1"/>
  <c r="R1530" i="1"/>
  <c r="S1530" i="1" s="1"/>
  <c r="R1531" i="1"/>
  <c r="S1531" i="1" s="1"/>
  <c r="R1532" i="1"/>
  <c r="S1532" i="1" s="1"/>
  <c r="R1533" i="1"/>
  <c r="R1534" i="1"/>
  <c r="R1535" i="1"/>
  <c r="R1536" i="1"/>
  <c r="S1536" i="1" s="1"/>
  <c r="R2" i="1"/>
  <c r="Z3" i="1" s="1"/>
  <c r="AA3" i="1" l="1"/>
  <c r="T1538" i="1"/>
  <c r="U2" i="1"/>
  <c r="R1538" i="1"/>
  <c r="S2" i="1"/>
  <c r="V1538" i="1"/>
</calcChain>
</file>

<file path=xl/sharedStrings.xml><?xml version="1.0" encoding="utf-8"?>
<sst xmlns="http://schemas.openxmlformats.org/spreadsheetml/2006/main" count="13799" uniqueCount="1994">
  <si>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</si>
  <si>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</si>
  <si>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</si>
  <si>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</si>
  <si>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</si>
  <si>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</si>
  <si>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</si>
  <si>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</si>
  <si>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</si>
  <si>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</si>
  <si>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</si>
  <si>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</si>
  <si>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19UUB3F56FA007619</t>
  </si>
  <si>
    <t>ACURA</t>
  </si>
  <si>
    <t>TLX</t>
  </si>
  <si>
    <t>Grade 3.6</t>
  </si>
  <si>
    <t>Certified</t>
  </si>
  <si>
    <t>Yes</t>
  </si>
  <si>
    <t>No</t>
  </si>
  <si>
    <t>19VDE1F31EE002566</t>
  </si>
  <si>
    <t>ILX</t>
  </si>
  <si>
    <t>Grade 1.9</t>
  </si>
  <si>
    <t>Inoperable</t>
  </si>
  <si>
    <t>19VDE1F59DE016165</t>
  </si>
  <si>
    <t>Grade 2.7</t>
  </si>
  <si>
    <t>Red Light</t>
  </si>
  <si>
    <t>19VDE1F76EE008995</t>
  </si>
  <si>
    <t>Grade 2.1</t>
  </si>
  <si>
    <t>Green Light</t>
  </si>
  <si>
    <t>19XFB2F52EE254584</t>
  </si>
  <si>
    <t>HONDA</t>
  </si>
  <si>
    <t>CIVIC</t>
  </si>
  <si>
    <t>Grade 1.3</t>
  </si>
  <si>
    <t>Green/Yellow</t>
  </si>
  <si>
    <t>19XFB2F56CE009350</t>
  </si>
  <si>
    <t>19XFB2F84CE067726</t>
  </si>
  <si>
    <t>Grade 2.8</t>
  </si>
  <si>
    <t>19XFC2F55GE004305</t>
  </si>
  <si>
    <t>Grade 1.5</t>
  </si>
  <si>
    <t>19XFC2F62KE028904</t>
  </si>
  <si>
    <t>Grade 2.9</t>
  </si>
  <si>
    <t>19XFC2F66LE216231</t>
  </si>
  <si>
    <t>Grade 2.6</t>
  </si>
  <si>
    <t>19XFC2F75HE021009</t>
  </si>
  <si>
    <t>Grade 3.1</t>
  </si>
  <si>
    <t>1C3BC2FB4BN520099</t>
  </si>
  <si>
    <t>CHRYSLER</t>
  </si>
  <si>
    <t>Grade 3.9</t>
  </si>
  <si>
    <t>1C3CCBBB8CN120929</t>
  </si>
  <si>
    <t>200 4C</t>
  </si>
  <si>
    <t>1C3CCBHG5CN183697</t>
  </si>
  <si>
    <t>200 V6</t>
  </si>
  <si>
    <t>1C3CCCAB3FN502636</t>
  </si>
  <si>
    <t>200 FWD 4C</t>
  </si>
  <si>
    <t>1C3CCCAB3FN622906</t>
  </si>
  <si>
    <t>1C3CCCAB3FN732922</t>
  </si>
  <si>
    <t>1C3CCCAB4GN185015</t>
  </si>
  <si>
    <t>Grade 2.3</t>
  </si>
  <si>
    <t>1C3CCCAB5GN183595</t>
  </si>
  <si>
    <t>Grade 4.1</t>
  </si>
  <si>
    <t>1C3CCCAB6FN504414</t>
  </si>
  <si>
    <t>Grade 1.8</t>
  </si>
  <si>
    <t>1C3CCCAB6FN744272</t>
  </si>
  <si>
    <t>1C3CCCAB8FN667968</t>
  </si>
  <si>
    <t>Grade 3.5</t>
  </si>
  <si>
    <t>1C3CCCAG7GN143529</t>
  </si>
  <si>
    <t>Grade 1.7</t>
  </si>
  <si>
    <t>1C3CCCAG9GN153804</t>
  </si>
  <si>
    <t>200 FWD V6</t>
  </si>
  <si>
    <t>1C3CCCBB4FN721622</t>
  </si>
  <si>
    <t>1C3CCCBB5GN125761</t>
  </si>
  <si>
    <t>1C3CCCBB7FN663487</t>
  </si>
  <si>
    <t>1C3CCCBG6FN506254</t>
  </si>
  <si>
    <t>Grade 2.4</t>
  </si>
  <si>
    <t>1C3CCCBG8FN522262</t>
  </si>
  <si>
    <t>1C3CCCCB5GN109087</t>
  </si>
  <si>
    <t>1C3CCCCG9FN514315</t>
  </si>
  <si>
    <t>Grade 3.2</t>
  </si>
  <si>
    <t>1C3CCCDG4FN673838</t>
  </si>
  <si>
    <t>Grade 2.0</t>
  </si>
  <si>
    <t>1C3CCCDG4GN123170</t>
  </si>
  <si>
    <t>Grade 2.5</t>
  </si>
  <si>
    <t>1C3CDFBB2FD237677</t>
  </si>
  <si>
    <t>DODGE</t>
  </si>
  <si>
    <t>DART</t>
  </si>
  <si>
    <t>1C3CDFBB2FD362419</t>
  </si>
  <si>
    <t>1C3CDFBB3GD717308</t>
  </si>
  <si>
    <t>Grade 2.2</t>
  </si>
  <si>
    <t>1C3CDFCB9FD243877</t>
  </si>
  <si>
    <t>1C3CDFFA1GD820664</t>
  </si>
  <si>
    <t>1C3CDZAB9EN222282</t>
  </si>
  <si>
    <t>AVENGER</t>
  </si>
  <si>
    <t>Grade 3.7</t>
  </si>
  <si>
    <t>1C3CDZBG0CN312864</t>
  </si>
  <si>
    <t>AVENGER V6</t>
  </si>
  <si>
    <t>1C4BJWDG3FL607176</t>
  </si>
  <si>
    <t>JEEP</t>
  </si>
  <si>
    <t>WRANG UNLTD</t>
  </si>
  <si>
    <t>1C4BJWDG5FL508939</t>
  </si>
  <si>
    <t>1C4BJWEG0GL141836</t>
  </si>
  <si>
    <t>WRANGLER UNLIMITED</t>
  </si>
  <si>
    <t>Grade 4.6</t>
  </si>
  <si>
    <t>1C4HJXDN4MW531395</t>
  </si>
  <si>
    <t>Grade 3.4</t>
  </si>
  <si>
    <t>1C4NJCBA3GD560012</t>
  </si>
  <si>
    <t>COMPASS FWD 4C</t>
  </si>
  <si>
    <t>1C4NJCEA0GD633428</t>
  </si>
  <si>
    <t>COMPASS</t>
  </si>
  <si>
    <t>1C4NJCEA1GD773830</t>
  </si>
  <si>
    <t>1C4NJCEA3GD744541</t>
  </si>
  <si>
    <t>1C4NJCEA9ED766590</t>
  </si>
  <si>
    <t>1C4NJCEA9GD769427</t>
  </si>
  <si>
    <t>Grade 1.0</t>
  </si>
  <si>
    <t>1C4NJCEB5HD198853</t>
  </si>
  <si>
    <t>1C4NJCEBXHD185001</t>
  </si>
  <si>
    <t>Grade 4.2</t>
  </si>
  <si>
    <t>1C4NJDBB0GD662642</t>
  </si>
  <si>
    <t>COMPASS 4X4 4C</t>
  </si>
  <si>
    <t>1C4NJDBB2HD104602</t>
  </si>
  <si>
    <t>1C4NJDEB3CD537821</t>
  </si>
  <si>
    <t>1C4NJDEB3ED892104</t>
  </si>
  <si>
    <t>1C4NJDEB8ED546419</t>
  </si>
  <si>
    <t>1C4NJDEB8HD192485</t>
  </si>
  <si>
    <t>1C4NJDEB9FD208108</t>
  </si>
  <si>
    <t>1C4NJDEBXED622285</t>
  </si>
  <si>
    <t>Grade 4.4</t>
  </si>
  <si>
    <t>1C4NJPBA1GD514203</t>
  </si>
  <si>
    <t>PATRIOT FWD 4C</t>
  </si>
  <si>
    <t>1C4NJPBA3HD145989</t>
  </si>
  <si>
    <t>1C4NJPBA3HD146141</t>
  </si>
  <si>
    <t>PATRIOT</t>
  </si>
  <si>
    <t>1C4NJPBA4ED775001</t>
  </si>
  <si>
    <t>Grade 1.4</t>
  </si>
  <si>
    <t>1C4NJPBA6HD171258</t>
  </si>
  <si>
    <t>Salvage</t>
  </si>
  <si>
    <t>1C4NJPBB6CD686360</t>
  </si>
  <si>
    <t>1C4NJPFA6HD158679</t>
  </si>
  <si>
    <t>1C4NJPFA8HD137946</t>
  </si>
  <si>
    <t>1C4NJRBB2FD231277</t>
  </si>
  <si>
    <t>1C4NJRBB3ED808994</t>
  </si>
  <si>
    <t>PATRIOT 4X4 4C</t>
  </si>
  <si>
    <t>1C4NJRBB7FD215687</t>
  </si>
  <si>
    <t>1C4NJRBB8ED511722</t>
  </si>
  <si>
    <t>1C4NJRFB0GD725228</t>
  </si>
  <si>
    <t>Grade 1.6</t>
  </si>
  <si>
    <t>1C4NJRFB2ED824730</t>
  </si>
  <si>
    <t>1C4NJRFB2GD627771</t>
  </si>
  <si>
    <t>1C4NJRFB3FD155367</t>
  </si>
  <si>
    <t>1C4NJRFB5FD245863</t>
  </si>
  <si>
    <t>1C4NJRFB5GD658769</t>
  </si>
  <si>
    <t>1C4NJRFB6ED858718</t>
  </si>
  <si>
    <t>1C4NJRFB7FD155341</t>
  </si>
  <si>
    <t>1C4NJRFB9ED664586</t>
  </si>
  <si>
    <t>1C4PJLAB1FW617314</t>
  </si>
  <si>
    <t>CHEROKEE</t>
  </si>
  <si>
    <t>1C4PJLCB1GW329887</t>
  </si>
  <si>
    <t>CHEROKEE FWD 4C</t>
  </si>
  <si>
    <t>1C4PJLCB5GW342674</t>
  </si>
  <si>
    <t>Grade 4.5</t>
  </si>
  <si>
    <t>1C4PJLCB8EW126458</t>
  </si>
  <si>
    <t>1C4PJLCB8GW217152</t>
  </si>
  <si>
    <t>Grade 4.7</t>
  </si>
  <si>
    <t>1C4PJLCB8KD344407</t>
  </si>
  <si>
    <t>1C4PJLCB9GW126164</t>
  </si>
  <si>
    <t>Grade 3.3</t>
  </si>
  <si>
    <t>1C4PJLCB9LD648735</t>
  </si>
  <si>
    <t>1C4PJLCS2FW535671</t>
  </si>
  <si>
    <t>1C4PJLCS9HW613446</t>
  </si>
  <si>
    <t>1C4PJLCSXHW642776</t>
  </si>
  <si>
    <t>1C4PJLDB2GW149090</t>
  </si>
  <si>
    <t>Grade 3.0</t>
  </si>
  <si>
    <t>1C4PJLDB5GW229483</t>
  </si>
  <si>
    <t>1C4PJLDB9GW272904</t>
  </si>
  <si>
    <t>1C4PJLDS8EW256223</t>
  </si>
  <si>
    <t>CHEROKEE FWD V6</t>
  </si>
  <si>
    <t>1C4PJLDS9EW238135</t>
  </si>
  <si>
    <t>1C4PJMAB1HW629116</t>
  </si>
  <si>
    <t>CHEROKEE 4X4 4C</t>
  </si>
  <si>
    <t>1C4PJMAK4CW118380</t>
  </si>
  <si>
    <t>LIBERTY</t>
  </si>
  <si>
    <t>1C4PJMAK9CW120092</t>
  </si>
  <si>
    <t>LIBERTY 4X4</t>
  </si>
  <si>
    <t>1C4PJMBX4KD431806</t>
  </si>
  <si>
    <t>1C4PJMCB1GW194660</t>
  </si>
  <si>
    <t>Grade 3.8</t>
  </si>
  <si>
    <t>1C4PJMCB3HW659859</t>
  </si>
  <si>
    <t>1C4PJMCB5GW112462</t>
  </si>
  <si>
    <t>1C4PJMCB6GW117833</t>
  </si>
  <si>
    <t>1C4PJMCB7EW252624</t>
  </si>
  <si>
    <t>1C4PJMCS0GW236543</t>
  </si>
  <si>
    <t>CHEROKEE 4X4 V6</t>
  </si>
  <si>
    <t>1C4PJMCS1GW323366</t>
  </si>
  <si>
    <t>1C4PJMCS2GW246295</t>
  </si>
  <si>
    <t>1C4PJMCS5FW793916</t>
  </si>
  <si>
    <t>1C4PJMCX2JD522280</t>
  </si>
  <si>
    <t>1C4PJMDS0FW682401</t>
  </si>
  <si>
    <t>1C4PJMDS2FW651716</t>
  </si>
  <si>
    <t>1C4PJMDX1KD444817</t>
  </si>
  <si>
    <t>1C4PJMDX9KD337661</t>
  </si>
  <si>
    <t>Grade 4.0</t>
  </si>
  <si>
    <t>1C4PJMLB4JD548559</t>
  </si>
  <si>
    <t>1C4PJMLB4KD404933</t>
  </si>
  <si>
    <t>1C4PJMLB5KD211318</t>
  </si>
  <si>
    <t>1C4PJMLB7KD267678</t>
  </si>
  <si>
    <t>1C4RDHAG3FC907290</t>
  </si>
  <si>
    <t>DURANGO</t>
  </si>
  <si>
    <t>1C4RDHAG7GC412737</t>
  </si>
  <si>
    <t>1C4RDJDG5DC692222</t>
  </si>
  <si>
    <t>1C4RDJDG6GC442122</t>
  </si>
  <si>
    <t>1C4RDJDG7MC694702</t>
  </si>
  <si>
    <t>1C4RJEAG7KC811440</t>
  </si>
  <si>
    <t>GRAND CHEROKEE</t>
  </si>
  <si>
    <t>1C4RJEBM5EC336461</t>
  </si>
  <si>
    <t>1C4RJFAG3FC859643</t>
  </si>
  <si>
    <t>1C4RJFAG5EC448324</t>
  </si>
  <si>
    <t>1C4RJFAG6DC587215</t>
  </si>
  <si>
    <t>GR CHERO 4X4 V6</t>
  </si>
  <si>
    <t>1C4RJFCGXFC894435</t>
  </si>
  <si>
    <t>1C4RJFCT7DC650641</t>
  </si>
  <si>
    <t>Grade 1.1</t>
  </si>
  <si>
    <t>1C4RJKBG8M8162475</t>
  </si>
  <si>
    <t>GRAND CHEROKEE L</t>
  </si>
  <si>
    <t>1C6RD7PTXCS174565</t>
  </si>
  <si>
    <t>RAM</t>
  </si>
  <si>
    <t>1C6RR6FG3HS639159</t>
  </si>
  <si>
    <t>1500 4X2 QD</t>
  </si>
  <si>
    <t>1C6RR6FG9FS514616</t>
  </si>
  <si>
    <t>1500 4X2 V6</t>
  </si>
  <si>
    <t>1C6RR6LG8HS613645</t>
  </si>
  <si>
    <t>1C6RR7FT5JS200876</t>
  </si>
  <si>
    <t>1C6RR7KG4ES424817</t>
  </si>
  <si>
    <t>1500 4X4 CR</t>
  </si>
  <si>
    <t>1C6RR7NG3GS285407</t>
  </si>
  <si>
    <t>1C6RR7TT5HS789569</t>
  </si>
  <si>
    <t>1C6RREBT8KN757422</t>
  </si>
  <si>
    <t>1D4RE5GG1BC667589</t>
  </si>
  <si>
    <t>1FA6P0H72G5116293</t>
  </si>
  <si>
    <t>FORD</t>
  </si>
  <si>
    <t>FUSION FWD 4C</t>
  </si>
  <si>
    <t>1FA6P0H74E5389197</t>
  </si>
  <si>
    <t>1FA6P0H77F5126090</t>
  </si>
  <si>
    <t>FUSION</t>
  </si>
  <si>
    <t>1FA6P0HD0E5396802</t>
  </si>
  <si>
    <t>1FA6P0HD9G5120329</t>
  </si>
  <si>
    <t>1FA6P8TH3K5176543</t>
  </si>
  <si>
    <t>MUSTANG</t>
  </si>
  <si>
    <t>Grade 4.3</t>
  </si>
  <si>
    <t>1FADP3E20HL228752</t>
  </si>
  <si>
    <t>FOCUS FWD 4C</t>
  </si>
  <si>
    <t>1FADP3E23JL230162</t>
  </si>
  <si>
    <t>FOCUS</t>
  </si>
  <si>
    <t>Grade 0.0</t>
  </si>
  <si>
    <t>1FADP3F21GL283109</t>
  </si>
  <si>
    <t>1FADP3F23HL346342</t>
  </si>
  <si>
    <t>1FADP3F26EL223193</t>
  </si>
  <si>
    <t>1FADP3F26FL347448</t>
  </si>
  <si>
    <t>1FADP3H21HL236872</t>
  </si>
  <si>
    <t>1FADP3J20DL351547</t>
  </si>
  <si>
    <t>1FADP3J20JL289174</t>
  </si>
  <si>
    <t>1FADP3J23JL294658</t>
  </si>
  <si>
    <t>1FADP3K27FL312665</t>
  </si>
  <si>
    <t>1FADP3K27HL295241</t>
  </si>
  <si>
    <t>1FADP3L90HL253621</t>
  </si>
  <si>
    <t>FOCUS ST</t>
  </si>
  <si>
    <t>1FADP3L99EL228907</t>
  </si>
  <si>
    <t>1FADP3M27HL262110</t>
  </si>
  <si>
    <t>1FADP3M27HL281594</t>
  </si>
  <si>
    <t>1FADP3N24EL199624</t>
  </si>
  <si>
    <t>1FADP3N25GL301645</t>
  </si>
  <si>
    <t>1FADP3N26EL309704</t>
  </si>
  <si>
    <t>1FADP3N27FL230236</t>
  </si>
  <si>
    <t>1FADP3N28EL188853</t>
  </si>
  <si>
    <t>1FADP5AU3EL505344</t>
  </si>
  <si>
    <t>C MAX</t>
  </si>
  <si>
    <t>1FADP5DU6JL104540</t>
  </si>
  <si>
    <t>C-MAX HYBRID</t>
  </si>
  <si>
    <t>1FAHP2D8XGG118557</t>
  </si>
  <si>
    <t>TAURUS</t>
  </si>
  <si>
    <t>1FAHP2F80HG134104</t>
  </si>
  <si>
    <t>1FAHP2F86FG108636</t>
  </si>
  <si>
    <t>TAURUS FWD V6</t>
  </si>
  <si>
    <t>1FAHP2J8XJG100037</t>
  </si>
  <si>
    <t>TAURUS AWD</t>
  </si>
  <si>
    <t>1FAHP3K23CL407494</t>
  </si>
  <si>
    <t>1FATP8UH8M5121882</t>
  </si>
  <si>
    <t>1FM5K7B81GGB44228</t>
  </si>
  <si>
    <t>EXPLORER</t>
  </si>
  <si>
    <t>1FM5K7B92DGC64172</t>
  </si>
  <si>
    <t>EXPLORER FWD 4C</t>
  </si>
  <si>
    <t>1FM5K7D81EGC20962</t>
  </si>
  <si>
    <t>EXPLORER FWD V6</t>
  </si>
  <si>
    <t>1FM5K7D81HGD35629</t>
  </si>
  <si>
    <t>1FM5K7D83GGB59908</t>
  </si>
  <si>
    <t>1FM5K7D88GGC54853</t>
  </si>
  <si>
    <t>1FM5K7D93EGC10863</t>
  </si>
  <si>
    <t>1FM5K7F81EGA02887</t>
  </si>
  <si>
    <t>1FM5K8B82JGB87070</t>
  </si>
  <si>
    <t>1FM5K8B84DGB18448</t>
  </si>
  <si>
    <t>EXPLORER 4X4 V6</t>
  </si>
  <si>
    <t>1FM5K8B87GGA16775</t>
  </si>
  <si>
    <t>1FM5K8B8XFGA10922</t>
  </si>
  <si>
    <t>1FM5K8D85DGA09882</t>
  </si>
  <si>
    <t>1FM5K8DHXGGC29295</t>
  </si>
  <si>
    <t>EXPLORER 4X4 4C</t>
  </si>
  <si>
    <t>1FM5K8GTXFGC44734</t>
  </si>
  <si>
    <t>1FMCU0F72KUB64234</t>
  </si>
  <si>
    <t>ESCAPE FWD 4C</t>
  </si>
  <si>
    <t>1FMCU0F72KUB82314</t>
  </si>
  <si>
    <t>1FMCU0F75EUC18694</t>
  </si>
  <si>
    <t>1FMCU0F75HUA13025</t>
  </si>
  <si>
    <t>ESCAPE</t>
  </si>
  <si>
    <t>1FMCU0F78JUC78902</t>
  </si>
  <si>
    <t>1FMCU0F79HUB11670</t>
  </si>
  <si>
    <t>1FMCU0F79KUB53697</t>
  </si>
  <si>
    <t>1FMCU0G61LUB91139</t>
  </si>
  <si>
    <t>ESCAPE FWD 3C</t>
  </si>
  <si>
    <t>1FMCU0G67LUC00975</t>
  </si>
  <si>
    <t>1FMCU0G99HUC56000</t>
  </si>
  <si>
    <t>1FMCU0GD7JUC11499</t>
  </si>
  <si>
    <t>1FMCU0GD8HUB51257</t>
  </si>
  <si>
    <t>1FMCU0GD9KUA26324</t>
  </si>
  <si>
    <t>1FMCU0GD9KUA33127</t>
  </si>
  <si>
    <t>1FMCU0GDXHUD26768</t>
  </si>
  <si>
    <t>1FMCU0GDXKUC36849</t>
  </si>
  <si>
    <t>1FMCU0GX0EUE34919</t>
  </si>
  <si>
    <t>1FMCU0GX0GUB33344</t>
  </si>
  <si>
    <t>1FMCU0GX5GUB38619</t>
  </si>
  <si>
    <t>1FMCU0GX7EUB47061</t>
  </si>
  <si>
    <t>1FMCU0GX8GUC13782</t>
  </si>
  <si>
    <t>1FMCU0GXXEUC93549</t>
  </si>
  <si>
    <t>1FMCU0H98DUD52368</t>
  </si>
  <si>
    <t>1FMCU0HD0JUA08565</t>
  </si>
  <si>
    <t>1FMCU0HX9DUD53026</t>
  </si>
  <si>
    <t>1FMCU0J98EUB78149</t>
  </si>
  <si>
    <t>1FMCU0J99EUB24455</t>
  </si>
  <si>
    <t>1FMCU0JD7HUE00091</t>
  </si>
  <si>
    <t>1FMCU9DGXCKB38114</t>
  </si>
  <si>
    <t>ESCAPE 4WD</t>
  </si>
  <si>
    <t>1FMCU9G98GUA01048</t>
  </si>
  <si>
    <t>ESCAPE 4X4 4C</t>
  </si>
  <si>
    <t>1FMCU9G9XEUA91171</t>
  </si>
  <si>
    <t>1FMCU9GD3HUA47618</t>
  </si>
  <si>
    <t>1FMCU9GD3JUB15308</t>
  </si>
  <si>
    <t>1FMCU9GD3JUC20317</t>
  </si>
  <si>
    <t>1FMCU9GD4HUB94708</t>
  </si>
  <si>
    <t>1FMCU9GD7HUC04339</t>
  </si>
  <si>
    <t>1FMCU9GD8HUA15635</t>
  </si>
  <si>
    <t>1FMCU9GD8JUB81644</t>
  </si>
  <si>
    <t>1FMCU9GD8KUA73042</t>
  </si>
  <si>
    <t>1FMCU9GD9JUB94337</t>
  </si>
  <si>
    <t>1FMCU9GD9KUB63929</t>
  </si>
  <si>
    <t>1FMCU9GDXHUC28585</t>
  </si>
  <si>
    <t>1FMCU9GX1FUA18335</t>
  </si>
  <si>
    <t>1FMCU9GX1FUB65027</t>
  </si>
  <si>
    <t>1FMCU9GX3EUA34177</t>
  </si>
  <si>
    <t>1FMCU9GX3FUA68458</t>
  </si>
  <si>
    <t>1FMCU9GX4EUB28570</t>
  </si>
  <si>
    <t>1FMCU9GX4GUA12806</t>
  </si>
  <si>
    <t>1FMCU9GX5EUB36385</t>
  </si>
  <si>
    <t>1FMCU9GX6FUB37675</t>
  </si>
  <si>
    <t>1FMCU9GXXFUA72071</t>
  </si>
  <si>
    <t>1FMCU9GXXGUA24961</t>
  </si>
  <si>
    <t>1FMCU9HD4JUA34445</t>
  </si>
  <si>
    <t>1FMCU9HX7DUB14417</t>
  </si>
  <si>
    <t>1FMCU9J93EUD91126</t>
  </si>
  <si>
    <t>1FMCU9J99DUD14632</t>
  </si>
  <si>
    <t>1FMCU9JX1EUD76722</t>
  </si>
  <si>
    <t>1FMCU9JX1GUA25117</t>
  </si>
  <si>
    <t>1FMHK8D89CGA82331</t>
  </si>
  <si>
    <t>1FMJK1KT0HEA02076</t>
  </si>
  <si>
    <t>EXPEDITION EL</t>
  </si>
  <si>
    <t>1FMJK2ATXMEA38763</t>
  </si>
  <si>
    <t>EXPEDITION</t>
  </si>
  <si>
    <t>1FTER1EH5KLA86052</t>
  </si>
  <si>
    <t>RANGER</t>
  </si>
  <si>
    <t>1FTEW1CP0FKE65958</t>
  </si>
  <si>
    <t>F-150</t>
  </si>
  <si>
    <t>1FTEW1EG4FFB12810</t>
  </si>
  <si>
    <t>F150 4X4 CR</t>
  </si>
  <si>
    <t>1FTEX1CB6JFE08246</t>
  </si>
  <si>
    <t>F150 4X2 EX</t>
  </si>
  <si>
    <t>1FTEX1CP4JKE11665</t>
  </si>
  <si>
    <t>1FTEX1EP0JKD95686</t>
  </si>
  <si>
    <t>F150 4X4 EX</t>
  </si>
  <si>
    <t>1FTEX1EP8FFC13118</t>
  </si>
  <si>
    <t>1FTFW1EG0GFC99355</t>
  </si>
  <si>
    <t>1FTFW1ETXEKD04532</t>
  </si>
  <si>
    <t>1FTMF1C80GKD28251</t>
  </si>
  <si>
    <t>1FTMF1CF4DFC69675</t>
  </si>
  <si>
    <t>1FTVX1ET1EKG25271</t>
  </si>
  <si>
    <t>1G1125S37EU137688</t>
  </si>
  <si>
    <t>CHEVROLET</t>
  </si>
  <si>
    <t>IMPALA</t>
  </si>
  <si>
    <t>1G11A5SL1EF288372</t>
  </si>
  <si>
    <t>MALIBU</t>
  </si>
  <si>
    <t>1G11A5SL2FF151166</t>
  </si>
  <si>
    <t>1G11B5SA0DF304085</t>
  </si>
  <si>
    <t>1G11B5SL4EF216160</t>
  </si>
  <si>
    <t>1G11B5SLXFF320167</t>
  </si>
  <si>
    <t>1G11C5SA1GF101191</t>
  </si>
  <si>
    <t>MALIBU LIMITED</t>
  </si>
  <si>
    <t>1G11C5SA2DF197571</t>
  </si>
  <si>
    <t>1G11C5SA6GF105933</t>
  </si>
  <si>
    <t>1G11C5SA6GF125731</t>
  </si>
  <si>
    <t>1G11C5SAXGF101965</t>
  </si>
  <si>
    <t>1G11C5SAXGF154651</t>
  </si>
  <si>
    <t>1G11C5SL1FF232444</t>
  </si>
  <si>
    <t>1G11C5SL3FF253988</t>
  </si>
  <si>
    <t>1G11C5SL5EF161487</t>
  </si>
  <si>
    <t>1G11C5SL6EF138462</t>
  </si>
  <si>
    <t>1G11E5SL6EF231329</t>
  </si>
  <si>
    <t>1G11F5SL6FF261171</t>
  </si>
  <si>
    <t>1G1BB5SM3J7153523</t>
  </si>
  <si>
    <t>CRUZE</t>
  </si>
  <si>
    <t>1G1BC5SM0H7183358</t>
  </si>
  <si>
    <t>1G1BC5SM1H7154936</t>
  </si>
  <si>
    <t>1G1BC5SM4K7120965</t>
  </si>
  <si>
    <t>1G1BC5SM6H7240467</t>
  </si>
  <si>
    <t>1G1BE5SM0J7200000</t>
  </si>
  <si>
    <t>1G1BE5SM0K7146425</t>
  </si>
  <si>
    <t>1G1BE5SM1H7126595</t>
  </si>
  <si>
    <t>1G1BE5SM1H7246056</t>
  </si>
  <si>
    <t>1G1BE5SM1J7246550</t>
  </si>
  <si>
    <t>1G1BE5SM3G7255453</t>
  </si>
  <si>
    <t>1G1BE5SM3H7126436</t>
  </si>
  <si>
    <t>1G1BE5SM3H7154074</t>
  </si>
  <si>
    <t>1G1BE5SM5K7137705</t>
  </si>
  <si>
    <t>1G1BG5SE0H7171174</t>
  </si>
  <si>
    <t>1G1FA1RS2H0189188</t>
  </si>
  <si>
    <t>CAMARO</t>
  </si>
  <si>
    <t>1G1FA1RX1G0162820</t>
  </si>
  <si>
    <t>1G1JA5SH0C4137706</t>
  </si>
  <si>
    <t>SONIC</t>
  </si>
  <si>
    <t>1G1JA6SGXF4184386</t>
  </si>
  <si>
    <t>1G1JC5SB9D4111094</t>
  </si>
  <si>
    <t>1G1JC5SH5G4154761</t>
  </si>
  <si>
    <t>1G1JC6SB4E4108093</t>
  </si>
  <si>
    <t>1G1JC6SH4E4236418</t>
  </si>
  <si>
    <t>1G1JC6SH5F4146891</t>
  </si>
  <si>
    <t>1G1JD5SB7L4111042</t>
  </si>
  <si>
    <t>1G1JD5SH4J4137017</t>
  </si>
  <si>
    <t>1G1JD5SH5J4100915</t>
  </si>
  <si>
    <t>1G1JD6SB6E4126589</t>
  </si>
  <si>
    <t>1G1JE5SB0G4135427</t>
  </si>
  <si>
    <t>1G1JE5SBXE4240313</t>
  </si>
  <si>
    <t>1G1JE6SB0F4187533</t>
  </si>
  <si>
    <t>1G1JE6SBXE4182791</t>
  </si>
  <si>
    <t>1G1JF5SB3L4113235</t>
  </si>
  <si>
    <t>1G1JF5SB8L4119290</t>
  </si>
  <si>
    <t>1G1JG6SG7H4142744</t>
  </si>
  <si>
    <t>1G1JG6SH9H4167735</t>
  </si>
  <si>
    <t>1G1PA5SG2F7101147</t>
  </si>
  <si>
    <t>1G1PA5SH1F7234569</t>
  </si>
  <si>
    <t>1G1PA5SH9F7141850</t>
  </si>
  <si>
    <t>1G1PC5SB2D7211479</t>
  </si>
  <si>
    <t>1G1PC5SB2E7411960</t>
  </si>
  <si>
    <t>1G1PC5SB2F7291059</t>
  </si>
  <si>
    <t>1G1PC5SB5D7238126</t>
  </si>
  <si>
    <t>1G1PC5SB9E7434328</t>
  </si>
  <si>
    <t>1G1PC5SB9F7160940</t>
  </si>
  <si>
    <t>1G1PC5SB9F7201793</t>
  </si>
  <si>
    <t>1G1PC5SH8C7147905</t>
  </si>
  <si>
    <t>1G1PE5SB0E7474694</t>
  </si>
  <si>
    <t>1G1PE5SB1G7225677</t>
  </si>
  <si>
    <t>CRUZE LIMITED</t>
  </si>
  <si>
    <t>1G1PE5SB2E7338101</t>
  </si>
  <si>
    <t>1G1PE5SB2E7397326</t>
  </si>
  <si>
    <t>1G1PE5SB3G7129808</t>
  </si>
  <si>
    <t>1G1PE5SB4F7121635</t>
  </si>
  <si>
    <t>1G1PE5SBXE7159160</t>
  </si>
  <si>
    <t>1G1PE5SBXG7139235</t>
  </si>
  <si>
    <t>1G1PE5SBXG7177368</t>
  </si>
  <si>
    <t>1G1PF5SB5G7116216</t>
  </si>
  <si>
    <t>1G1PF5SC5C7193946</t>
  </si>
  <si>
    <t>1G1PG5SC4C7255303</t>
  </si>
  <si>
    <t>1G1PJ5SCXC7192354</t>
  </si>
  <si>
    <t>1G1PL5SC4C7280262</t>
  </si>
  <si>
    <t>1G1RD6E44DU130476</t>
  </si>
  <si>
    <t>VOLT</t>
  </si>
  <si>
    <t>1G1YB2D75F5110269</t>
  </si>
  <si>
    <t>CORVETTE</t>
  </si>
  <si>
    <t>1G1ZA5EU3CF389417</t>
  </si>
  <si>
    <t>1G1ZB5ST1MF016984</t>
  </si>
  <si>
    <t>1G1ZB5ST2JF272479</t>
  </si>
  <si>
    <t>1G1ZB5ST4GF310447</t>
  </si>
  <si>
    <t>1G1ZB5ST4HF222094</t>
  </si>
  <si>
    <t>1G1ZB5ST5GF183921</t>
  </si>
  <si>
    <t>1G1ZB5ST5GF227481</t>
  </si>
  <si>
    <t>1G1ZB5ST5GF294260</t>
  </si>
  <si>
    <t>1G1ZB5ST5HF104393</t>
  </si>
  <si>
    <t>1G1ZB5ST5HF288248</t>
  </si>
  <si>
    <t>1G1ZB5ST7HF183131</t>
  </si>
  <si>
    <t>1G1ZB5ST8GF196355</t>
  </si>
  <si>
    <t>1G1ZB5STXLF011314</t>
  </si>
  <si>
    <t>1G1ZC5STXLF001766</t>
  </si>
  <si>
    <t>1G1ZD5E78BF253526</t>
  </si>
  <si>
    <t>1G1ZD5ST2NF132187</t>
  </si>
  <si>
    <t>1G1ZD5ST3JF188441</t>
  </si>
  <si>
    <t>1G1ZD5ST3KF153948</t>
  </si>
  <si>
    <t>1G1ZD5ST4LF039426</t>
  </si>
  <si>
    <t>1G1ZD5ST5KF106226</t>
  </si>
  <si>
    <t>1G1ZD5ST6JF109599</t>
  </si>
  <si>
    <t>1G1ZD5ST7JF150307</t>
  </si>
  <si>
    <t>1G1ZD5ST7KF165214</t>
  </si>
  <si>
    <t>1G1ZD5ST7NF132346</t>
  </si>
  <si>
    <t>1G1ZD5ST8MF012764</t>
  </si>
  <si>
    <t>1G1ZD5ST9JF101349</t>
  </si>
  <si>
    <t>1G1ZE5ST2GF337976</t>
  </si>
  <si>
    <t>1G1ZE5ST4HF181778</t>
  </si>
  <si>
    <t>1G1ZE5ST6GF199519</t>
  </si>
  <si>
    <t>1G1ZE5ST6GF329900</t>
  </si>
  <si>
    <t>1G1ZE5ST7HF123504</t>
  </si>
  <si>
    <t>1G1ZE5ST9GF223487</t>
  </si>
  <si>
    <t>1G1ZE5ST9HF183350</t>
  </si>
  <si>
    <t>1G1ZE5ST9HF265207</t>
  </si>
  <si>
    <t>1G1ZE5STXGF329673</t>
  </si>
  <si>
    <t>1G1ZE5STXGF349390</t>
  </si>
  <si>
    <t>1G1ZE5STXHF137879</t>
  </si>
  <si>
    <t>1G4GA5G32FF155787</t>
  </si>
  <si>
    <t>BUICK</t>
  </si>
  <si>
    <t>LACROSSE</t>
  </si>
  <si>
    <t>1G4GB5G34EF167354</t>
  </si>
  <si>
    <t>1G4GB5GR0FF194122</t>
  </si>
  <si>
    <t>1G4GC5E39DF312483</t>
  </si>
  <si>
    <t>LACROSSE FWD V6</t>
  </si>
  <si>
    <t>1G4GC5EG7AF302744</t>
  </si>
  <si>
    <t>1G4GC5G32FF139132</t>
  </si>
  <si>
    <t>1G4GC5GG7AF197684</t>
  </si>
  <si>
    <t>1G4GF5E34DF172088</t>
  </si>
  <si>
    <t>1G4PP5SK0D4207486</t>
  </si>
  <si>
    <t>VERANO</t>
  </si>
  <si>
    <t>1G4PP5SK7C4195223</t>
  </si>
  <si>
    <t>1G4PP5SKXD4192124</t>
  </si>
  <si>
    <t>1G4PR5SK3D4155491</t>
  </si>
  <si>
    <t>1G6AA1RX9J0133559</t>
  </si>
  <si>
    <t>CADILLAC</t>
  </si>
  <si>
    <t>ATS</t>
  </si>
  <si>
    <t>1G6AA5RA6E0163191</t>
  </si>
  <si>
    <t>1G6AJ5SX3F0121061</t>
  </si>
  <si>
    <t>1G6AW5SXXE0180494</t>
  </si>
  <si>
    <t>CTS</t>
  </si>
  <si>
    <t>1G6DG5EG0A0149495</t>
  </si>
  <si>
    <t>1GCGSBEA1F1261825</t>
  </si>
  <si>
    <t>COLORADO</t>
  </si>
  <si>
    <t>1GCGTBEN7K1124074</t>
  </si>
  <si>
    <t>1GCGTDE33G1394064</t>
  </si>
  <si>
    <t>1GCPDBEK7NZ508039</t>
  </si>
  <si>
    <t>SILVERADO 1500</t>
  </si>
  <si>
    <t>1GCPYBEK9MZ200972</t>
  </si>
  <si>
    <t>1GCRCREH6EZ301280</t>
  </si>
  <si>
    <t>1GCRKSE38BZ318575</t>
  </si>
  <si>
    <t>1500 SLV 4X4 EX</t>
  </si>
  <si>
    <t>1GCRWBEHXKZ363243</t>
  </si>
  <si>
    <t>1GCVKPEC5EZ300423</t>
  </si>
  <si>
    <t>1500 SLV 4X4 DB</t>
  </si>
  <si>
    <t>1GCVKPECXHZ324074</t>
  </si>
  <si>
    <t>1GCVKREC5GZ169170</t>
  </si>
  <si>
    <t>1GCVKREH8FZ203130</t>
  </si>
  <si>
    <t>1GKKNKLA7HZ211928</t>
  </si>
  <si>
    <t>GMC</t>
  </si>
  <si>
    <t>ACADIA</t>
  </si>
  <si>
    <t>1GKKNLLA7JZ184855</t>
  </si>
  <si>
    <t>ACADIA FWD 4C</t>
  </si>
  <si>
    <t>1GKKNMLAXKZ262925</t>
  </si>
  <si>
    <t>1GKKNNLS5KZ208365</t>
  </si>
  <si>
    <t>1GKKNRLAXJZ183864</t>
  </si>
  <si>
    <t>1GKKNULS1KZ253880</t>
  </si>
  <si>
    <t>1GKKRPED7BJ402604</t>
  </si>
  <si>
    <t>ACADIA FWD</t>
  </si>
  <si>
    <t>1GKKRPKD2EJ310132</t>
  </si>
  <si>
    <t>1GKKVNED7FJ116631</t>
  </si>
  <si>
    <t>GMC TRUCK</t>
  </si>
  <si>
    <t>ACADIA AWD</t>
  </si>
  <si>
    <t>1GKKVRKD3EJ318456</t>
  </si>
  <si>
    <t>1GKKVTKD5DJ214126</t>
  </si>
  <si>
    <t>1GKS2GKC1JR320562</t>
  </si>
  <si>
    <t>YUKON XL</t>
  </si>
  <si>
    <t>1GKS2GKC3FR209177</t>
  </si>
  <si>
    <t>YUKON XL 1500</t>
  </si>
  <si>
    <t>1GNALBEK3FZ130531</t>
  </si>
  <si>
    <t>EQUINOX FWD 4C</t>
  </si>
  <si>
    <t>1GNALBEK4DZ117235</t>
  </si>
  <si>
    <t>EQUINOX</t>
  </si>
  <si>
    <t>1GNALBEK6EZ137987</t>
  </si>
  <si>
    <t>1GNERGKW9KJ227195</t>
  </si>
  <si>
    <t>TRAVERSE FWD V6</t>
  </si>
  <si>
    <t>1GNEVGKW4PJ143434</t>
  </si>
  <si>
    <t>TRAVERSE</t>
  </si>
  <si>
    <t>1GNFLFEK6EZ120376</t>
  </si>
  <si>
    <t>1GNFLFEKXFZ142298</t>
  </si>
  <si>
    <t>EQUINOX AWD 4C</t>
  </si>
  <si>
    <t>1GNFLGEK8EZ112608</t>
  </si>
  <si>
    <t>Grade 4.9</t>
  </si>
  <si>
    <t>1GNKRFED0FJ124258</t>
  </si>
  <si>
    <t>TRAVERSE FWD</t>
  </si>
  <si>
    <t>1GNKRFED9HJ184624</t>
  </si>
  <si>
    <t>1GNKRGED8CJ423904</t>
  </si>
  <si>
    <t>1GNKRGKD4EJ249868</t>
  </si>
  <si>
    <t>1GNKRGKD6FJ220227</t>
  </si>
  <si>
    <t>1GNKRGKDXGJ296812</t>
  </si>
  <si>
    <t>1GNKRHKD3EJ257868</t>
  </si>
  <si>
    <t>1GNKRJED7CJ311222</t>
  </si>
  <si>
    <t>1GNKVGKD5HJ164392</t>
  </si>
  <si>
    <t>TRAVERSE AWD</t>
  </si>
  <si>
    <t>1GNKVGKD8HJ251025</t>
  </si>
  <si>
    <t>1GNKVHKD2GJ341887</t>
  </si>
  <si>
    <t>1GNKVHKD6GJ200434</t>
  </si>
  <si>
    <t>1GTG5CE37G1199637</t>
  </si>
  <si>
    <t>CANYON</t>
  </si>
  <si>
    <t>1GYKNDRS5JZ155432</t>
  </si>
  <si>
    <t>XT5</t>
  </si>
  <si>
    <t>1GYS4CEFXER115343</t>
  </si>
  <si>
    <t>ESCALADE</t>
  </si>
  <si>
    <t>1HGCP26489A176611</t>
  </si>
  <si>
    <t>ACCORD</t>
  </si>
  <si>
    <t>1HGCP2F31AA021491</t>
  </si>
  <si>
    <t>ACCORD 4C</t>
  </si>
  <si>
    <t>1HGCP2F38CA046777</t>
  </si>
  <si>
    <t>1HGCP2F64CA223190</t>
  </si>
  <si>
    <t>1HGCR2E33EA174746</t>
  </si>
  <si>
    <t>1HGCR2F32DA171236</t>
  </si>
  <si>
    <t>1HGCR2F32FA065887</t>
  </si>
  <si>
    <t>1HGCR2F36GA193874</t>
  </si>
  <si>
    <t>1HGCR2F3XEA121802</t>
  </si>
  <si>
    <t>1HGCR2F53FA006431</t>
  </si>
  <si>
    <t>1HGCS2B88BA004155</t>
  </si>
  <si>
    <t>1HGCT1B33DA007009</t>
  </si>
  <si>
    <t>1HGCV1F14JA247944</t>
  </si>
  <si>
    <t>1J4AA2D14AL172803</t>
  </si>
  <si>
    <t>WRANGLER</t>
  </si>
  <si>
    <t>1J4NF1FB9BD239376</t>
  </si>
  <si>
    <t>1J4PS5GK4AC145324</t>
  </si>
  <si>
    <t>1LNHL9ER3AG603647</t>
  </si>
  <si>
    <t>LINCOLN</t>
  </si>
  <si>
    <t>MKS</t>
  </si>
  <si>
    <t>1N4AA5AP2CC860209</t>
  </si>
  <si>
    <t>NISSAN</t>
  </si>
  <si>
    <t>MAXIMA</t>
  </si>
  <si>
    <t>1N4AA6AP5HC371073</t>
  </si>
  <si>
    <t>1N4AA6AP8GC405473</t>
  </si>
  <si>
    <t>1N4AL3AP0EN340936</t>
  </si>
  <si>
    <t>ALTIMA 4C</t>
  </si>
  <si>
    <t>1N4AL3AP0JC161284</t>
  </si>
  <si>
    <t>1N4AL3AP0JC240194</t>
  </si>
  <si>
    <t>Grade 4.8</t>
  </si>
  <si>
    <t>1N4AL3AP0JC257173</t>
  </si>
  <si>
    <t>ALTIMA</t>
  </si>
  <si>
    <t>1N4AL3AP2EC184622</t>
  </si>
  <si>
    <t>1N4AL3AP2GN342917</t>
  </si>
  <si>
    <t>1N4AL3AP2GN372564</t>
  </si>
  <si>
    <t>1N4AL3AP2HN346807</t>
  </si>
  <si>
    <t>1N4AL3AP2JC243324</t>
  </si>
  <si>
    <t>1N4AL3AP3FN881304</t>
  </si>
  <si>
    <t>1N4AL3AP3GC113545</t>
  </si>
  <si>
    <t>1N4AL3AP3GC196166</t>
  </si>
  <si>
    <t>1N4AL3AP3GN367700</t>
  </si>
  <si>
    <t>1N4AL3AP4EN334069</t>
  </si>
  <si>
    <t>1N4AL3AP4FC248936</t>
  </si>
  <si>
    <t>1N4AL3AP4FC470943</t>
  </si>
  <si>
    <t>1N4AL3AP4GC145369</t>
  </si>
  <si>
    <t>1N4AL3AP4HC203885</t>
  </si>
  <si>
    <t>1N4AL3AP4JC161997</t>
  </si>
  <si>
    <t>1N4AL3AP5FC105638</t>
  </si>
  <si>
    <t>1N4AL3AP5FC594199</t>
  </si>
  <si>
    <t>1N4AL3AP5GC239423</t>
  </si>
  <si>
    <t>1N4AL3AP6EC168746</t>
  </si>
  <si>
    <t>1N4AL3AP6HC160599</t>
  </si>
  <si>
    <t>1N4AL3AP6JC160818</t>
  </si>
  <si>
    <t>1N4AL3AP8DC915939</t>
  </si>
  <si>
    <t>1N4AZ0CP3DC424060</t>
  </si>
  <si>
    <t>LEAF</t>
  </si>
  <si>
    <t>1N4AZ0CP9FC332924</t>
  </si>
  <si>
    <t>1N4BL4BV0LC244532</t>
  </si>
  <si>
    <t>ALTIMA FWD 4C</t>
  </si>
  <si>
    <t>1N4BL4CV9KC174512</t>
  </si>
  <si>
    <t>1N4BL4CVXLC144467</t>
  </si>
  <si>
    <t>1N6AA1E56KN529418</t>
  </si>
  <si>
    <t>TITAN</t>
  </si>
  <si>
    <t>1N6AD0EV9GN785948</t>
  </si>
  <si>
    <t>FRONTIER 4X4 CR</t>
  </si>
  <si>
    <t>1N6BA0EC1CN315077</t>
  </si>
  <si>
    <t>1N6BD0CT4HN764495</t>
  </si>
  <si>
    <t>FRONTIER</t>
  </si>
  <si>
    <t>1V2SC2CA6NC222515</t>
  </si>
  <si>
    <t>VOLKSWAGEN</t>
  </si>
  <si>
    <t>ATLAS CROSS SPORT</t>
  </si>
  <si>
    <t>1V2WR2CA2MC553428</t>
  </si>
  <si>
    <t>ATLAS FWD V6</t>
  </si>
  <si>
    <t>1VWAP7A38EC007167</t>
  </si>
  <si>
    <t>PASSAT 5C</t>
  </si>
  <si>
    <t>1VWAS7A35FC083333</t>
  </si>
  <si>
    <t>PASSAT 4C</t>
  </si>
  <si>
    <t>1VWAT7A30FC049538</t>
  </si>
  <si>
    <t>PASSAT</t>
  </si>
  <si>
    <t>1VWAT7A34FC049137</t>
  </si>
  <si>
    <t>1VWAT7A35GC005360</t>
  </si>
  <si>
    <t>1VWAT7A36FC035384</t>
  </si>
  <si>
    <t>1VWAT7A39EC040965</t>
  </si>
  <si>
    <t>1VWBA7A39JC001930</t>
  </si>
  <si>
    <t>1VWBA7A3XJC013455</t>
  </si>
  <si>
    <t>1VWBN7A31DC109807</t>
  </si>
  <si>
    <t>1VWBP7A36CC100285</t>
  </si>
  <si>
    <t>1VWBV7A33FC082998</t>
  </si>
  <si>
    <t>1VWCN7A37CC068800</t>
  </si>
  <si>
    <t>1VWCS7A3XEC021837</t>
  </si>
  <si>
    <t>1VWSA7A34LC016306</t>
  </si>
  <si>
    <t>1ZVBP8AM5E5331149</t>
  </si>
  <si>
    <t>1ZVBP8AM7C5208790</t>
  </si>
  <si>
    <t>1ZVBP8AM8D5281507</t>
  </si>
  <si>
    <t>1ZVBP8AN5A5127308</t>
  </si>
  <si>
    <t>1ZVBP8CF1B5136000</t>
  </si>
  <si>
    <t>1ZVBP8CF7D5247606</t>
  </si>
  <si>
    <t>1ZVBP8FF1C5258708</t>
  </si>
  <si>
    <t>2B3CJ4DG9BH569972</t>
  </si>
  <si>
    <t>CHALLENGER</t>
  </si>
  <si>
    <t>2C3CA5CVXAH319776</t>
  </si>
  <si>
    <t>2C3CCAET2CH268114</t>
  </si>
  <si>
    <t>300C</t>
  </si>
  <si>
    <t>Grade 1.2</t>
  </si>
  <si>
    <t>2C3CCAETXFH763648</t>
  </si>
  <si>
    <t>2C3CCAHG5CH184786</t>
  </si>
  <si>
    <t>2C3CDXBG1HH575370</t>
  </si>
  <si>
    <t>CHARGER 4X2 V6</t>
  </si>
  <si>
    <t>2C3CDXBG7NH235278</t>
  </si>
  <si>
    <t>2C3CDXBG8NH137926</t>
  </si>
  <si>
    <t>CHARGER</t>
  </si>
  <si>
    <t>2C3CDXHG8KH612736</t>
  </si>
  <si>
    <t>2C3CDXJG1HH544170</t>
  </si>
  <si>
    <t>2C3CDXJG3HH526186</t>
  </si>
  <si>
    <t>CHARGER AWD V6</t>
  </si>
  <si>
    <t>2C3CDXJG3JH222250</t>
  </si>
  <si>
    <t>2C3CDZAG6GH162713</t>
  </si>
  <si>
    <t>2C3CDZBG7FH912732</t>
  </si>
  <si>
    <t>2C3CDZBT3FH701265</t>
  </si>
  <si>
    <t>2C3CDZGGXHH556031</t>
  </si>
  <si>
    <t>2C3CDZJG4NH171276</t>
  </si>
  <si>
    <t>2C4RC1BG8CR258954</t>
  </si>
  <si>
    <t>TOWN &amp; COUNTRY</t>
  </si>
  <si>
    <t>2C4RC1BG8GR112303</t>
  </si>
  <si>
    <t>2C4RC1BG9JR113614</t>
  </si>
  <si>
    <t>PACIFICA</t>
  </si>
  <si>
    <t>2C4RC1EG0HR570463</t>
  </si>
  <si>
    <t>2C4RC1EG2HR543071</t>
  </si>
  <si>
    <t>2C4RDGBG4HR646478</t>
  </si>
  <si>
    <t>GRAND CARAVAN</t>
  </si>
  <si>
    <t>2C4RDGBG5GR237355</t>
  </si>
  <si>
    <t>2C4RDGBG6JR136915</t>
  </si>
  <si>
    <t>2C4RDGBG6JR153035</t>
  </si>
  <si>
    <t>2C4RDGBG9ER212973</t>
  </si>
  <si>
    <t>2C4RDGCG3DR522114</t>
  </si>
  <si>
    <t>2C4RDGCG3FR584809</t>
  </si>
  <si>
    <t>2C4RDGCG6GR172482</t>
  </si>
  <si>
    <t>2C4RDGCG7DR536517</t>
  </si>
  <si>
    <t>2C4RDGCG9JR268128</t>
  </si>
  <si>
    <t>2C4RDGEG3KR764122</t>
  </si>
  <si>
    <t>2C4RDGEG5HR791878</t>
  </si>
  <si>
    <t>2C4RDGEGXKR631194</t>
  </si>
  <si>
    <t>2C4RDGEGXKR631356</t>
  </si>
  <si>
    <t>2CNFLEEC0B6460332</t>
  </si>
  <si>
    <t>2CTFLWE54B6339514</t>
  </si>
  <si>
    <t>TERRAIN</t>
  </si>
  <si>
    <t>2CTFLXE56B6294856</t>
  </si>
  <si>
    <t>TERRAIN AWD V6</t>
  </si>
  <si>
    <t>2FMDK3JC3DBC25258</t>
  </si>
  <si>
    <t>EDGE</t>
  </si>
  <si>
    <t>2FMDK3JC3EBA02624</t>
  </si>
  <si>
    <t>EDGE FWD SUV</t>
  </si>
  <si>
    <t>2FMDK4JC0BBA62278</t>
  </si>
  <si>
    <t>EDGE AWD V6</t>
  </si>
  <si>
    <t>2FMDK4JC3BBA91788</t>
  </si>
  <si>
    <t>2FMGK5B82EBD37800</t>
  </si>
  <si>
    <t>FLEX</t>
  </si>
  <si>
    <t>2FMGK5B8XEBD08142</t>
  </si>
  <si>
    <t>FLEX FWD SUV</t>
  </si>
  <si>
    <t>2FMGK5D8XDBD13014</t>
  </si>
  <si>
    <t>2FMPK3G97LBA71693</t>
  </si>
  <si>
    <t>2FMPK3G99JBC47897</t>
  </si>
  <si>
    <t>2FMPK3J81JBC37008</t>
  </si>
  <si>
    <t>2FMPK3J96LBA29511</t>
  </si>
  <si>
    <t>2FMPK3J98MBA00657</t>
  </si>
  <si>
    <t>2FMPK3J9XJBB27907</t>
  </si>
  <si>
    <t>2FMPK4J98GBC65525</t>
  </si>
  <si>
    <t>EDGE AWD SUV</t>
  </si>
  <si>
    <t>2G1125S34E9129304</t>
  </si>
  <si>
    <t>IMPALA V6</t>
  </si>
  <si>
    <t>2G11Z5SA0H9194455</t>
  </si>
  <si>
    <t>2G1FA1E30C9197805</t>
  </si>
  <si>
    <t>2G1FA1E33E9185182</t>
  </si>
  <si>
    <t>2G1FB1EV3A9199592</t>
  </si>
  <si>
    <t>2G1FB3D30E9183755</t>
  </si>
  <si>
    <t>2G1FC1E37E9123987</t>
  </si>
  <si>
    <t>2G1FD1E32F9232193</t>
  </si>
  <si>
    <t>2G1FJ1EJ6A9130475</t>
  </si>
  <si>
    <t>2G1FK1EJ0E9299930</t>
  </si>
  <si>
    <t>2G1FK1EJ1A9139002</t>
  </si>
  <si>
    <t>2G1FK1EJ8D9110942</t>
  </si>
  <si>
    <t>2G1WA5E31G1100865</t>
  </si>
  <si>
    <t>IMPALA LIMITED</t>
  </si>
  <si>
    <t>2G1WF5EK2B1322493</t>
  </si>
  <si>
    <t>2G1WT57K291248296</t>
  </si>
  <si>
    <t>2G4GS5EV5D9223927</t>
  </si>
  <si>
    <t>REGAL</t>
  </si>
  <si>
    <t>2G4GS5GX8G9203187</t>
  </si>
  <si>
    <t>2G4GT5GX9E9283187</t>
  </si>
  <si>
    <t>2G4GW5EV5B9199100</t>
  </si>
  <si>
    <t>2G61P5S38D9229903</t>
  </si>
  <si>
    <t>XTS</t>
  </si>
  <si>
    <t>2GKALMEK0F6427132</t>
  </si>
  <si>
    <t>2GKALMEK1E6325952</t>
  </si>
  <si>
    <t>TERRAIN FWD 4C</t>
  </si>
  <si>
    <t>2GKALMEK9H6197416</t>
  </si>
  <si>
    <t>2GKALMEK9H6264354</t>
  </si>
  <si>
    <t>2GKALMEKXF6289812</t>
  </si>
  <si>
    <t>2GKALMEKXG6322941</t>
  </si>
  <si>
    <t>2GKALNEK3H6312064</t>
  </si>
  <si>
    <t>2GKALNEK6H6279674</t>
  </si>
  <si>
    <t>2GKALPEK9H6309584</t>
  </si>
  <si>
    <t>2GKALREK6E6182073</t>
  </si>
  <si>
    <t>2GKALSEK4D6300515</t>
  </si>
  <si>
    <t>2GKFLSEK5H6266936</t>
  </si>
  <si>
    <t>2GKFLTE31H6309361</t>
  </si>
  <si>
    <t>2GKFLTEK0G6181653</t>
  </si>
  <si>
    <t>2GKFLTEK8C6274592</t>
  </si>
  <si>
    <t>2GKFLTEK8H6263230</t>
  </si>
  <si>
    <t>2GKFLUE31H6136429</t>
  </si>
  <si>
    <t>2GKFLUEK4G6259549</t>
  </si>
  <si>
    <t>TERRAIN AWD 4C</t>
  </si>
  <si>
    <t>2GKFLUEK6G6237598</t>
  </si>
  <si>
    <t>2GKFLVEK4F6271334</t>
  </si>
  <si>
    <t>2GKFLVEK7F6193163</t>
  </si>
  <si>
    <t>2GKFLVEK7F6332921</t>
  </si>
  <si>
    <t>2GKFLVEK7F6405642</t>
  </si>
  <si>
    <t>2GKFLVEK9D6238665</t>
  </si>
  <si>
    <t>2GKFLXEK4F6329051</t>
  </si>
  <si>
    <t>2GKFLXEK5F6171173</t>
  </si>
  <si>
    <t>2GNALAEK6E6127952</t>
  </si>
  <si>
    <t>2GNALAEK7E6106544</t>
  </si>
  <si>
    <t>2GNALAEK7F6421300</t>
  </si>
  <si>
    <t>2GNALAEK9E6172285</t>
  </si>
  <si>
    <t>2GNALBEK0G1116158</t>
  </si>
  <si>
    <t>2GNALBEK1G1163036</t>
  </si>
  <si>
    <t>2GNALBEK5E6234450</t>
  </si>
  <si>
    <t>2GNALBEK5H1601560</t>
  </si>
  <si>
    <t>2GNALBEK7D6225599</t>
  </si>
  <si>
    <t>2GNALBEK7F6104834</t>
  </si>
  <si>
    <t>2GNALBEK7G1126685</t>
  </si>
  <si>
    <t>2GNALBEK8D6329969</t>
  </si>
  <si>
    <t>2GNALBEK8H1602766</t>
  </si>
  <si>
    <t>2GNALBEK9H1501607</t>
  </si>
  <si>
    <t>2GNALBEKXE6100856</t>
  </si>
  <si>
    <t>2GNALBEKXF1172087</t>
  </si>
  <si>
    <t>2GNALBEKXF6298954</t>
  </si>
  <si>
    <t>2GNALBEKXH1524524</t>
  </si>
  <si>
    <t>2GNALCEK0F6182944</t>
  </si>
  <si>
    <t>2GNALCEK0H6265440</t>
  </si>
  <si>
    <t>2GNALCEK1G1147540</t>
  </si>
  <si>
    <t>2GNALCEK1H1595889</t>
  </si>
  <si>
    <t>2GNALCEK4H1605539</t>
  </si>
  <si>
    <t>2GNALCEK6H1606501</t>
  </si>
  <si>
    <t>2GNALCEK7H1551766</t>
  </si>
  <si>
    <t>2GNALCEK8F6189074</t>
  </si>
  <si>
    <t>2GNALCEK8H6296841</t>
  </si>
  <si>
    <t>2GNALDEK1D6280061</t>
  </si>
  <si>
    <t>2GNALDEK2D6369962</t>
  </si>
  <si>
    <t>2GNALPEKXD6345300</t>
  </si>
  <si>
    <t>2GNAXHEV5K6271642</t>
  </si>
  <si>
    <t>2GNAXHEV6K6144396</t>
  </si>
  <si>
    <t>2GNAXHEV8J6338927</t>
  </si>
  <si>
    <t>2GNAXJEV0J6271120</t>
  </si>
  <si>
    <t>2GNAXJEV1L6115364</t>
  </si>
  <si>
    <t>2GNAXJEV2J6255890</t>
  </si>
  <si>
    <t>2GNAXJEV6J6227378</t>
  </si>
  <si>
    <t>2GNAXJEV8J6241900</t>
  </si>
  <si>
    <t>2GNAXKEV1L6223344</t>
  </si>
  <si>
    <t>2GNAXKEV6L6103717</t>
  </si>
  <si>
    <t>2GNAXKEV8L6137996</t>
  </si>
  <si>
    <t>2GNAXKEV9K6121921</t>
  </si>
  <si>
    <t>2GNAXSEV0J6208931</t>
  </si>
  <si>
    <t>2GNAXSEV3J6172541</t>
  </si>
  <si>
    <t>2GNAXUEV5K6106702</t>
  </si>
  <si>
    <t>2GNAXUEV7K6242314</t>
  </si>
  <si>
    <t>2GNAXUEV9L6221837</t>
  </si>
  <si>
    <t>2GNFLBE32F6371796</t>
  </si>
  <si>
    <t>EQUINOX FWD V6</t>
  </si>
  <si>
    <t>2GNFLCE32E6260928</t>
  </si>
  <si>
    <t>2GNFLEEK0G6348821</t>
  </si>
  <si>
    <t>2GNFLEEK1F6340449</t>
  </si>
  <si>
    <t>2GNFLEEK7F6189925</t>
  </si>
  <si>
    <t>2GNFLEEKXF6176957</t>
  </si>
  <si>
    <t>2GNFLFEK0F6141088</t>
  </si>
  <si>
    <t>2GNFLFEK0G6239250</t>
  </si>
  <si>
    <t>2GNFLFEK3G6188942</t>
  </si>
  <si>
    <t>2GNFLFEK3H6234108</t>
  </si>
  <si>
    <t>2GNFLFEK5H6254893</t>
  </si>
  <si>
    <t>2GNFLFEK6F6105907</t>
  </si>
  <si>
    <t>2GNFLFEK6F6217512</t>
  </si>
  <si>
    <t>2GNFLFEK7H6324975</t>
  </si>
  <si>
    <t>2GNFLFEK9F6312730</t>
  </si>
  <si>
    <t>2GNFLGEK6H6107990</t>
  </si>
  <si>
    <t>2GNFLHE3XE6195842</t>
  </si>
  <si>
    <t>EQUINOX AWD V6</t>
  </si>
  <si>
    <t>2GNFLNE57C6202999</t>
  </si>
  <si>
    <t>2GNFLNEK8D6173276</t>
  </si>
  <si>
    <t>2HGFA1F56AH319885</t>
  </si>
  <si>
    <t>2HGFA1F59BH541662</t>
  </si>
  <si>
    <t>2HGFB2F57FH564124</t>
  </si>
  <si>
    <t>2HGFB2F96EH547901</t>
  </si>
  <si>
    <t>2HGFC2F65LH538025</t>
  </si>
  <si>
    <t>2HGFC3A57LH750106</t>
  </si>
  <si>
    <t>CIVIC SI</t>
  </si>
  <si>
    <t>2HKRM4H79GH718213</t>
  </si>
  <si>
    <t>CR V AWD</t>
  </si>
  <si>
    <t>2HKRW5H37KH415808</t>
  </si>
  <si>
    <t>CR-V FWD 4C</t>
  </si>
  <si>
    <t>2LMDJ6JKXBBJ20911</t>
  </si>
  <si>
    <t>MKX</t>
  </si>
  <si>
    <t>2LMPJ8LR2JBL41226</t>
  </si>
  <si>
    <t>2LMTJ6LR2GBL39780</t>
  </si>
  <si>
    <t>2LMTJ8LP4GBL29794</t>
  </si>
  <si>
    <t>2T1BU4EE7DC060376</t>
  </si>
  <si>
    <t>TOYOTA</t>
  </si>
  <si>
    <t>COROLLA</t>
  </si>
  <si>
    <t>2T1BURHE0HC806326</t>
  </si>
  <si>
    <t>2T1BURHE7JC052086</t>
  </si>
  <si>
    <t>2T1BURHE8JC992848</t>
  </si>
  <si>
    <t>2T1BURHE9GC599773</t>
  </si>
  <si>
    <t>2T1BURHE9JC109663</t>
  </si>
  <si>
    <t>2T3BFREV4EW221121</t>
  </si>
  <si>
    <t>RAV4 AWD</t>
  </si>
  <si>
    <t>2T3WFREV1FW201315</t>
  </si>
  <si>
    <t>RAV4 FWD</t>
  </si>
  <si>
    <t>3C3CFFAR9CT384352</t>
  </si>
  <si>
    <t>FIAT</t>
  </si>
  <si>
    <t>3C3CFFBR8DT591976</t>
  </si>
  <si>
    <t>3C3CFFCR3DT634196</t>
  </si>
  <si>
    <t>3C3CFFFH2ET240077</t>
  </si>
  <si>
    <t>3C3CFFFH8DT528443</t>
  </si>
  <si>
    <t>3C3CFFHH0DT620157</t>
  </si>
  <si>
    <t>3C3CFFKR3HT561337</t>
  </si>
  <si>
    <t>3C4NJCAB2MT546036</t>
  </si>
  <si>
    <t>3C4NJCAB6KT755857</t>
  </si>
  <si>
    <t>3C4NJCAB9KT844418</t>
  </si>
  <si>
    <t>3C4NJCBB3KT706484</t>
  </si>
  <si>
    <t>COMPASS FWD</t>
  </si>
  <si>
    <t>3C4NJCBB6JT195013</t>
  </si>
  <si>
    <t>3C4NJCBBXJT194883</t>
  </si>
  <si>
    <t>3C4NJCBBXKT623778</t>
  </si>
  <si>
    <t>3C4NJCCB6JT358161</t>
  </si>
  <si>
    <t>3C4NJCCB7JT406380</t>
  </si>
  <si>
    <t>3C4NJDAB6JT178980</t>
  </si>
  <si>
    <t>COMPASS 4X4</t>
  </si>
  <si>
    <t>3C4NJDBB0KT600631</t>
  </si>
  <si>
    <t>3C4NJDBB3JT331698</t>
  </si>
  <si>
    <t>3C4NJDBB3MT557177</t>
  </si>
  <si>
    <t>3C4NJDBB4JT283869</t>
  </si>
  <si>
    <t>3C4NJDBB7HT624630</t>
  </si>
  <si>
    <t>NEW COMPASS</t>
  </si>
  <si>
    <t>3C4NJDBB7JT307792</t>
  </si>
  <si>
    <t>3C4NJDCB1KT843136</t>
  </si>
  <si>
    <t>3C4NJDCB2HT651555</t>
  </si>
  <si>
    <t>3C4NJDCB2KT747578</t>
  </si>
  <si>
    <t>3C4NJDCB7LT149665</t>
  </si>
  <si>
    <t>3C4NJDCB7MT515271</t>
  </si>
  <si>
    <t>3C4NJDCB7MT586549</t>
  </si>
  <si>
    <t>3C4PDCAB1KT871757</t>
  </si>
  <si>
    <t>JOURNEY</t>
  </si>
  <si>
    <t>3C4PDCAB3ET209859</t>
  </si>
  <si>
    <t>3C4PDCAB3GT212022</t>
  </si>
  <si>
    <t>3C4PDCAB4FT531881</t>
  </si>
  <si>
    <t>JOURNEY FWD 4C</t>
  </si>
  <si>
    <t>3C4PDCAB4JT218791</t>
  </si>
  <si>
    <t>3C4PDCAB6HT709387</t>
  </si>
  <si>
    <t>3C4PDCBB4KT707756</t>
  </si>
  <si>
    <t>3C4PDCBG1GT213597</t>
  </si>
  <si>
    <t>3C4PDCBG2FT686102</t>
  </si>
  <si>
    <t>JOURNEY FWD V6</t>
  </si>
  <si>
    <t>3C4PDCBG5HT589947</t>
  </si>
  <si>
    <t>3C4PDCDG0ET308114</t>
  </si>
  <si>
    <t>3C4PDCEG8JT439316</t>
  </si>
  <si>
    <t>3C4PDCGB9LT272680</t>
  </si>
  <si>
    <t>3C4PDDBG3ET251030</t>
  </si>
  <si>
    <t>3C4PDDBG9GT196442</t>
  </si>
  <si>
    <t>3C4PDDEG2DT519351</t>
  </si>
  <si>
    <t>3C4PDDEG9HT620408</t>
  </si>
  <si>
    <t>3C4PDDEGXKT687848</t>
  </si>
  <si>
    <t>3CZRU5H36LM706683</t>
  </si>
  <si>
    <t>HR-V</t>
  </si>
  <si>
    <t>3CZRU6H77JM707377</t>
  </si>
  <si>
    <t>3FA6P0CDXKR219447</t>
  </si>
  <si>
    <t>3FA6P0D91JR113770</t>
  </si>
  <si>
    <t>FUSION AWD 4C</t>
  </si>
  <si>
    <t>3FA6P0G70JR147130</t>
  </si>
  <si>
    <t>3FA6P0G71HR347802</t>
  </si>
  <si>
    <t>3FA6P0G75GR335831</t>
  </si>
  <si>
    <t>3FA6P0H70FR179887</t>
  </si>
  <si>
    <t>3FA6P0H70GR345648</t>
  </si>
  <si>
    <t>3FA6P0H70HR412122</t>
  </si>
  <si>
    <t>3FA6P0H71ER323025</t>
  </si>
  <si>
    <t>3FA6P0H73LR153487</t>
  </si>
  <si>
    <t>3FA6P0H75ER171279</t>
  </si>
  <si>
    <t>Unknown</t>
  </si>
  <si>
    <t>3FA6P0H75GR225019</t>
  </si>
  <si>
    <t>3FA6P0H77HR213228</t>
  </si>
  <si>
    <t>3FA6P0H79HR394378</t>
  </si>
  <si>
    <t>3FA6P0H93ER310827</t>
  </si>
  <si>
    <t>3FA6P0HD0FR191348</t>
  </si>
  <si>
    <t>3FA6P0HD0JR257969</t>
  </si>
  <si>
    <t>3FA6P0HD1HR140587</t>
  </si>
  <si>
    <t>3FA6P0HD2HR132269</t>
  </si>
  <si>
    <t>3FA6P0HD2JR208045</t>
  </si>
  <si>
    <t>3FA6P0HD3HR415764</t>
  </si>
  <si>
    <t>3FA6P0HD5JR153865</t>
  </si>
  <si>
    <t>3FA6P0HD6ER371948</t>
  </si>
  <si>
    <t>3FA6P0HD6JR284156</t>
  </si>
  <si>
    <t>3FA6P0HD6LR109294</t>
  </si>
  <si>
    <t>3FA6P0HD6LR191480</t>
  </si>
  <si>
    <t>3FA6P0HD9HR183185</t>
  </si>
  <si>
    <t>3FA6P0K97ER314694</t>
  </si>
  <si>
    <t>3FA6P0LU7KR253507</t>
  </si>
  <si>
    <t>FUSION HYBRID</t>
  </si>
  <si>
    <t>3FA6P0LU8DR128728</t>
  </si>
  <si>
    <t>3FA6P0T94GR403818</t>
  </si>
  <si>
    <t>3FA6P0UU1ER394995</t>
  </si>
  <si>
    <t>3FADP4BJ1CM146358</t>
  </si>
  <si>
    <t>FIESTA</t>
  </si>
  <si>
    <t>3FADP4BJ5HM125648</t>
  </si>
  <si>
    <t>3FADP4BJ5JM126997</t>
  </si>
  <si>
    <t>3FADP4EJXKM148359</t>
  </si>
  <si>
    <t>3FADP4FJ7BM124938</t>
  </si>
  <si>
    <t>3FADP4GXXFM160289</t>
  </si>
  <si>
    <t>3FAHP0HG2CR261754</t>
  </si>
  <si>
    <t>FUSION FWD V6</t>
  </si>
  <si>
    <t>3FAHP0JG8BR114248</t>
  </si>
  <si>
    <t>3G1BE6SM9HS531143</t>
  </si>
  <si>
    <t>3GKALMEV8JL309229</t>
  </si>
  <si>
    <t>3GKALPEV2ML308695</t>
  </si>
  <si>
    <t>3GKALPEV5ML331274</t>
  </si>
  <si>
    <t>3GKALPEV8LL205151</t>
  </si>
  <si>
    <t>3GKALTEV8JL268966</t>
  </si>
  <si>
    <t>3GKALVEV4KL325211</t>
  </si>
  <si>
    <t>3GKALXEX8JL289650</t>
  </si>
  <si>
    <t>3GNAXHEV4JS624260</t>
  </si>
  <si>
    <t>3GNAXHEV4LS555072</t>
  </si>
  <si>
    <t>3GNAXHEV7KS567909</t>
  </si>
  <si>
    <t>3GNAXKEV0LS695259</t>
  </si>
  <si>
    <t>3GNAXKEV0NL293707</t>
  </si>
  <si>
    <t>EQUINOX FWD</t>
  </si>
  <si>
    <t>3GNAXKEV9KS579105</t>
  </si>
  <si>
    <t>3GNAXKEX6JS517368</t>
  </si>
  <si>
    <t>3GNAXSEV0JS628156</t>
  </si>
  <si>
    <t>3GNAXTEV4MS111386</t>
  </si>
  <si>
    <t>EQUINOX AWD</t>
  </si>
  <si>
    <t>3GNAXUEV0NL199774</t>
  </si>
  <si>
    <t>3GNAXUEV1MS171566</t>
  </si>
  <si>
    <t>3GNAXUEV4MS137556</t>
  </si>
  <si>
    <t>3GNCJKSB4HL169030</t>
  </si>
  <si>
    <t>TRAX</t>
  </si>
  <si>
    <t>3GNCJKSB8HL280213</t>
  </si>
  <si>
    <t>3GNCJKSBXGL124625</t>
  </si>
  <si>
    <t>3GNCJKSBXHL286787</t>
  </si>
  <si>
    <t>TRAX FWD</t>
  </si>
  <si>
    <t>3GNCJLSB2JL275410</t>
  </si>
  <si>
    <t>3GNCJLSB4HL287620</t>
  </si>
  <si>
    <t>3GNCJLSB4KL134792</t>
  </si>
  <si>
    <t>3GNCJLSB9FL182200</t>
  </si>
  <si>
    <t>3GNCJMSB9GL205000</t>
  </si>
  <si>
    <t>3GNCJPSB2JL265449</t>
  </si>
  <si>
    <t>TRAX AWD</t>
  </si>
  <si>
    <t>3GNCJPSB5HL148815</t>
  </si>
  <si>
    <t>3GNCJPSB6HL218208</t>
  </si>
  <si>
    <t>3GNKBCR47LS671339</t>
  </si>
  <si>
    <t>BLAZER</t>
  </si>
  <si>
    <t>3GNKBJRS4NS133932</t>
  </si>
  <si>
    <t>3GTP1VEC7EG476745</t>
  </si>
  <si>
    <t>SIERRA 1500</t>
  </si>
  <si>
    <t>3GYFNAE36CS617267</t>
  </si>
  <si>
    <t>SRX</t>
  </si>
  <si>
    <t>3GYFNAE36DS654370</t>
  </si>
  <si>
    <t>3GYFNAE38CS568072</t>
  </si>
  <si>
    <t>3GYFNAEY0AS555762</t>
  </si>
  <si>
    <t>3GYFNBE31GS534275</t>
  </si>
  <si>
    <t>3GYFNFE36FS630957</t>
  </si>
  <si>
    <t>3GYFNGE34FS611443</t>
  </si>
  <si>
    <t>3HGGK5H85FM739520</t>
  </si>
  <si>
    <t>FIT</t>
  </si>
  <si>
    <t>3KPA24AD8ME390947</t>
  </si>
  <si>
    <t>KIA</t>
  </si>
  <si>
    <t>RIO</t>
  </si>
  <si>
    <t>3KPC24A60ME130536</t>
  </si>
  <si>
    <t>HYUNDAI</t>
  </si>
  <si>
    <t>ACCENT</t>
  </si>
  <si>
    <t>3KPC24A65LE101774</t>
  </si>
  <si>
    <t>3KPF24AD0ME334099</t>
  </si>
  <si>
    <t>FORTE</t>
  </si>
  <si>
    <t>3KPF24AD0ME371752</t>
  </si>
  <si>
    <t>3KPF24AD2LE170787</t>
  </si>
  <si>
    <t>3KPF24AD3LE211959</t>
  </si>
  <si>
    <t>3KPF24AD5KE137328</t>
  </si>
  <si>
    <t>3KPF24AD6KE087362</t>
  </si>
  <si>
    <t>3KPF24AD6LE162515</t>
  </si>
  <si>
    <t>3KPF34AD1KE065816</t>
  </si>
  <si>
    <t>3KPF34AD1ME297089</t>
  </si>
  <si>
    <t>3KPF34AD5KE123846</t>
  </si>
  <si>
    <t>3KPF34AD6LE167601</t>
  </si>
  <si>
    <t>3KPF54AD0NE432400</t>
  </si>
  <si>
    <t>3KPF54AD7ME280341</t>
  </si>
  <si>
    <t>3KPFK4A70HE133514</t>
  </si>
  <si>
    <t>3KPFK4A71HE087465</t>
  </si>
  <si>
    <t>3KPFK4A71HE133229</t>
  </si>
  <si>
    <t>3KPFK4A74HE139641</t>
  </si>
  <si>
    <t>3KPFK4A75JE276545</t>
  </si>
  <si>
    <t>3KPFK4A76HE136742</t>
  </si>
  <si>
    <t>3KPFK4A76JE202292</t>
  </si>
  <si>
    <t>3KPFL4A72JE184418</t>
  </si>
  <si>
    <t>3KPFL4A74HE153343</t>
  </si>
  <si>
    <t>3KPFL4A74JE200960</t>
  </si>
  <si>
    <t>3KPFL4A7XHE025074</t>
  </si>
  <si>
    <t>3KPFL4A83HE019884</t>
  </si>
  <si>
    <t>3LN6L2G97DR800460</t>
  </si>
  <si>
    <t>MKZ</t>
  </si>
  <si>
    <t>3LN6L2J92DR817207</t>
  </si>
  <si>
    <t>MKZ AWD 4C</t>
  </si>
  <si>
    <t>3LN6L2J96ER821245</t>
  </si>
  <si>
    <t>3LN6L2LU3GR615689</t>
  </si>
  <si>
    <t>MKZ HYBRID</t>
  </si>
  <si>
    <t>3LN6L2LUXGR618766</t>
  </si>
  <si>
    <t>MKZ FWD 4C</t>
  </si>
  <si>
    <t>3LN6L5A91HR631827</t>
  </si>
  <si>
    <t>3LN6L5C92HR653798</t>
  </si>
  <si>
    <t>3LN6L5C97JR611133</t>
  </si>
  <si>
    <t>3LN6L5LU9HR630412</t>
  </si>
  <si>
    <t>3LNHL2JC4AR754059</t>
  </si>
  <si>
    <t>3LNHL2JC6CR814927</t>
  </si>
  <si>
    <t>3MYDLBJV5LY700817</t>
  </si>
  <si>
    <t>YARIS</t>
  </si>
  <si>
    <t>3MYDLBZV5GY101586</t>
  </si>
  <si>
    <t>SCION</t>
  </si>
  <si>
    <t>IA</t>
  </si>
  <si>
    <t>3MZBN1V74HM135008</t>
  </si>
  <si>
    <t>MAZDA</t>
  </si>
  <si>
    <t>MAZDA3</t>
  </si>
  <si>
    <t>3N1AB7AP0HL640391</t>
  </si>
  <si>
    <t>SENTRA</t>
  </si>
  <si>
    <t>3N1AB7AP1KY273785</t>
  </si>
  <si>
    <t>3N1AB7AP2EY308967</t>
  </si>
  <si>
    <t>3N1AB7AP2HY344324</t>
  </si>
  <si>
    <t>3N1AB7AP2KY206838</t>
  </si>
  <si>
    <t>3N1AB7AP3KL615332</t>
  </si>
  <si>
    <t>3N1AB7AP4EY286292</t>
  </si>
  <si>
    <t>3N1AB7AP4KY241445</t>
  </si>
  <si>
    <t>3N1AB7AP5HY356919</t>
  </si>
  <si>
    <t>3N1AB7AP5JY299871</t>
  </si>
  <si>
    <t>3N1AB7AP6GY259405</t>
  </si>
  <si>
    <t>3N1AB7AP6HY256389</t>
  </si>
  <si>
    <t>3N1AB7AP6JY316984</t>
  </si>
  <si>
    <t>3N1AB7AP8KY261813</t>
  </si>
  <si>
    <t>3N1AB7AP9HY215285</t>
  </si>
  <si>
    <t>3N1AB7APXGL678984</t>
  </si>
  <si>
    <t>3N1AB7APXHL635554</t>
  </si>
  <si>
    <t>3N1AB7APXKY344160</t>
  </si>
  <si>
    <t>3N1CE2CP2HL376459</t>
  </si>
  <si>
    <t>VERSA NOTE</t>
  </si>
  <si>
    <t>3N1CE2CP3GL398873</t>
  </si>
  <si>
    <t>3N1CN7AP1JL856563</t>
  </si>
  <si>
    <t>VERSA</t>
  </si>
  <si>
    <t>3N1CN7AP2GL817764</t>
  </si>
  <si>
    <t>3N1CN7AP2HK453661</t>
  </si>
  <si>
    <t>3N1CN7AP2KL818762</t>
  </si>
  <si>
    <t>3N1CN7AP2KL832757</t>
  </si>
  <si>
    <t>3N1CN7AP3HK462045</t>
  </si>
  <si>
    <t>3N1CN7AP4JL859196</t>
  </si>
  <si>
    <t>3N1CN7APXHL871847</t>
  </si>
  <si>
    <t>3N1CN8EV5ML832267</t>
  </si>
  <si>
    <t>3N1CN8EV6ML863785</t>
  </si>
  <si>
    <t>3N1CP5BV9NL504106</t>
  </si>
  <si>
    <t>KICKS</t>
  </si>
  <si>
    <t>3PCAJ5M11LF112412</t>
  </si>
  <si>
    <t>INFINITI</t>
  </si>
  <si>
    <t>QX50</t>
  </si>
  <si>
    <t>3TMCZ5AN5MM429616</t>
  </si>
  <si>
    <t>TACOMA</t>
  </si>
  <si>
    <t>3VV2B7AX3KM089734</t>
  </si>
  <si>
    <t>TIGUAN</t>
  </si>
  <si>
    <t>3VV2B7AX4KM124667</t>
  </si>
  <si>
    <t>TIGUAN AWD</t>
  </si>
  <si>
    <t>3VV3B7AX7MM105375</t>
  </si>
  <si>
    <t>3VW1K7AJ1FM228042</t>
  </si>
  <si>
    <t>JETTA</t>
  </si>
  <si>
    <t>3VW267AJXGM318171</t>
  </si>
  <si>
    <t>3VW2K7AJ0FM338956</t>
  </si>
  <si>
    <t>3VW2K7AJ2EM226660</t>
  </si>
  <si>
    <t>3VW2K7AJ3FM300704</t>
  </si>
  <si>
    <t>3VW2K7AJ8DM352956</t>
  </si>
  <si>
    <t>JETTA 4C</t>
  </si>
  <si>
    <t>3VW2K7AJ8EM398319</t>
  </si>
  <si>
    <t>3VW447AU3JM289029</t>
  </si>
  <si>
    <t>GOLF GTI</t>
  </si>
  <si>
    <t>3VW4T7AJ1EM304724</t>
  </si>
  <si>
    <t>3VW5T7AU6HM068185</t>
  </si>
  <si>
    <t>3VWC17AU3FM502864</t>
  </si>
  <si>
    <t>GOLF</t>
  </si>
  <si>
    <t>3VWC57BU5LM104022</t>
  </si>
  <si>
    <t>3VWD17AJ0GM388091</t>
  </si>
  <si>
    <t>3VWD17AJ1EM265784</t>
  </si>
  <si>
    <t>3VWD17AJ2FM282000</t>
  </si>
  <si>
    <t>3VWD17AJ5FM267555</t>
  </si>
  <si>
    <t>3VWDP7AJ1DM311725</t>
  </si>
  <si>
    <t>3VWDP7AJ3CM391589</t>
  </si>
  <si>
    <t>JETTA 5C</t>
  </si>
  <si>
    <t>3VWDP7AJ9CM360492</t>
  </si>
  <si>
    <t>3VWL17AJ4HM268467</t>
  </si>
  <si>
    <t>3VWLL7AJ7EM410557</t>
  </si>
  <si>
    <t>3VWLL7AJXBM034335</t>
  </si>
  <si>
    <t>3VWN57BU3LM057260</t>
  </si>
  <si>
    <t>3VWPL7AJ0EM610455</t>
  </si>
  <si>
    <t>JETTA SPORTWAGEN</t>
  </si>
  <si>
    <t>3VWPL7AJ8DM693891</t>
  </si>
  <si>
    <t>3VWPL7AJ9EM621275</t>
  </si>
  <si>
    <t>4A4AR3AU3EE027161</t>
  </si>
  <si>
    <t>MITSUBISHI</t>
  </si>
  <si>
    <t>OUTLANDER SPORT</t>
  </si>
  <si>
    <t>4A4AR4AU0FE050243</t>
  </si>
  <si>
    <t>4JGBF7BEXBA675632</t>
  </si>
  <si>
    <t>MERCEDES-BENZ</t>
  </si>
  <si>
    <t>GL 450</t>
  </si>
  <si>
    <t>Grade 0: Salvage</t>
  </si>
  <si>
    <t>4JGDF7CE0EA322800</t>
  </si>
  <si>
    <t>4S3BNBC68F3005427</t>
  </si>
  <si>
    <t>SUBARU</t>
  </si>
  <si>
    <t>LEGACY</t>
  </si>
  <si>
    <t>4S3BNBL6XF3073888</t>
  </si>
  <si>
    <t>4S3GKAA69K3610062</t>
  </si>
  <si>
    <t>IMPREZA</t>
  </si>
  <si>
    <t>4S3GTAB62H3753410</t>
  </si>
  <si>
    <t>4S3GTAU67K3714526</t>
  </si>
  <si>
    <t>4S4WMABD1K3405317</t>
  </si>
  <si>
    <t>ASCENT</t>
  </si>
  <si>
    <t>4T1B11HK2KU239719</t>
  </si>
  <si>
    <t>CAMRY 4C</t>
  </si>
  <si>
    <t>4T1B11HK3JU579797</t>
  </si>
  <si>
    <t>4T1B11HK5JU522906</t>
  </si>
  <si>
    <t>CAMRY</t>
  </si>
  <si>
    <t>4T1B11HKXKU193198</t>
  </si>
  <si>
    <t>4T1BF1FK0EU403428</t>
  </si>
  <si>
    <t>4T1BF1FK1CU186551</t>
  </si>
  <si>
    <t>4T1BF1FK1EU729464</t>
  </si>
  <si>
    <t>4T1BF1FK2HU795879</t>
  </si>
  <si>
    <t>4T1BF1FK5FU093861</t>
  </si>
  <si>
    <t>4T1BF1FK7CU115421</t>
  </si>
  <si>
    <t>4T1BF1FK7EU796828</t>
  </si>
  <si>
    <t>4T1BF1FK8EU785210</t>
  </si>
  <si>
    <t>4T1BF3EK0BU626979</t>
  </si>
  <si>
    <t>4T4BF3EK9BR103756</t>
  </si>
  <si>
    <t>55SWF8DB0KU296207</t>
  </si>
  <si>
    <t>C 300</t>
  </si>
  <si>
    <t>5FNRL5H60FB093181</t>
  </si>
  <si>
    <t>ODYSSEY</t>
  </si>
  <si>
    <t>5FNRL5H62EB125949</t>
  </si>
  <si>
    <t>5FNRL5H62GB095340</t>
  </si>
  <si>
    <t>5FNYF3H53EB021839</t>
  </si>
  <si>
    <t>PILOT</t>
  </si>
  <si>
    <t>5FNYF5H34LB024482</t>
  </si>
  <si>
    <t>5FNYF5H54JB014601</t>
  </si>
  <si>
    <t>PILOT FWD</t>
  </si>
  <si>
    <t>5FPYK1F2XDB004941</t>
  </si>
  <si>
    <t>RIDGELIN 4X4 CR</t>
  </si>
  <si>
    <t>5GAKRAKD4HJ336794</t>
  </si>
  <si>
    <t>ENCLAVE</t>
  </si>
  <si>
    <t>5GAKRAKD6HJ333525</t>
  </si>
  <si>
    <t>5GAKRBKD8FJ114374</t>
  </si>
  <si>
    <t>5GAKVCKD8FJ298426</t>
  </si>
  <si>
    <t>5J6RM3H39CL017548</t>
  </si>
  <si>
    <t>CR-V FWD</t>
  </si>
  <si>
    <t>5J6RM4H51EL082789</t>
  </si>
  <si>
    <t>CR-V</t>
  </si>
  <si>
    <t>5J8TB3H58EL001932</t>
  </si>
  <si>
    <t>RDX</t>
  </si>
  <si>
    <t>5J8TB4H35HL002416</t>
  </si>
  <si>
    <t>5J8TB4H73HL021064</t>
  </si>
  <si>
    <t>5LMCJ1C90HUL09684</t>
  </si>
  <si>
    <t>MKC</t>
  </si>
  <si>
    <t>5LMCJ2D94HUL44488</t>
  </si>
  <si>
    <t>5LMCJ3D90HUL35339</t>
  </si>
  <si>
    <t>MKC AWD 4C</t>
  </si>
  <si>
    <t>5LMTJ2AH6FUJ15822</t>
  </si>
  <si>
    <t>5N1AR1NB4BC626139</t>
  </si>
  <si>
    <t>PATHFINDER</t>
  </si>
  <si>
    <t>5N1AR2MM1DC616177</t>
  </si>
  <si>
    <t>PATHFIND 4X4</t>
  </si>
  <si>
    <t>5N1AR2MM3DC636334</t>
  </si>
  <si>
    <t>5N1AR2MM6EC663349</t>
  </si>
  <si>
    <t>5N1AR2MM7FC642608</t>
  </si>
  <si>
    <t>5N1AR2MM7GC621453</t>
  </si>
  <si>
    <t>5N1AT2MT5EC754993</t>
  </si>
  <si>
    <t>ROGUE FWD</t>
  </si>
  <si>
    <t>5N1AT2MV0EC844358</t>
  </si>
  <si>
    <t>ROGUE</t>
  </si>
  <si>
    <t>5N1AT2MV0HC843120</t>
  </si>
  <si>
    <t>5N1AT2MV4FC766720</t>
  </si>
  <si>
    <t>5N1AT2MV6EC861567</t>
  </si>
  <si>
    <t>ROGUE AWD</t>
  </si>
  <si>
    <t>5N1AT2MVXJC757612</t>
  </si>
  <si>
    <t>5N1AZ2BSXLN142055</t>
  </si>
  <si>
    <t>MURANO AWD</t>
  </si>
  <si>
    <t>5N1AZ2DJ9MC108951</t>
  </si>
  <si>
    <t>MURANO</t>
  </si>
  <si>
    <t>5N1AZ2MH1HN108885</t>
  </si>
  <si>
    <t>MURANO AWD V6</t>
  </si>
  <si>
    <t>5N1AZ2MH2GN109798</t>
  </si>
  <si>
    <t>5N1DL0MNXKC560569</t>
  </si>
  <si>
    <t>QX60 FWD</t>
  </si>
  <si>
    <t>5N1DR2MM2KC582549</t>
  </si>
  <si>
    <t>5N1DR2MN3KC648289</t>
  </si>
  <si>
    <t>PATHFIND FWD</t>
  </si>
  <si>
    <t>5N1DR2MN7HC674595</t>
  </si>
  <si>
    <t>5N1DR2MN7JC624253</t>
  </si>
  <si>
    <t>5NMS2CAD4KH090942</t>
  </si>
  <si>
    <t>SANTA FE</t>
  </si>
  <si>
    <t>5NMS2CAD6KH087654</t>
  </si>
  <si>
    <t>5NMS33AD8LH218209</t>
  </si>
  <si>
    <t>5NMS3CAD8LH289636</t>
  </si>
  <si>
    <t>5NMSH13E29H245944</t>
  </si>
  <si>
    <t>SANTA FE FWD V6</t>
  </si>
  <si>
    <t>5NMZTDLB0HH046331</t>
  </si>
  <si>
    <t>SANTA SP AWD 4C</t>
  </si>
  <si>
    <t>5NMZUDLBXHH024124</t>
  </si>
  <si>
    <t>SANTA FE SPORT</t>
  </si>
  <si>
    <t>5NPD74LF1KH494511</t>
  </si>
  <si>
    <t>ELANTRA</t>
  </si>
  <si>
    <t>5NPD74LF6HH138645</t>
  </si>
  <si>
    <t>5NPD74LF9KH467590</t>
  </si>
  <si>
    <t>5NPD74LFXKH469901</t>
  </si>
  <si>
    <t>5NPD84LF0HH017428</t>
  </si>
  <si>
    <t>5NPD84LF1HH012917</t>
  </si>
  <si>
    <t>5NPD84LF1JH240079</t>
  </si>
  <si>
    <t>5NPD84LF1LH598379</t>
  </si>
  <si>
    <t>5NPD84LF2LH630336</t>
  </si>
  <si>
    <t>5NPD84LF3JH402522</t>
  </si>
  <si>
    <t>5NPD84LF3LH629017</t>
  </si>
  <si>
    <t>5NPD84LF4KH437863</t>
  </si>
  <si>
    <t>5NPD84LF4KH443047</t>
  </si>
  <si>
    <t>5NPD84LF4KH497688</t>
  </si>
  <si>
    <t>5NPD84LF4LH610430</t>
  </si>
  <si>
    <t>5NPD84LF5HH057455</t>
  </si>
  <si>
    <t>5NPD84LF6JH312572</t>
  </si>
  <si>
    <t>5NPD84LF7HH003722</t>
  </si>
  <si>
    <t>5NPD84LF7HH200745</t>
  </si>
  <si>
    <t>5NPD84LF7LH580355</t>
  </si>
  <si>
    <t>5NPD84LF7LH630476</t>
  </si>
  <si>
    <t>5NPD84LF8HH145996</t>
  </si>
  <si>
    <t>5NPD84LF8LH559014</t>
  </si>
  <si>
    <t>5NPD84LFXJH360074</t>
  </si>
  <si>
    <t>5NPDH4AE3DH382075</t>
  </si>
  <si>
    <t>5NPDH4AE3EH486390</t>
  </si>
  <si>
    <t>5NPDH4AE5DH175817</t>
  </si>
  <si>
    <t>5NPDH4AE5GH652962</t>
  </si>
  <si>
    <t>5NPDH4AE7FH611974</t>
  </si>
  <si>
    <t>5NPDH4AE7GH761830</t>
  </si>
  <si>
    <t>5NPDH4AEXDH390139</t>
  </si>
  <si>
    <t>5NPDH4AEXDH413354</t>
  </si>
  <si>
    <t>5NPDH4AEXDH419204</t>
  </si>
  <si>
    <t>5NPDH4AEXFH547168</t>
  </si>
  <si>
    <t>5NPE24AF0GH292742</t>
  </si>
  <si>
    <t>SONATA</t>
  </si>
  <si>
    <t>5NPE24AF1HH573823</t>
  </si>
  <si>
    <t>5NPE24AF2HH438799</t>
  </si>
  <si>
    <t>5NPE24AF3GH378904</t>
  </si>
  <si>
    <t>5NPE24AF3JH603104</t>
  </si>
  <si>
    <t>5NPE24AF3KH774937</t>
  </si>
  <si>
    <t>5NPE24AF4HH524230</t>
  </si>
  <si>
    <t>5NPE24AF5FH214715</t>
  </si>
  <si>
    <t>5NPE24AF5HH587773</t>
  </si>
  <si>
    <t>5NPE24AF5KH790251</t>
  </si>
  <si>
    <t>5NPE24AF6JH728291</t>
  </si>
  <si>
    <t>5NPE24AF7GH411998</t>
  </si>
  <si>
    <t>5NPE24AF7HH548327</t>
  </si>
  <si>
    <t>5NPE24AF7JH712780</t>
  </si>
  <si>
    <t>5NPE24AF9GH354154</t>
  </si>
  <si>
    <t>5NPE24AF9JH601745</t>
  </si>
  <si>
    <t>5NPE24AFXGH295342</t>
  </si>
  <si>
    <t>5NPE34AB6FH048599</t>
  </si>
  <si>
    <t>5NPE34AF1FH098393</t>
  </si>
  <si>
    <t>5NPE34AF2JH625849</t>
  </si>
  <si>
    <t>5NPE34AF4KH795700</t>
  </si>
  <si>
    <t>5NPE34AF6FH102292</t>
  </si>
  <si>
    <t>5NPE34AF7FH227849</t>
  </si>
  <si>
    <t>5NPE34AF7GH290693</t>
  </si>
  <si>
    <t>5NPE34AF9GH343443</t>
  </si>
  <si>
    <t>5NPE34AF9HH496678</t>
  </si>
  <si>
    <t>5NPEB4AC1DH706418</t>
  </si>
  <si>
    <t>5NPEB4AC2BH144669</t>
  </si>
  <si>
    <t>5NPEB4AC4DH721219</t>
  </si>
  <si>
    <t>5NPEB4AC4DH800325</t>
  </si>
  <si>
    <t>5NPEC4AB6CH391232</t>
  </si>
  <si>
    <t>5NPEC4AC5DH746174</t>
  </si>
  <si>
    <t>5NPEC4AC6DH650845</t>
  </si>
  <si>
    <t>5NPEL4JA8LH047389</t>
  </si>
  <si>
    <t>5TFLU4EN7CX035837</t>
  </si>
  <si>
    <t>5TFRU54108X014060</t>
  </si>
  <si>
    <t>TUNDRA 4X2 DB</t>
  </si>
  <si>
    <t>5UXKR0C5XE0H21053</t>
  </si>
  <si>
    <t>BMW</t>
  </si>
  <si>
    <t>X5</t>
  </si>
  <si>
    <t>5UXKR2C51H0U19602</t>
  </si>
  <si>
    <t>5UXWX9C51D0A28351</t>
  </si>
  <si>
    <t>X3</t>
  </si>
  <si>
    <t>5UXWX9C52F0D49317</t>
  </si>
  <si>
    <t>5UXWX9C53G0D79282</t>
  </si>
  <si>
    <t>5UXWX9C55H0T03495</t>
  </si>
  <si>
    <t>5UXWX9C5XE0D14071</t>
  </si>
  <si>
    <t>5XXGM4A71FG368183</t>
  </si>
  <si>
    <t>OPTIMA</t>
  </si>
  <si>
    <t>5XXGM4A74FG394566</t>
  </si>
  <si>
    <t>5XXGM4A79CG026914</t>
  </si>
  <si>
    <t>5XXGN4A74DG210348</t>
  </si>
  <si>
    <t>5XXGN4A76DG152131</t>
  </si>
  <si>
    <t>5XXGN4A76EG332565</t>
  </si>
  <si>
    <t>5XXGN4A77DG094837</t>
  </si>
  <si>
    <t>5XXGN4A78DG111726</t>
  </si>
  <si>
    <t>5XXGN4A79EG269543</t>
  </si>
  <si>
    <t>5XXGT4L32GG029057</t>
  </si>
  <si>
    <t>5XXGT4L32HG143996</t>
  </si>
  <si>
    <t>5XXGT4L32JG218007</t>
  </si>
  <si>
    <t>5XXGT4L33GG018021</t>
  </si>
  <si>
    <t>5XXGT4L35JG270473</t>
  </si>
  <si>
    <t>5XXGT4L35LG419208</t>
  </si>
  <si>
    <t>5XXGT4L36HG175365</t>
  </si>
  <si>
    <t>5XXGT4L36KG320962</t>
  </si>
  <si>
    <t>5XXGT4L37GG003232</t>
  </si>
  <si>
    <t>5XXGT4L37HG149552</t>
  </si>
  <si>
    <t>5XXGT4L38HG170989</t>
  </si>
  <si>
    <t>5XXGT4L39LG385905</t>
  </si>
  <si>
    <t>5XXGU4L32GG083732</t>
  </si>
  <si>
    <t>5XXGU4L32JG209174</t>
  </si>
  <si>
    <t>5XXGU4L35GG055360</t>
  </si>
  <si>
    <t>5XYKT3A11BG125790</t>
  </si>
  <si>
    <t>SORENTO FWD 4C</t>
  </si>
  <si>
    <t>5XYKT3A63DG356396</t>
  </si>
  <si>
    <t>5XYKT3A64FG589254</t>
  </si>
  <si>
    <t>SORENTO</t>
  </si>
  <si>
    <t>5XYKT3A6XFG584429</t>
  </si>
  <si>
    <t>5XYKTCA18BG146748</t>
  </si>
  <si>
    <t>SORENTO AWD 4C</t>
  </si>
  <si>
    <t>5XYKTCA63FG652442</t>
  </si>
  <si>
    <t>5XYKTCA6XEG532068</t>
  </si>
  <si>
    <t>5XYKTDA60EG469388</t>
  </si>
  <si>
    <t>5XYKU4A26BG136196</t>
  </si>
  <si>
    <t>SORENTO FWD V6</t>
  </si>
  <si>
    <t>5XYKUCA17BG101281</t>
  </si>
  <si>
    <t>5XYKUDA66DG318616</t>
  </si>
  <si>
    <t>5XYKW4A22CG298564</t>
  </si>
  <si>
    <t>5XYKWDA24BG094346</t>
  </si>
  <si>
    <t>5XYPG4A32HG229733</t>
  </si>
  <si>
    <t>5XYPG4A36HG218573</t>
  </si>
  <si>
    <t>5XYPG4A37GG045743</t>
  </si>
  <si>
    <t>5XYPG4A39JG404601</t>
  </si>
  <si>
    <t>5XYPG4A3XGG043713</t>
  </si>
  <si>
    <t>5XYPGDA31GG057841</t>
  </si>
  <si>
    <t>5XYPGDA51JG359798</t>
  </si>
  <si>
    <t>5XYPGDA58HG324007</t>
  </si>
  <si>
    <t>5XYPHDA58HG291135</t>
  </si>
  <si>
    <t>5XYPK4A53GG124097</t>
  </si>
  <si>
    <t>5XYRG4LC2MG028737</t>
  </si>
  <si>
    <t>5XYZT3LB6JG569637</t>
  </si>
  <si>
    <t>SANTA SP FWD 4C</t>
  </si>
  <si>
    <t>5XYZTDLB2HG490434</t>
  </si>
  <si>
    <t>5XYZU3LA3EG219814</t>
  </si>
  <si>
    <t>5XYZU3LB9FG295175</t>
  </si>
  <si>
    <t>5XYZUDLA2EG164794</t>
  </si>
  <si>
    <t>5XYZUDLA9EG207947</t>
  </si>
  <si>
    <t>5XYZUDLB7GG345241</t>
  </si>
  <si>
    <t>5XYZUDLBXEG163577</t>
  </si>
  <si>
    <t>5XYZW4LA2HG408586</t>
  </si>
  <si>
    <t>5YFBU4EE6DP170397</t>
  </si>
  <si>
    <t>5YFBU4EE7CP055516</t>
  </si>
  <si>
    <t>5YFBU4EE8CP058022</t>
  </si>
  <si>
    <t>5YFBURHE3FP217834</t>
  </si>
  <si>
    <t>5YFBURHE5GP528845</t>
  </si>
  <si>
    <t>5YFBURHE5JP754701</t>
  </si>
  <si>
    <t>5YFBURHE9GP410538</t>
  </si>
  <si>
    <t>5YFBURHEXGP539744</t>
  </si>
  <si>
    <t>5YFDPRAEXLP051074</t>
  </si>
  <si>
    <t>5YJ3E1EA4JF017506</t>
  </si>
  <si>
    <t>TESLA</t>
  </si>
  <si>
    <t>MODEL 3</t>
  </si>
  <si>
    <t>5YJYGDEE8MF108707</t>
  </si>
  <si>
    <t>MODEL Y</t>
  </si>
  <si>
    <t>7FARW1H28LE012120</t>
  </si>
  <si>
    <t>JA4AD3A34GZ015832</t>
  </si>
  <si>
    <t>OUTLANDER</t>
  </si>
  <si>
    <t>JA4AD3A36GZ059444</t>
  </si>
  <si>
    <t>JA4AP3AU1KU004079</t>
  </si>
  <si>
    <t>JA4AP3AU4JZ000321</t>
  </si>
  <si>
    <t>JA4AP3AU8KU018206</t>
  </si>
  <si>
    <t>OUTLAND SPT FWD</t>
  </si>
  <si>
    <t>JA4AS3AA8JZ057660</t>
  </si>
  <si>
    <t>ECLIPSE CROSS</t>
  </si>
  <si>
    <t>JA4AZ3A34GZ060688</t>
  </si>
  <si>
    <t>JA4AZ3A39EZ016182</t>
  </si>
  <si>
    <t>JF1GJAA65EH024653</t>
  </si>
  <si>
    <t>JF1GJAB68GH018587</t>
  </si>
  <si>
    <t>JF1GJAB68GH019867</t>
  </si>
  <si>
    <t>JF1GPAL65E8309008</t>
  </si>
  <si>
    <t>JF1VA1C67L9804505</t>
  </si>
  <si>
    <t>WRX</t>
  </si>
  <si>
    <t>JF1VA1F67F9814564</t>
  </si>
  <si>
    <t>JF1ZCAC16D1609771</t>
  </si>
  <si>
    <t>BRZ</t>
  </si>
  <si>
    <t>JF2GPAMC0F8241055</t>
  </si>
  <si>
    <t>XV CROSSTREK</t>
  </si>
  <si>
    <t>JF2SHADC1CH455622</t>
  </si>
  <si>
    <t>FORESTER</t>
  </si>
  <si>
    <t>JF2SKADC8LH531676</t>
  </si>
  <si>
    <t>JHLRE48587C085679</t>
  </si>
  <si>
    <t>CR-V 4X4</t>
  </si>
  <si>
    <t>JHMGE8H43AS021256</t>
  </si>
  <si>
    <t>JHMZF1D42CS000906</t>
  </si>
  <si>
    <t>CR Z</t>
  </si>
  <si>
    <t>JM1BL1SG1A1298912</t>
  </si>
  <si>
    <t>JM1BL1UG5B1488615</t>
  </si>
  <si>
    <t>JM1BM1V37E1165597</t>
  </si>
  <si>
    <t>JM1BN1V77H1116985</t>
  </si>
  <si>
    <t>JM1CW2DL0C0100437</t>
  </si>
  <si>
    <t>MAZDA5</t>
  </si>
  <si>
    <t>JM1DKDB74J0327368</t>
  </si>
  <si>
    <t>CX-3</t>
  </si>
  <si>
    <t>JM1DKDB7XG0130052</t>
  </si>
  <si>
    <t>JM1GJ1U52F1204812</t>
  </si>
  <si>
    <t>MAZDA6</t>
  </si>
  <si>
    <t>JM1GJ1U5XF1214729</t>
  </si>
  <si>
    <t>JM1GJ1U64E1147181</t>
  </si>
  <si>
    <t>JM1GJ1V6XF1170755</t>
  </si>
  <si>
    <t>JM1GJ1W59G1450268</t>
  </si>
  <si>
    <t>JM1NC2PF3B0213420</t>
  </si>
  <si>
    <t>MX-5 MIATA</t>
  </si>
  <si>
    <t>JM3KE2BE2E0423191</t>
  </si>
  <si>
    <t>CX 5 FWD 4C</t>
  </si>
  <si>
    <t>JM3KE4CY1F0466233</t>
  </si>
  <si>
    <t>CX 5 AWD 4C</t>
  </si>
  <si>
    <t>JM3TB3CV7D0415667</t>
  </si>
  <si>
    <t>CX-9</t>
  </si>
  <si>
    <t>JM3TB3MA6A0238004</t>
  </si>
  <si>
    <t>JM3TCACY1G0101013</t>
  </si>
  <si>
    <t>JN1AZ4EH1GM936733</t>
  </si>
  <si>
    <t>370Z</t>
  </si>
  <si>
    <t>JN1AZ4EH5CM561245</t>
  </si>
  <si>
    <t>JN1BJ1AWXMW430221</t>
  </si>
  <si>
    <t>ROGUE SPORT AWD</t>
  </si>
  <si>
    <t>JN1BJ1CP6KW529895</t>
  </si>
  <si>
    <t>ROGUE SPORT FWD</t>
  </si>
  <si>
    <t>JN1BJ1CPXKW215702</t>
  </si>
  <si>
    <t>ROGUE SPORT</t>
  </si>
  <si>
    <t>JN1BJ1CR6JW291305</t>
  </si>
  <si>
    <t>JN1BJ1CR9HW125483</t>
  </si>
  <si>
    <t>JN1BJ1CW2LW651761</t>
  </si>
  <si>
    <t>JN1BY1AR9DM603891</t>
  </si>
  <si>
    <t>M37X</t>
  </si>
  <si>
    <t>JN1EV7AP5JM353746</t>
  </si>
  <si>
    <t>Q50 4X2 V6</t>
  </si>
  <si>
    <t>JN8AF5MV0ET483974</t>
  </si>
  <si>
    <t>JUKE</t>
  </si>
  <si>
    <t>JN8AF5MV0FT550915</t>
  </si>
  <si>
    <t>JN8AF5MV3FT555414</t>
  </si>
  <si>
    <t>JN8AF5MV6ET481002</t>
  </si>
  <si>
    <t>JUKE AWD</t>
  </si>
  <si>
    <t>JN8AS5MT8FW666274</t>
  </si>
  <si>
    <t>ROGUE SEL FWD</t>
  </si>
  <si>
    <t>JN8AS5MTXCW299468</t>
  </si>
  <si>
    <t>JN8AS5MV0CW360036</t>
  </si>
  <si>
    <t>JN8AS5MV3DW652278</t>
  </si>
  <si>
    <t>JN8AS5MV5CW706422</t>
  </si>
  <si>
    <t>JN8AS5MV5FW758251</t>
  </si>
  <si>
    <t>ROGUE SELECT</t>
  </si>
  <si>
    <t>JN8AS5MV7CW394037</t>
  </si>
  <si>
    <t>JN8AS5MV9CW351268</t>
  </si>
  <si>
    <t>JN8AT2MT2GW010455</t>
  </si>
  <si>
    <t>JN8AT2MV1KW380368</t>
  </si>
  <si>
    <t>JN8AT2MV9HW024906</t>
  </si>
  <si>
    <t>ROGUE AWD 4C</t>
  </si>
  <si>
    <t>JN8AY2ND0LX017725</t>
  </si>
  <si>
    <t>ARMADA</t>
  </si>
  <si>
    <t>JN8AZ1MW3CW203100</t>
  </si>
  <si>
    <t>JN8AZ1MW5EW522405</t>
  </si>
  <si>
    <t>JNKBV61F88M263369</t>
  </si>
  <si>
    <t>G35 AWD</t>
  </si>
  <si>
    <t>JTDBU4EE1C9171588</t>
  </si>
  <si>
    <t>JTDKBRFU7H3574137</t>
  </si>
  <si>
    <t>PRIUS</t>
  </si>
  <si>
    <t>JTDKN3DU6D5596779</t>
  </si>
  <si>
    <t>JTHBK1GG6D2060076</t>
  </si>
  <si>
    <t>LEXUS</t>
  </si>
  <si>
    <t>ES 350</t>
  </si>
  <si>
    <t>JTHKD5BH4B2029231</t>
  </si>
  <si>
    <t>CT 200H</t>
  </si>
  <si>
    <t>JTJYARBZ8K2132895</t>
  </si>
  <si>
    <t>NX 300</t>
  </si>
  <si>
    <t>JTKJF5C70C3025971</t>
  </si>
  <si>
    <t>TC</t>
  </si>
  <si>
    <t>JTKJF5C71E3088564</t>
  </si>
  <si>
    <t>JTMKF4DV6C5044158</t>
  </si>
  <si>
    <t>RAV4</t>
  </si>
  <si>
    <t>JTMRJREV5JD197156</t>
  </si>
  <si>
    <t>JTND4MBE9N3158053</t>
  </si>
  <si>
    <t>COROLLA HATCHBACK</t>
  </si>
  <si>
    <t>JTNKARJE4GJ508198</t>
  </si>
  <si>
    <t>IM</t>
  </si>
  <si>
    <t>KL4CJ1SB6JB555937</t>
  </si>
  <si>
    <t>ENCORE</t>
  </si>
  <si>
    <t>KL4CJ1SM2KB726993</t>
  </si>
  <si>
    <t>KL4CJ2SB1HB039825</t>
  </si>
  <si>
    <t>KL4CJ2SB1HB100820</t>
  </si>
  <si>
    <t>KL4CJ2SB4HB221762</t>
  </si>
  <si>
    <t>KL4CJ2SB7JB646897</t>
  </si>
  <si>
    <t>ENCORE AWD</t>
  </si>
  <si>
    <t>KL4CJASB1HB199830</t>
  </si>
  <si>
    <t>KL4CJASB2HB039990</t>
  </si>
  <si>
    <t>KL4CJASB3HB198923</t>
  </si>
  <si>
    <t>KL4CJASB3KB795402</t>
  </si>
  <si>
    <t>KL4CJASB4FB253571</t>
  </si>
  <si>
    <t>KL4CJASB6HB028457</t>
  </si>
  <si>
    <t>KL4CJASB6KB708964</t>
  </si>
  <si>
    <t>KL4CJASB6KB949567</t>
  </si>
  <si>
    <t>KL4CJASB7HB107085</t>
  </si>
  <si>
    <t>ENCORE FWD</t>
  </si>
  <si>
    <t>KL4CJASB8GB615497</t>
  </si>
  <si>
    <t>KL4CJASB9GB722557</t>
  </si>
  <si>
    <t>KL4CJASB9HB231469</t>
  </si>
  <si>
    <t>KL4CJASBXKB733401</t>
  </si>
  <si>
    <t>KL4CJBSB3EB520915</t>
  </si>
  <si>
    <t>KL4CJBSB6JB525519</t>
  </si>
  <si>
    <t>KL4CJBSB9FB153794</t>
  </si>
  <si>
    <t>KL4CJESB1GB688346</t>
  </si>
  <si>
    <t>KL4CJESB2HB249528</t>
  </si>
  <si>
    <t>KL4CJESBXGB647889</t>
  </si>
  <si>
    <t>KL4CJHSB4EB523194</t>
  </si>
  <si>
    <t>KL4CJHSB8HB232251</t>
  </si>
  <si>
    <t>KL79MNSL9MB025955</t>
  </si>
  <si>
    <t>TRAILBLAZER</t>
  </si>
  <si>
    <t>KL79MRSL9MB147741</t>
  </si>
  <si>
    <t>KL79MUSL0MB174930</t>
  </si>
  <si>
    <t>KL7CJKSB2HB213520</t>
  </si>
  <si>
    <t>KL7CJKSB6JB575923</t>
  </si>
  <si>
    <t>KL7CJKSB7FB138097</t>
  </si>
  <si>
    <t>KL7CJKSB9FB236936</t>
  </si>
  <si>
    <t>KL7CJLSB1JB661064</t>
  </si>
  <si>
    <t>KL7CJLSB6KB961801</t>
  </si>
  <si>
    <t>KL7CJLSB9GB610937</t>
  </si>
  <si>
    <t>KL7CJLSBXFB077060</t>
  </si>
  <si>
    <t>KL7CJLSM8MB373841</t>
  </si>
  <si>
    <t>KL7CJNSB3FB214366</t>
  </si>
  <si>
    <t>KL7CJPSB9MB345732</t>
  </si>
  <si>
    <t>KL7CJPSBXJB665847</t>
  </si>
  <si>
    <t>KL7CJRSB2GB569313</t>
  </si>
  <si>
    <t>KL8CA6SA6KC724496</t>
  </si>
  <si>
    <t>SPARK</t>
  </si>
  <si>
    <t>KL8CD6SA4GC646282</t>
  </si>
  <si>
    <t>KL8CD6SA6LC429620</t>
  </si>
  <si>
    <t>KL8CD6SAXMC751095</t>
  </si>
  <si>
    <t>KM8J33A23HU352180</t>
  </si>
  <si>
    <t>TUCSON</t>
  </si>
  <si>
    <t>KM8J33A26GU044063</t>
  </si>
  <si>
    <t>KM8J33A42GU196004</t>
  </si>
  <si>
    <t>KM8J33A46MU380583</t>
  </si>
  <si>
    <t>TUCSON FWD 4C</t>
  </si>
  <si>
    <t>KM8J33A4XHU453444</t>
  </si>
  <si>
    <t>KM8J3CA22GU168900</t>
  </si>
  <si>
    <t>TUCSON AWD 4C</t>
  </si>
  <si>
    <t>KM8J3CA23HU563671</t>
  </si>
  <si>
    <t>KM8J3CA40HU482032</t>
  </si>
  <si>
    <t>KM8J3CA41JU684710</t>
  </si>
  <si>
    <t>KM8J3CA41LU116203</t>
  </si>
  <si>
    <t>KM8J3CA45HU276320</t>
  </si>
  <si>
    <t>KM8J3CA48GU207183</t>
  </si>
  <si>
    <t>KM8J3CA4XGU076564</t>
  </si>
  <si>
    <t>KM8JT3AB1CU507169</t>
  </si>
  <si>
    <t>KM8JT3ABXCU506960</t>
  </si>
  <si>
    <t>KM8JU3AC6DU573904</t>
  </si>
  <si>
    <t>KM8JU3AG0EU854097</t>
  </si>
  <si>
    <t>KM8JU3AG2FU034606</t>
  </si>
  <si>
    <t>KM8JUCAG0EU870770</t>
  </si>
  <si>
    <t>KM8JUCAG1EU896150</t>
  </si>
  <si>
    <t>KM8K22AA1MU708807</t>
  </si>
  <si>
    <t>KONA</t>
  </si>
  <si>
    <t>KM8K22AA9KU211811</t>
  </si>
  <si>
    <t>KM8K5CA5XKU222090</t>
  </si>
  <si>
    <t>KM8SM4HF7EU046143</t>
  </si>
  <si>
    <t>KM8SM4HF9GU156324</t>
  </si>
  <si>
    <t>SANTA FE FWD</t>
  </si>
  <si>
    <t>KMHCT4AE3GU058169</t>
  </si>
  <si>
    <t>KMHCT4AE4HU213023</t>
  </si>
  <si>
    <t>KMHCT4AE6EU668564</t>
  </si>
  <si>
    <t>KMHCT5AE4EU195480</t>
  </si>
  <si>
    <t>KMHCT5AE9DU119333</t>
  </si>
  <si>
    <t>KMHCT5AEXFU233408</t>
  </si>
  <si>
    <t>KMHCU5AE5DU079572</t>
  </si>
  <si>
    <t>KMHD35LH1HU384040</t>
  </si>
  <si>
    <t>ELANTRA GT</t>
  </si>
  <si>
    <t>KMHD35LH2HU356604</t>
  </si>
  <si>
    <t>KMHD35LH4HU375333</t>
  </si>
  <si>
    <t>KMHD35LH9FU241088</t>
  </si>
  <si>
    <t>KMHD74LF1HU069879</t>
  </si>
  <si>
    <t>KMHD74LF9KU840855</t>
  </si>
  <si>
    <t>KMHD84LF1HU349816</t>
  </si>
  <si>
    <t>KMHDH4AE1CU205279</t>
  </si>
  <si>
    <t>KMHDH4AE3DU612005</t>
  </si>
  <si>
    <t>KMHDH4AE6EU164960</t>
  </si>
  <si>
    <t>KMHDH4AE6FU357627</t>
  </si>
  <si>
    <t>KMHDH4AE8CU454792</t>
  </si>
  <si>
    <t>KMHDH4AEXDU551770</t>
  </si>
  <si>
    <t>KMHDH4AH9FU348754</t>
  </si>
  <si>
    <t>KMHE24L11GA016526</t>
  </si>
  <si>
    <t>KMHE34L12HA057228</t>
  </si>
  <si>
    <t>SONATA HYBRID</t>
  </si>
  <si>
    <t>KMHFH4JGXEA348469</t>
  </si>
  <si>
    <t>AZERA</t>
  </si>
  <si>
    <t>KMHH35LE1KU089129</t>
  </si>
  <si>
    <t>KMHRB8A30MU067927</t>
  </si>
  <si>
    <t>VENUE</t>
  </si>
  <si>
    <t>KMHRC8A31MU096866</t>
  </si>
  <si>
    <t>KMHTC6AD0CU070714</t>
  </si>
  <si>
    <t>VELOSTER</t>
  </si>
  <si>
    <t>KMHTC6AD0GU251429</t>
  </si>
  <si>
    <t>KMHTC6AD1DU167437</t>
  </si>
  <si>
    <t>KMHTC6AD2HU309218</t>
  </si>
  <si>
    <t>KMHTC6ADXGU269453</t>
  </si>
  <si>
    <t>KMHTC6AE0FU231477</t>
  </si>
  <si>
    <t>KMHTC6AE1GU259497</t>
  </si>
  <si>
    <t>KMHTC6AE2DU111161</t>
  </si>
  <si>
    <t>KMHTC6AE5DU179020</t>
  </si>
  <si>
    <t>KMHTC6AE5GU296987</t>
  </si>
  <si>
    <t>KMHTC6AE9EU209637</t>
  </si>
  <si>
    <t>KNADM4A33G6676386</t>
  </si>
  <si>
    <t>KNADM4A33H6026605</t>
  </si>
  <si>
    <t>KNADM4A37G6677556</t>
  </si>
  <si>
    <t>KNADM4A39D6318740</t>
  </si>
  <si>
    <t>KNADN4A3XG6642944</t>
  </si>
  <si>
    <t>KNAFK4A65G5495630</t>
  </si>
  <si>
    <t>KNAFK4A67E5166134</t>
  </si>
  <si>
    <t>KNAFK4A69G5610004</t>
  </si>
  <si>
    <t>KNAFW4A32D5663911</t>
  </si>
  <si>
    <t>KNAFX4A61G5476915</t>
  </si>
  <si>
    <t>KNAFX4A89F5341911</t>
  </si>
  <si>
    <t>KNAGM4A74F5575636</t>
  </si>
  <si>
    <t>KNAGM4A75F5653079</t>
  </si>
  <si>
    <t>KNAGM4A76F5623573</t>
  </si>
  <si>
    <t>KNAGM4A79D5441024</t>
  </si>
  <si>
    <t>KNAGM4AD0F5078220</t>
  </si>
  <si>
    <t>KNAGM4AD4D5050157</t>
  </si>
  <si>
    <t>KNAGM4AD5D5039877</t>
  </si>
  <si>
    <t>OPTIMA HYBRID</t>
  </si>
  <si>
    <t>KNAGM4AD8F5079275</t>
  </si>
  <si>
    <t>KNAGN4AD6F5090126</t>
  </si>
  <si>
    <t>KNALN4D75E5128125</t>
  </si>
  <si>
    <t>CADENZA</t>
  </si>
  <si>
    <t>KNALN4D77E5119796</t>
  </si>
  <si>
    <t>KNDERCAA4M7042110</t>
  </si>
  <si>
    <t>SELTOS</t>
  </si>
  <si>
    <t>KNDJ23AU0L7050037</t>
  </si>
  <si>
    <t>SOUL</t>
  </si>
  <si>
    <t>KNDJ23AU0L7068926</t>
  </si>
  <si>
    <t>KNDJ23AU4M7145766</t>
  </si>
  <si>
    <t>KNDJ23AU5L7056948</t>
  </si>
  <si>
    <t>KNDJ23AU6L7018628</t>
  </si>
  <si>
    <t>KNDJ23AU6L7705057</t>
  </si>
  <si>
    <t>KNDJ23AU7L7057406</t>
  </si>
  <si>
    <t>KNDJ23AU8L7735712</t>
  </si>
  <si>
    <t>KNDJN2A21K7651889</t>
  </si>
  <si>
    <t>KNDJN2A21K7662617</t>
  </si>
  <si>
    <t>KNDJN2A22K7913323</t>
  </si>
  <si>
    <t>KNDJN2A23G7362424</t>
  </si>
  <si>
    <t>KNDJN2A25G7245752</t>
  </si>
  <si>
    <t>KNDJN2A27H7458462</t>
  </si>
  <si>
    <t>KNDJN2A28F7233514</t>
  </si>
  <si>
    <t>KNDJN2A28J7532882</t>
  </si>
  <si>
    <t>KNDJN2A28K7916758</t>
  </si>
  <si>
    <t>KNDJP3A51J7904735</t>
  </si>
  <si>
    <t>KNDJP3A52J7511052</t>
  </si>
  <si>
    <t>KNDJP3A53F7115400</t>
  </si>
  <si>
    <t>KNDJP3A53G7239779</t>
  </si>
  <si>
    <t>KNDJP3A54J7604235</t>
  </si>
  <si>
    <t>KNDJP3A55E7104218</t>
  </si>
  <si>
    <t>KNDJP3A56E7744132</t>
  </si>
  <si>
    <t>KNDJP3A58G7851718</t>
  </si>
  <si>
    <t>KNDJP3A5XF7765387</t>
  </si>
  <si>
    <t>KNDJT2A2XB7730564</t>
  </si>
  <si>
    <t>KNDMA5C19F6020768</t>
  </si>
  <si>
    <t>SEDONA</t>
  </si>
  <si>
    <t>KNDPBCAC2F7756464</t>
  </si>
  <si>
    <t>SPORTAGE</t>
  </si>
  <si>
    <t>KNDPBCAC5F7756796</t>
  </si>
  <si>
    <t>SPORTAGE AWD 4C</t>
  </si>
  <si>
    <t>KNDPBCAC6G7876818</t>
  </si>
  <si>
    <t>KNDPC3A24D7420798</t>
  </si>
  <si>
    <t>KNDPM3AC2H7069661</t>
  </si>
  <si>
    <t>KNDPM3AC4H7225246</t>
  </si>
  <si>
    <t>SPORTAGE FWD 4C</t>
  </si>
  <si>
    <t>KNDPM3AC8K7552143</t>
  </si>
  <si>
    <t>KNDPM3ACXH7237031</t>
  </si>
  <si>
    <t>KNDPM3ACXK7557506</t>
  </si>
  <si>
    <t>KNDPMCAC1H7282987</t>
  </si>
  <si>
    <t>KNDPMCAC7H7238041</t>
  </si>
  <si>
    <t>KNMAT2MV1GP711916</t>
  </si>
  <si>
    <t>KNMAT2MV6JP584992</t>
  </si>
  <si>
    <t>KNMAT2MVXGP672999</t>
  </si>
  <si>
    <t>LVY982MK2JP037043</t>
  </si>
  <si>
    <t>VOLVO</t>
  </si>
  <si>
    <t>S90</t>
  </si>
  <si>
    <t>MAJ3P1VEXJC197171</t>
  </si>
  <si>
    <t>ECOSPORT</t>
  </si>
  <si>
    <t>MAJ3S2FE5KC292080</t>
  </si>
  <si>
    <t>MAJ3S2FE5MC418621</t>
  </si>
  <si>
    <t>MAJ3S2FE7MC425201</t>
  </si>
  <si>
    <t>MAJ6P1UL0JC201371</t>
  </si>
  <si>
    <t>MAJ6P1WL5JC181180</t>
  </si>
  <si>
    <t>MAJ6P1WL9JC161823</t>
  </si>
  <si>
    <t>MAJ6S3GL7KC276009</t>
  </si>
  <si>
    <t>ECOSPORT 4X4 4C</t>
  </si>
  <si>
    <t>MAJ6S3GL8LC365055</t>
  </si>
  <si>
    <t>ML32A3HJ1KH013349</t>
  </si>
  <si>
    <t>MIRAGE</t>
  </si>
  <si>
    <t>ML32A3HJXLH001850</t>
  </si>
  <si>
    <t>ML32FUFJ7MHF02967</t>
  </si>
  <si>
    <t>MIRAGE G4</t>
  </si>
  <si>
    <t>NMTKHMBX2KR076269</t>
  </si>
  <si>
    <t>C-HR</t>
  </si>
  <si>
    <t>SAJBD4BV6GCY08909</t>
  </si>
  <si>
    <t>JAGUAR</t>
  </si>
  <si>
    <t>XF</t>
  </si>
  <si>
    <t>SAJBE4BV4GCY16519</t>
  </si>
  <si>
    <t>SALGS2EF5GA278469</t>
  </si>
  <si>
    <t>LAND ROVER</t>
  </si>
  <si>
    <t>RANGE ROVER</t>
  </si>
  <si>
    <t>SALVR2BG0HH218320</t>
  </si>
  <si>
    <t>RANGE ROVER EVOQUE</t>
  </si>
  <si>
    <t>SJKCH5CR7HA039863</t>
  </si>
  <si>
    <t>QX30</t>
  </si>
  <si>
    <t>W04GL6SX5J1095003</t>
  </si>
  <si>
    <t>REGAL SPORTBACK</t>
  </si>
  <si>
    <t>W04GS5EC5B1062767</t>
  </si>
  <si>
    <t>W04WT3N57GG090914</t>
  </si>
  <si>
    <t>CASCADA</t>
  </si>
  <si>
    <t>W04WT3N5XGG060533</t>
  </si>
  <si>
    <t>W1KWJ6EB6MG064521</t>
  </si>
  <si>
    <t>AMG C 43</t>
  </si>
  <si>
    <t>WA1CMAFP9FA127712</t>
  </si>
  <si>
    <t>AUDI</t>
  </si>
  <si>
    <t>Q5</t>
  </si>
  <si>
    <t>WA1CVAF16KD014415</t>
  </si>
  <si>
    <t>Q8</t>
  </si>
  <si>
    <t>WA1L2AFP3HA044477</t>
  </si>
  <si>
    <t>WA1LFAFP5FA040819</t>
  </si>
  <si>
    <t>WA1WKAFP7BA109769</t>
  </si>
  <si>
    <t>WAUBFAFL8CN019513</t>
  </si>
  <si>
    <t>A4</t>
  </si>
  <si>
    <t>WAUFFAFL1DN006606</t>
  </si>
  <si>
    <t>WAUGFAFC5GN084850</t>
  </si>
  <si>
    <t>A6</t>
  </si>
  <si>
    <t>WAUKMAF46JA160681</t>
  </si>
  <si>
    <t>WAUWGAFC4FN005675</t>
  </si>
  <si>
    <t>A7</t>
  </si>
  <si>
    <t>WBA2J3C07L7E79452</t>
  </si>
  <si>
    <t>230I</t>
  </si>
  <si>
    <t>WBA3B3C51EJ982605</t>
  </si>
  <si>
    <t>328I</t>
  </si>
  <si>
    <t>WBA3B3C56DJ810682</t>
  </si>
  <si>
    <t>WBA3C3C58EP662546</t>
  </si>
  <si>
    <t>320I</t>
  </si>
  <si>
    <t>WBA4B1C52GG242795</t>
  </si>
  <si>
    <t>435I GRAN COUPE</t>
  </si>
  <si>
    <t>WBA5A7C51FD625699</t>
  </si>
  <si>
    <t>528I</t>
  </si>
  <si>
    <t>WBA8A9C59JAH13454</t>
  </si>
  <si>
    <t>WBA8B9G31HNU56232</t>
  </si>
  <si>
    <t>330I</t>
  </si>
  <si>
    <t>WBAFU7C51DDU68846</t>
  </si>
  <si>
    <t>535I</t>
  </si>
  <si>
    <t>WBXHT3C37H5F68557</t>
  </si>
  <si>
    <t>X1</t>
  </si>
  <si>
    <t>WBXHT3C51K3H35628</t>
  </si>
  <si>
    <t>WBXHU7C37J5L06206</t>
  </si>
  <si>
    <t>WBXYJ5C39JEF69393</t>
  </si>
  <si>
    <t>X2</t>
  </si>
  <si>
    <t>WDBSK70F19F151485</t>
  </si>
  <si>
    <t>SL 63 AMG</t>
  </si>
  <si>
    <t>WDCGG8JB9DG123960</t>
  </si>
  <si>
    <t>GLK 350</t>
  </si>
  <si>
    <t>WDCTG4EB8HJ321682</t>
  </si>
  <si>
    <t>GLA 250</t>
  </si>
  <si>
    <t>WDCTG4GB4FJ122669</t>
  </si>
  <si>
    <t>WDCTG4GB4GJ233790</t>
  </si>
  <si>
    <t>WDCTG4GBXGJ265787</t>
  </si>
  <si>
    <t>WDD1J6FB5JF030404</t>
  </si>
  <si>
    <t>E 400</t>
  </si>
  <si>
    <t>WDDGF4HB4DA797725</t>
  </si>
  <si>
    <t>MERCEDES B</t>
  </si>
  <si>
    <t>C250W</t>
  </si>
  <si>
    <t>WDDGF5EB6BF643513</t>
  </si>
  <si>
    <t>MERCEDES</t>
  </si>
  <si>
    <t>C300W</t>
  </si>
  <si>
    <t>WDDGF8AB6DR300659</t>
  </si>
  <si>
    <t>WDDHF8HB9BA300967</t>
  </si>
  <si>
    <t>E 350</t>
  </si>
  <si>
    <t>WDDHF8JB0CA620822</t>
  </si>
  <si>
    <t>WDDLJ7DB0EA109788</t>
  </si>
  <si>
    <t>CLS 550</t>
  </si>
  <si>
    <t>WDDLJ7DB1CA025654</t>
  </si>
  <si>
    <t>WDDLJ7DB5FA152976</t>
  </si>
  <si>
    <t>WDDSJ4EB6FN262095</t>
  </si>
  <si>
    <t>CLA250C</t>
  </si>
  <si>
    <t>WDDWK4KB3HF548440</t>
  </si>
  <si>
    <t>WMWLU5C5XJ2G02769</t>
  </si>
  <si>
    <t>MINI</t>
  </si>
  <si>
    <t>CLUBMAN</t>
  </si>
  <si>
    <t>WMWSU3C51DT370798</t>
  </si>
  <si>
    <t>HARDTOP</t>
  </si>
  <si>
    <t>WMWSV3C58DT395873</t>
  </si>
  <si>
    <t>WMWZC3C52FWT06563</t>
  </si>
  <si>
    <t>COUNTRYMAN</t>
  </si>
  <si>
    <t>WMWZC5C54FWP45274</t>
  </si>
  <si>
    <t>WMWZC5C59GWU03191</t>
  </si>
  <si>
    <t>WP0CA2A80CS710289</t>
  </si>
  <si>
    <t>PORSCHE</t>
  </si>
  <si>
    <t>BOXSTER</t>
  </si>
  <si>
    <t>WP1AA2A20ELA93121</t>
  </si>
  <si>
    <t>CAYENNE</t>
  </si>
  <si>
    <t>WP1AA2A59HLB05751</t>
  </si>
  <si>
    <t>MACAN</t>
  </si>
  <si>
    <t>WP1AB2A59LLB32471</t>
  </si>
  <si>
    <t>WVGAV7AX9FW591621</t>
  </si>
  <si>
    <t>WVGBV3AX1DW598623</t>
  </si>
  <si>
    <t>WVGBV7AX1CW608363</t>
  </si>
  <si>
    <t>WVGBV7AX4HW506370</t>
  </si>
  <si>
    <t>WVGBV7AX7DW501335</t>
  </si>
  <si>
    <t>WVGBV7AXXGW590497</t>
  </si>
  <si>
    <t>WVGBV7AXXGW613311</t>
  </si>
  <si>
    <t>WVGRV7AX3HK018257</t>
  </si>
  <si>
    <t>TIGUAN FWD</t>
  </si>
  <si>
    <t>WVGRV7AX6HW507941</t>
  </si>
  <si>
    <t>WVWBP7AN7EE528717</t>
  </si>
  <si>
    <t>CC</t>
  </si>
  <si>
    <t>WVWHD7AJ6DW013040</t>
  </si>
  <si>
    <t>GTI</t>
  </si>
  <si>
    <t>WVWHV7AJ2CW022698</t>
  </si>
  <si>
    <t>YV1612FS7E1299204</t>
  </si>
  <si>
    <t>S60</t>
  </si>
  <si>
    <t>YV1612TK8F1350893</t>
  </si>
  <si>
    <t>YV4940DZ2D2372581</t>
  </si>
  <si>
    <t>XC60</t>
  </si>
  <si>
    <t>YV4952CZ2D1643042</t>
  </si>
  <si>
    <t>XC90</t>
  </si>
  <si>
    <t>ZACCJAAB6HPF11251</t>
  </si>
  <si>
    <t>RENEGADE</t>
  </si>
  <si>
    <t>ZACCJAAT9GPD36436</t>
  </si>
  <si>
    <t>ZACCJABT0FPB58945</t>
  </si>
  <si>
    <t>ZACCJABT1GPC47118</t>
  </si>
  <si>
    <t>RENEGADE FWD 4C</t>
  </si>
  <si>
    <t>ZACCJADT0GPD85276</t>
  </si>
  <si>
    <t>ZACCJBAB4JPH11301</t>
  </si>
  <si>
    <t>ZACCJBAB5JPJ59000</t>
  </si>
  <si>
    <t>RENEGADE 4X4 4C</t>
  </si>
  <si>
    <t>ZACCJBAT0GPD71372</t>
  </si>
  <si>
    <t>ZACCJBBB0JPG75623</t>
  </si>
  <si>
    <t>ZACCJBBB7HPE49802</t>
  </si>
  <si>
    <t>ZACCJBBT0FPB53070</t>
  </si>
  <si>
    <t>ZACCJBBT2FPB87449</t>
  </si>
  <si>
    <t>ZACCJBBT4GPD78436</t>
  </si>
  <si>
    <t>ZACCJBCT3FPB42616</t>
  </si>
  <si>
    <t>ZACCJBDT3FPB79289</t>
  </si>
  <si>
    <t>ZACNJAAB7KPK06726</t>
  </si>
  <si>
    <t>ZACNJCBB8MPN15621</t>
  </si>
  <si>
    <t>ZACNJDB13MPM58886</t>
  </si>
  <si>
    <t>ZARFANBN6K7600728</t>
  </si>
  <si>
    <t>ALFA ROMEO</t>
  </si>
  <si>
    <t>GIULIA</t>
  </si>
  <si>
    <t>ZASFAKPN0J7B89673</t>
  </si>
  <si>
    <t>STELVIO</t>
  </si>
  <si>
    <t>ZFBCFABH7EZ025634</t>
  </si>
  <si>
    <t>500L</t>
  </si>
  <si>
    <t>ZFBCFXBT7GP412027</t>
  </si>
  <si>
    <t>500X</t>
  </si>
  <si>
    <t>ZFBCFYCB3HP523994</t>
  </si>
  <si>
    <t>Transport Operable</t>
  </si>
  <si>
    <t>Transport Inop</t>
  </si>
  <si>
    <t>Y</t>
  </si>
  <si>
    <t>N</t>
  </si>
  <si>
    <t>SALE PRICE</t>
  </si>
  <si>
    <t>AAAG Sold $</t>
  </si>
  <si>
    <t>Better Price?</t>
  </si>
  <si>
    <t>not sold</t>
  </si>
  <si>
    <t>XGB_Predictions</t>
  </si>
  <si>
    <t>RF_Predictions</t>
  </si>
  <si>
    <t>Stacked_Predictions</t>
  </si>
  <si>
    <t>Difference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</si>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</sst>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9"/>
        <bgColor theme="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14" fontId="0" fillId="0" borderId="5" xfId="0" applyNumberFormat="1" applyBorder="1"/>
    <xf numFmtId="0" fontId="0" fillId="0" borderId="6" xfId="0" applyBorder="1"/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164" fontId="0" fillId="0" borderId="0" xfId="0" applyNumberFormat="1"/>
    <xf numFmtId="164" fontId="0" fillId="3" borderId="0" xfId="0" applyNumberFormat="1" applyFill="1"/>
    <xf numFmtId="0" fontId="1" fillId="4" borderId="0" xfId="0" applyFont="1" applyFill="1"/>
    <xf numFmtId="0" fontId="1" fillId="5" borderId="0" xfId="0" applyFont="1" applyFill="1"/>
    <xf numFmtId="165" fontId="0" fillId="0" borderId="0" xfId="1" applyNumberFormat="1" applyFont="1"/>
    <xf numFmtId="164" fontId="0" fillId="0" borderId="0" xfId="1" applyNumberFormat="1" applyFont="1"/>
    <xf numFmtId="0" fontId="3" fillId="6" borderId="0" xfId="0" applyFont="1" applyFill="1" applyAlignment="1">
      <alignment horizontal="center" vertical="top"/>
    </xf>
    <xf numFmtId="166" fontId="1" fillId="6" borderId="0" xfId="0" applyNumberFormat="1" applyFont="1" applyFill="1"/>
    <xf numFmtId="166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ricasaa.sharepoint.com/sites/finance/Shared%20Documents/FP&amp;A/Data%20Analytics/Development/Chens_Sandbox/Machine%20Learning/Test%20files/OH%20Price%20Prediction(FULL).xlsx" TargetMode="External"/><Relationship Id="rId1" Type="http://schemas.openxmlformats.org/officeDocument/2006/relationships/externalLinkPath" Target="OH%20Price%20Prediction(FUL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2GNALDEK2D6369962</v>
          </cell>
          <cell r="B2">
            <v>2013</v>
          </cell>
          <cell r="C2" t="str">
            <v>CHEVROLET</v>
          </cell>
          <cell r="D2" t="str">
            <v>EQUINOX</v>
          </cell>
          <cell r="E2">
            <v>114069</v>
          </cell>
          <cell r="F2" t="str">
            <v>Grade 2.0</v>
          </cell>
          <cell r="G2" t="str">
            <v>Inoperable</v>
          </cell>
          <cell r="H2" t="str">
            <v>No</v>
          </cell>
          <cell r="I2" t="str">
            <v>Yes</v>
          </cell>
          <cell r="J2">
            <v>45538</v>
          </cell>
          <cell r="K2" t="str">
            <v>Yes</v>
          </cell>
          <cell r="L2">
            <v>43469</v>
          </cell>
          <cell r="M2">
            <v>222</v>
          </cell>
          <cell r="N2">
            <v>272</v>
          </cell>
          <cell r="O2">
            <v>1674.481201171875</v>
          </cell>
          <cell r="P2">
            <v>9241.3168006371725</v>
          </cell>
          <cell r="Q2">
            <v>1626.914306640625</v>
          </cell>
        </row>
        <row r="3">
          <cell r="A3" t="str">
            <v>19VDE1F59DE016165</v>
          </cell>
          <cell r="B3">
            <v>2013</v>
          </cell>
          <cell r="C3" t="str">
            <v>ACURA</v>
          </cell>
          <cell r="D3" t="str">
            <v>ILX</v>
          </cell>
          <cell r="E3">
            <v>92052</v>
          </cell>
          <cell r="F3" t="str">
            <v>Grade 2.7</v>
          </cell>
          <cell r="G3" t="str">
            <v>Red Light</v>
          </cell>
          <cell r="H3" t="str">
            <v>No</v>
          </cell>
          <cell r="I3" t="str">
            <v>Yes</v>
          </cell>
          <cell r="J3">
            <v>45575</v>
          </cell>
          <cell r="K3" t="str">
            <v>Yes</v>
          </cell>
          <cell r="L3">
            <v>43605</v>
          </cell>
          <cell r="M3">
            <v>264</v>
          </cell>
          <cell r="N3">
            <v>314</v>
          </cell>
          <cell r="O3">
            <v>3333.187744140625</v>
          </cell>
          <cell r="P3">
            <v>9474.6110165481496</v>
          </cell>
          <cell r="Q3">
            <v>3375.90771484375</v>
          </cell>
        </row>
        <row r="4">
          <cell r="A4" t="str">
            <v>1C4BJWDG5FL508939</v>
          </cell>
          <cell r="B4">
            <v>2015</v>
          </cell>
          <cell r="C4" t="str">
            <v>JEEP</v>
          </cell>
          <cell r="D4" t="str">
            <v>WRANG UNLTD</v>
          </cell>
          <cell r="E4">
            <v>98082</v>
          </cell>
          <cell r="F4" t="str">
            <v>Grade 2.7</v>
          </cell>
          <cell r="G4" t="str">
            <v>Green/Yellow</v>
          </cell>
          <cell r="H4" t="str">
            <v>Yes</v>
          </cell>
          <cell r="I4" t="str">
            <v>No</v>
          </cell>
          <cell r="J4">
            <v>45701</v>
          </cell>
          <cell r="K4" t="str">
            <v>Yes</v>
          </cell>
          <cell r="L4">
            <v>43605</v>
          </cell>
          <cell r="M4">
            <v>264</v>
          </cell>
          <cell r="N4">
            <v>314</v>
          </cell>
          <cell r="O4">
            <v>3350.206298828125</v>
          </cell>
          <cell r="P4">
            <v>9392.3339397294312</v>
          </cell>
          <cell r="Q4">
            <v>3341.1123046875</v>
          </cell>
        </row>
        <row r="5">
          <cell r="A5" t="str">
            <v>1C4NJDEB9FD208108</v>
          </cell>
          <cell r="B5">
            <v>2015</v>
          </cell>
          <cell r="C5" t="str">
            <v>JEEP</v>
          </cell>
          <cell r="D5" t="str">
            <v>COMPASS 4X4 4C</v>
          </cell>
          <cell r="E5">
            <v>105313</v>
          </cell>
          <cell r="F5" t="str">
            <v>Grade 2.8</v>
          </cell>
          <cell r="G5" t="str">
            <v>Green Light</v>
          </cell>
          <cell r="H5" t="str">
            <v>Yes</v>
          </cell>
          <cell r="I5" t="str">
            <v>No</v>
          </cell>
          <cell r="J5">
            <v>45435</v>
          </cell>
          <cell r="K5" t="str">
            <v>Yes</v>
          </cell>
          <cell r="L5">
            <v>43605</v>
          </cell>
          <cell r="M5">
            <v>264</v>
          </cell>
          <cell r="N5">
            <v>314</v>
          </cell>
          <cell r="O5">
            <v>3393.705322265625</v>
          </cell>
          <cell r="P5">
            <v>9314.4477946533807</v>
          </cell>
          <cell r="Q5">
            <v>3336.35888671875</v>
          </cell>
        </row>
        <row r="6">
          <cell r="A6" t="str">
            <v>1C4PJLDB5GW229483</v>
          </cell>
          <cell r="B6">
            <v>2016</v>
          </cell>
          <cell r="C6" t="str">
            <v>JEEP</v>
          </cell>
          <cell r="D6" t="str">
            <v>CHEROKEE FWD 4C</v>
          </cell>
          <cell r="E6">
            <v>118073</v>
          </cell>
          <cell r="F6" t="str">
            <v>Grade 2.8</v>
          </cell>
          <cell r="G6" t="str">
            <v>Green Light</v>
          </cell>
          <cell r="H6" t="str">
            <v>Yes</v>
          </cell>
          <cell r="I6" t="str">
            <v>No</v>
          </cell>
          <cell r="J6">
            <v>45701</v>
          </cell>
          <cell r="K6" t="str">
            <v>Yes</v>
          </cell>
          <cell r="L6">
            <v>43605</v>
          </cell>
          <cell r="M6">
            <v>264</v>
          </cell>
          <cell r="N6">
            <v>314</v>
          </cell>
          <cell r="O6">
            <v>3167.44921875</v>
          </cell>
          <cell r="P6">
            <v>9260.7926487645509</v>
          </cell>
          <cell r="Q6">
            <v>3089.48779296875</v>
          </cell>
        </row>
        <row r="7">
          <cell r="A7" t="str">
            <v>1C4PJMCS1GW323366</v>
          </cell>
          <cell r="B7">
            <v>2016</v>
          </cell>
          <cell r="C7" t="str">
            <v>JEEP</v>
          </cell>
          <cell r="D7" t="str">
            <v>CHEROKEE 4X4 V6</v>
          </cell>
          <cell r="E7">
            <v>104344</v>
          </cell>
          <cell r="F7" t="str">
            <v>Grade 4.4</v>
          </cell>
          <cell r="G7" t="str">
            <v>Certified</v>
          </cell>
          <cell r="H7" t="str">
            <v>Yes</v>
          </cell>
          <cell r="I7" t="str">
            <v>No</v>
          </cell>
          <cell r="J7">
            <v>45533</v>
          </cell>
          <cell r="K7" t="str">
            <v>Yes</v>
          </cell>
          <cell r="L7">
            <v>43605</v>
          </cell>
          <cell r="M7">
            <v>264</v>
          </cell>
          <cell r="N7">
            <v>314</v>
          </cell>
          <cell r="O7">
            <v>9127.9208984375</v>
          </cell>
          <cell r="P7">
            <v>10096.364509462381</v>
          </cell>
          <cell r="Q7">
            <v>9144.44921875</v>
          </cell>
        </row>
        <row r="8">
          <cell r="A8" t="str">
            <v>1C4RDHAG3FC907290</v>
          </cell>
          <cell r="B8">
            <v>2015</v>
          </cell>
          <cell r="C8" t="str">
            <v>DODGE</v>
          </cell>
          <cell r="D8" t="str">
            <v>DURANGO</v>
          </cell>
          <cell r="E8">
            <v>173402</v>
          </cell>
          <cell r="F8" t="str">
            <v>Grade 2.9</v>
          </cell>
          <cell r="G8" t="str">
            <v>Red Light</v>
          </cell>
          <cell r="H8" t="str">
            <v>No</v>
          </cell>
          <cell r="I8" t="str">
            <v>Yes</v>
          </cell>
          <cell r="J8">
            <v>45454</v>
          </cell>
          <cell r="K8" t="str">
            <v>Yes</v>
          </cell>
          <cell r="L8">
            <v>43605</v>
          </cell>
          <cell r="M8">
            <v>264</v>
          </cell>
          <cell r="N8">
            <v>314</v>
          </cell>
          <cell r="O8">
            <v>2463.27197265625</v>
          </cell>
          <cell r="P8">
            <v>9040.2641336413835</v>
          </cell>
          <cell r="Q8">
            <v>2338.3408203125</v>
          </cell>
        </row>
        <row r="9">
          <cell r="A9" t="str">
            <v>1C6RR6FG3HS639159</v>
          </cell>
          <cell r="B9">
            <v>2017</v>
          </cell>
          <cell r="C9" t="str">
            <v>RAM</v>
          </cell>
          <cell r="D9" t="str">
            <v>1500 4X2 QD</v>
          </cell>
          <cell r="E9">
            <v>252965</v>
          </cell>
          <cell r="F9" t="str">
            <v>Grade 2.7</v>
          </cell>
          <cell r="G9" t="str">
            <v>Red Light</v>
          </cell>
          <cell r="H9" t="str">
            <v>No</v>
          </cell>
          <cell r="I9" t="str">
            <v>Yes</v>
          </cell>
          <cell r="J9">
            <v>45561</v>
          </cell>
          <cell r="K9" t="str">
            <v>Yes</v>
          </cell>
          <cell r="L9">
            <v>43605</v>
          </cell>
          <cell r="M9">
            <v>264</v>
          </cell>
          <cell r="N9">
            <v>314</v>
          </cell>
          <cell r="O9">
            <v>4596.44091796875</v>
          </cell>
          <cell r="P9">
            <v>10299.467445167409</v>
          </cell>
          <cell r="Q9">
            <v>4349.7392578125</v>
          </cell>
        </row>
        <row r="10">
          <cell r="A10" t="str">
            <v>1FADP3L90HL253621</v>
          </cell>
          <cell r="B10">
            <v>2017</v>
          </cell>
          <cell r="C10" t="str">
            <v>FORD</v>
          </cell>
          <cell r="D10" t="str">
            <v>FOCUS ST</v>
          </cell>
          <cell r="E10">
            <v>79699</v>
          </cell>
          <cell r="F10" t="str">
            <v>Grade 2.1</v>
          </cell>
          <cell r="G10" t="str">
            <v>Red Light</v>
          </cell>
          <cell r="H10" t="str">
            <v>No</v>
          </cell>
          <cell r="I10" t="str">
            <v>Yes</v>
          </cell>
          <cell r="J10">
            <v>45678</v>
          </cell>
          <cell r="K10" t="str">
            <v>Yes</v>
          </cell>
          <cell r="L10">
            <v>43605</v>
          </cell>
          <cell r="M10">
            <v>264</v>
          </cell>
          <cell r="N10">
            <v>314</v>
          </cell>
          <cell r="O10">
            <v>5620.177734375</v>
          </cell>
          <cell r="P10">
            <v>9436.0472504182799</v>
          </cell>
          <cell r="Q10">
            <v>5681.70458984375</v>
          </cell>
        </row>
        <row r="11">
          <cell r="A11" t="str">
            <v>1FADP3N26EL309704</v>
          </cell>
          <cell r="B11">
            <v>2014</v>
          </cell>
          <cell r="C11" t="str">
            <v>FORD</v>
          </cell>
          <cell r="D11" t="str">
            <v>FOCUS</v>
          </cell>
          <cell r="E11">
            <v>85748</v>
          </cell>
          <cell r="F11" t="str">
            <v>Grade 1.8</v>
          </cell>
          <cell r="G11" t="str">
            <v>Green/Yellow</v>
          </cell>
          <cell r="H11" t="str">
            <v>Yes</v>
          </cell>
          <cell r="I11" t="str">
            <v>No</v>
          </cell>
          <cell r="J11">
            <v>45510</v>
          </cell>
          <cell r="K11" t="str">
            <v>Yes</v>
          </cell>
          <cell r="L11">
            <v>43605</v>
          </cell>
          <cell r="M11">
            <v>264</v>
          </cell>
          <cell r="N11">
            <v>314</v>
          </cell>
          <cell r="O11">
            <v>3558.1318359375</v>
          </cell>
          <cell r="P11">
            <v>9304.9490573343101</v>
          </cell>
          <cell r="Q11">
            <v>3484.11572265625</v>
          </cell>
        </row>
        <row r="12">
          <cell r="A12" t="str">
            <v>1FMCU0F75HUA13025</v>
          </cell>
          <cell r="B12">
            <v>2017</v>
          </cell>
          <cell r="C12" t="str">
            <v>FORD</v>
          </cell>
          <cell r="D12" t="str">
            <v>ESCAPE</v>
          </cell>
          <cell r="E12">
            <v>130151</v>
          </cell>
          <cell r="F12" t="str">
            <v>Grade 1.7</v>
          </cell>
          <cell r="G12" t="str">
            <v>Green/Yellow</v>
          </cell>
          <cell r="H12" t="str">
            <v>Yes</v>
          </cell>
          <cell r="I12" t="str">
            <v>No</v>
          </cell>
          <cell r="J12">
            <v>45734</v>
          </cell>
          <cell r="K12" t="str">
            <v>Yes</v>
          </cell>
          <cell r="L12">
            <v>43605</v>
          </cell>
          <cell r="M12">
            <v>264</v>
          </cell>
          <cell r="N12">
            <v>314</v>
          </cell>
          <cell r="O12">
            <v>1386.406982421875</v>
          </cell>
          <cell r="P12">
            <v>9237.8195001649037</v>
          </cell>
          <cell r="Q12">
            <v>1405.991088867188</v>
          </cell>
        </row>
        <row r="13">
          <cell r="A13" t="str">
            <v>1FMCU0G67LUC00975</v>
          </cell>
          <cell r="B13">
            <v>2020</v>
          </cell>
          <cell r="C13" t="str">
            <v>FORD</v>
          </cell>
          <cell r="D13" t="str">
            <v>ESCAPE</v>
          </cell>
          <cell r="E13">
            <v>72425</v>
          </cell>
          <cell r="F13" t="str">
            <v>Grade 4.0</v>
          </cell>
          <cell r="G13" t="str">
            <v>Certified</v>
          </cell>
          <cell r="H13" t="str">
            <v>Yes</v>
          </cell>
          <cell r="I13" t="str">
            <v>No</v>
          </cell>
          <cell r="J13">
            <v>45594</v>
          </cell>
          <cell r="K13" t="str">
            <v>Yes</v>
          </cell>
          <cell r="L13">
            <v>43605</v>
          </cell>
          <cell r="M13">
            <v>264</v>
          </cell>
          <cell r="N13">
            <v>314</v>
          </cell>
          <cell r="O13">
            <v>12207.31640625</v>
          </cell>
          <cell r="P13">
            <v>11560.44423974466</v>
          </cell>
          <cell r="Q13">
            <v>12081.0634765625</v>
          </cell>
        </row>
        <row r="14">
          <cell r="A14" t="str">
            <v>1FMCU0GX5GUB38619</v>
          </cell>
          <cell r="B14">
            <v>2016</v>
          </cell>
          <cell r="C14" t="str">
            <v>FORD</v>
          </cell>
          <cell r="D14" t="str">
            <v>ESCAPE FWD 4C</v>
          </cell>
          <cell r="E14">
            <v>99999</v>
          </cell>
          <cell r="F14" t="str">
            <v>Grade 1.0</v>
          </cell>
          <cell r="G14" t="str">
            <v>Inoperable</v>
          </cell>
          <cell r="H14" t="str">
            <v>No</v>
          </cell>
          <cell r="I14" t="str">
            <v>Yes</v>
          </cell>
          <cell r="J14">
            <v>45463</v>
          </cell>
          <cell r="K14" t="str">
            <v>Yes</v>
          </cell>
          <cell r="L14">
            <v>43605</v>
          </cell>
          <cell r="M14">
            <v>264</v>
          </cell>
          <cell r="N14">
            <v>314</v>
          </cell>
          <cell r="O14">
            <v>3417.545654296875</v>
          </cell>
          <cell r="P14">
            <v>9315.1472913448397</v>
          </cell>
          <cell r="Q14">
            <v>3336.35888671875</v>
          </cell>
        </row>
        <row r="15">
          <cell r="A15" t="str">
            <v>1FMCU0J99EUB24455</v>
          </cell>
          <cell r="B15">
            <v>2014</v>
          </cell>
          <cell r="C15" t="str">
            <v>FORD</v>
          </cell>
          <cell r="D15" t="str">
            <v>ESCAPE FWD 4C</v>
          </cell>
          <cell r="E15">
            <v>167894</v>
          </cell>
          <cell r="F15" t="str">
            <v>Grade 2.1</v>
          </cell>
          <cell r="G15" t="str">
            <v>Red Light</v>
          </cell>
          <cell r="H15" t="str">
            <v>No</v>
          </cell>
          <cell r="I15" t="str">
            <v>Yes</v>
          </cell>
          <cell r="J15">
            <v>45575</v>
          </cell>
          <cell r="K15" t="str">
            <v>Yes</v>
          </cell>
          <cell r="L15">
            <v>43605</v>
          </cell>
          <cell r="M15">
            <v>264</v>
          </cell>
          <cell r="N15">
            <v>314</v>
          </cell>
          <cell r="O15">
            <v>1893.149047851562</v>
          </cell>
          <cell r="P15">
            <v>9191.0031059465873</v>
          </cell>
          <cell r="Q15">
            <v>1785.74853515625</v>
          </cell>
        </row>
        <row r="16">
          <cell r="A16" t="str">
            <v>1FMCU9GX6FUB37675</v>
          </cell>
          <cell r="B16">
            <v>2015</v>
          </cell>
          <cell r="C16" t="str">
            <v>FORD</v>
          </cell>
          <cell r="D16" t="str">
            <v>ESCAPE 4X4 4C</v>
          </cell>
          <cell r="E16">
            <v>86286</v>
          </cell>
          <cell r="F16" t="str">
            <v>Grade 4.4</v>
          </cell>
          <cell r="G16" t="str">
            <v>Red Light</v>
          </cell>
          <cell r="H16" t="str">
            <v>No</v>
          </cell>
          <cell r="I16" t="str">
            <v>Yes</v>
          </cell>
          <cell r="J16">
            <v>45323</v>
          </cell>
          <cell r="K16" t="str">
            <v>Yes</v>
          </cell>
          <cell r="L16">
            <v>43605</v>
          </cell>
          <cell r="M16">
            <v>264</v>
          </cell>
          <cell r="N16">
            <v>314</v>
          </cell>
          <cell r="O16">
            <v>9307.341796875</v>
          </cell>
          <cell r="P16">
            <v>10216.592608083971</v>
          </cell>
          <cell r="Q16">
            <v>9504.462890625</v>
          </cell>
        </row>
        <row r="17">
          <cell r="A17" t="str">
            <v>1FTVX1ET1EKG25271</v>
          </cell>
          <cell r="B17">
            <v>2014</v>
          </cell>
          <cell r="C17" t="str">
            <v>FORD</v>
          </cell>
          <cell r="D17" t="str">
            <v>F150 4X4 EX</v>
          </cell>
          <cell r="E17">
            <v>102646</v>
          </cell>
          <cell r="F17" t="str">
            <v>Grade 3.7</v>
          </cell>
          <cell r="G17" t="str">
            <v>Certified</v>
          </cell>
          <cell r="H17" t="str">
            <v>Yes</v>
          </cell>
          <cell r="I17" t="str">
            <v>No</v>
          </cell>
          <cell r="J17">
            <v>45421</v>
          </cell>
          <cell r="K17" t="str">
            <v>Yes</v>
          </cell>
          <cell r="L17">
            <v>43605</v>
          </cell>
          <cell r="M17">
            <v>264</v>
          </cell>
          <cell r="N17">
            <v>314</v>
          </cell>
          <cell r="O17">
            <v>6480.85986328125</v>
          </cell>
          <cell r="P17">
            <v>10027.559620042241</v>
          </cell>
          <cell r="Q17">
            <v>6490.0556640625</v>
          </cell>
        </row>
        <row r="18">
          <cell r="A18" t="str">
            <v>1G1BE5SM0K7146425</v>
          </cell>
          <cell r="B18">
            <v>2019</v>
          </cell>
          <cell r="C18" t="str">
            <v>CHEVROLET</v>
          </cell>
          <cell r="D18" t="str">
            <v>CRUZE</v>
          </cell>
          <cell r="E18">
            <v>136398</v>
          </cell>
          <cell r="F18" t="str">
            <v>Grade 2.9</v>
          </cell>
          <cell r="G18" t="str">
            <v>Red Light</v>
          </cell>
          <cell r="H18" t="str">
            <v>No</v>
          </cell>
          <cell r="I18" t="str">
            <v>Yes</v>
          </cell>
          <cell r="J18">
            <v>45678</v>
          </cell>
          <cell r="K18" t="str">
            <v>Yes</v>
          </cell>
          <cell r="L18">
            <v>43605</v>
          </cell>
          <cell r="M18">
            <v>264</v>
          </cell>
          <cell r="N18">
            <v>314</v>
          </cell>
          <cell r="O18">
            <v>4693.39306640625</v>
          </cell>
          <cell r="P18">
            <v>9437.7576637017137</v>
          </cell>
          <cell r="Q18">
            <v>4748.45361328125</v>
          </cell>
        </row>
        <row r="19">
          <cell r="A19" t="str">
            <v>1G1JE6SB0F4187533</v>
          </cell>
          <cell r="B19">
            <v>2015</v>
          </cell>
          <cell r="C19" t="str">
            <v>CHEVROLET</v>
          </cell>
          <cell r="D19" t="str">
            <v>SONIC</v>
          </cell>
          <cell r="E19">
            <v>109933</v>
          </cell>
          <cell r="F19" t="str">
            <v>Grade 2.6</v>
          </cell>
          <cell r="G19" t="str">
            <v>Red Light</v>
          </cell>
          <cell r="H19" t="str">
            <v>No</v>
          </cell>
          <cell r="I19" t="str">
            <v>Yes</v>
          </cell>
          <cell r="J19">
            <v>45470</v>
          </cell>
          <cell r="K19" t="str">
            <v>Yes</v>
          </cell>
          <cell r="L19">
            <v>43605</v>
          </cell>
          <cell r="M19">
            <v>264</v>
          </cell>
          <cell r="N19">
            <v>314</v>
          </cell>
          <cell r="O19">
            <v>3008.683837890625</v>
          </cell>
          <cell r="P19">
            <v>9308.966111666763</v>
          </cell>
          <cell r="Q19">
            <v>2907.91943359375</v>
          </cell>
        </row>
        <row r="20">
          <cell r="A20" t="str">
            <v>1G1PC5SB9F7160940</v>
          </cell>
          <cell r="B20">
            <v>2015</v>
          </cell>
          <cell r="C20" t="str">
            <v>CHEVROLET</v>
          </cell>
          <cell r="D20" t="str">
            <v>CRUZE</v>
          </cell>
          <cell r="E20">
            <v>107650</v>
          </cell>
          <cell r="F20" t="str">
            <v>Grade 2.5</v>
          </cell>
          <cell r="G20" t="str">
            <v>Green Light</v>
          </cell>
          <cell r="H20" t="str">
            <v>Yes</v>
          </cell>
          <cell r="I20" t="str">
            <v>No</v>
          </cell>
          <cell r="J20">
            <v>45435</v>
          </cell>
          <cell r="K20" t="str">
            <v>Yes</v>
          </cell>
          <cell r="L20">
            <v>43605</v>
          </cell>
          <cell r="M20">
            <v>264</v>
          </cell>
          <cell r="N20">
            <v>314</v>
          </cell>
          <cell r="O20">
            <v>3165.624755859375</v>
          </cell>
          <cell r="P20">
            <v>9318.217021935272</v>
          </cell>
          <cell r="Q20">
            <v>3089.48779296875</v>
          </cell>
        </row>
        <row r="21">
          <cell r="A21" t="str">
            <v>1G1ZB5ST4GF310447</v>
          </cell>
          <cell r="B21">
            <v>2016</v>
          </cell>
          <cell r="C21" t="str">
            <v>CHEVROLET</v>
          </cell>
          <cell r="D21" t="str">
            <v>MALIBU</v>
          </cell>
          <cell r="E21">
            <v>132171</v>
          </cell>
          <cell r="F21" t="str">
            <v>Grade 1.3</v>
          </cell>
          <cell r="G21" t="str">
            <v>Red Light</v>
          </cell>
          <cell r="H21" t="str">
            <v>No</v>
          </cell>
          <cell r="I21" t="str">
            <v>Yes</v>
          </cell>
          <cell r="J21">
            <v>45344</v>
          </cell>
          <cell r="K21" t="str">
            <v>Yes</v>
          </cell>
          <cell r="L21">
            <v>43605</v>
          </cell>
          <cell r="M21">
            <v>264</v>
          </cell>
          <cell r="N21">
            <v>314</v>
          </cell>
          <cell r="O21">
            <v>1401.960205078125</v>
          </cell>
          <cell r="P21">
            <v>9249.109677289749</v>
          </cell>
          <cell r="Q21">
            <v>1414.7646484375</v>
          </cell>
        </row>
        <row r="22">
          <cell r="A22" t="str">
            <v>1G1ZB5ST5HF288248</v>
          </cell>
          <cell r="B22">
            <v>2017</v>
          </cell>
          <cell r="C22" t="str">
            <v>CHEVROLET</v>
          </cell>
          <cell r="D22" t="str">
            <v>MALIBU</v>
          </cell>
          <cell r="E22">
            <v>76673</v>
          </cell>
          <cell r="F22" t="str">
            <v>Grade 2.1</v>
          </cell>
          <cell r="G22" t="str">
            <v>Green Light</v>
          </cell>
          <cell r="H22" t="str">
            <v>Yes</v>
          </cell>
          <cell r="I22" t="str">
            <v>No</v>
          </cell>
          <cell r="J22">
            <v>45337</v>
          </cell>
          <cell r="K22" t="str">
            <v>Yes</v>
          </cell>
          <cell r="L22">
            <v>43605</v>
          </cell>
          <cell r="M22">
            <v>264</v>
          </cell>
          <cell r="N22">
            <v>314</v>
          </cell>
          <cell r="O22">
            <v>5019.12255859375</v>
          </cell>
          <cell r="P22">
            <v>9466.6531606083936</v>
          </cell>
          <cell r="Q22">
            <v>5009.4833984375</v>
          </cell>
        </row>
        <row r="23">
          <cell r="A23" t="str">
            <v>1G1ZC5STXLF001766</v>
          </cell>
          <cell r="B23">
            <v>2020</v>
          </cell>
          <cell r="C23" t="str">
            <v>CHEVROLET</v>
          </cell>
          <cell r="D23" t="str">
            <v>MALIBU</v>
          </cell>
          <cell r="E23">
            <v>44230</v>
          </cell>
          <cell r="F23" t="str">
            <v>Grade 1.3</v>
          </cell>
          <cell r="G23" t="str">
            <v>Salvage</v>
          </cell>
          <cell r="H23" t="str">
            <v>No</v>
          </cell>
          <cell r="I23" t="str">
            <v>Yes</v>
          </cell>
          <cell r="J23">
            <v>45328</v>
          </cell>
          <cell r="K23" t="str">
            <v>Yes</v>
          </cell>
          <cell r="L23">
            <v>43605</v>
          </cell>
          <cell r="M23">
            <v>264</v>
          </cell>
          <cell r="N23">
            <v>314</v>
          </cell>
          <cell r="O23">
            <v>3869.301513671875</v>
          </cell>
          <cell r="P23">
            <v>12524.573123833639</v>
          </cell>
          <cell r="Q23">
            <v>3833.94287109375</v>
          </cell>
        </row>
        <row r="24">
          <cell r="A24" t="str">
            <v>1G1ZD5ST2NF132187</v>
          </cell>
          <cell r="B24">
            <v>2022</v>
          </cell>
          <cell r="C24" t="str">
            <v>CHEVROLET</v>
          </cell>
          <cell r="D24" t="str">
            <v>MALIBU</v>
          </cell>
          <cell r="E24">
            <v>44748</v>
          </cell>
          <cell r="F24" t="str">
            <v>Grade 3.6</v>
          </cell>
          <cell r="G24" t="str">
            <v>Certified</v>
          </cell>
          <cell r="H24" t="str">
            <v>Yes</v>
          </cell>
          <cell r="I24" t="str">
            <v>No</v>
          </cell>
          <cell r="J24">
            <v>45678</v>
          </cell>
          <cell r="K24" t="str">
            <v>Yes</v>
          </cell>
          <cell r="L24">
            <v>43605</v>
          </cell>
          <cell r="M24">
            <v>264</v>
          </cell>
          <cell r="N24">
            <v>314</v>
          </cell>
          <cell r="O24">
            <v>18666.517578125</v>
          </cell>
          <cell r="P24">
            <v>14707.38717741881</v>
          </cell>
          <cell r="Q24">
            <v>18840.40625</v>
          </cell>
        </row>
        <row r="25">
          <cell r="A25" t="str">
            <v>1G1ZD5ST9JF101349</v>
          </cell>
          <cell r="B25">
            <v>2018</v>
          </cell>
          <cell r="C25" t="str">
            <v>CHEVROLET</v>
          </cell>
          <cell r="D25" t="str">
            <v>MALIBU</v>
          </cell>
          <cell r="E25">
            <v>148393</v>
          </cell>
          <cell r="F25" t="str">
            <v>Grade 2.4</v>
          </cell>
          <cell r="G25" t="str">
            <v>Green Light</v>
          </cell>
          <cell r="H25" t="str">
            <v>Yes</v>
          </cell>
          <cell r="I25" t="str">
            <v>No</v>
          </cell>
          <cell r="J25">
            <v>45554</v>
          </cell>
          <cell r="K25" t="str">
            <v>Yes</v>
          </cell>
          <cell r="L25">
            <v>43605</v>
          </cell>
          <cell r="M25">
            <v>264</v>
          </cell>
          <cell r="N25">
            <v>314</v>
          </cell>
          <cell r="O25">
            <v>2510.60107421875</v>
          </cell>
          <cell r="P25">
            <v>9384.8591481717667</v>
          </cell>
          <cell r="Q25">
            <v>2401.01171875</v>
          </cell>
        </row>
        <row r="26">
          <cell r="A26" t="str">
            <v>1G4GF5E34DF172088</v>
          </cell>
          <cell r="B26">
            <v>2013</v>
          </cell>
          <cell r="C26" t="str">
            <v>BUICK</v>
          </cell>
          <cell r="D26" t="str">
            <v>LACROSSE FWD V6</v>
          </cell>
          <cell r="E26">
            <v>97710</v>
          </cell>
          <cell r="F26" t="str">
            <v>Grade 3.7</v>
          </cell>
          <cell r="G26" t="str">
            <v>Green/Yellow</v>
          </cell>
          <cell r="H26" t="str">
            <v>Yes</v>
          </cell>
          <cell r="I26" t="str">
            <v>No</v>
          </cell>
          <cell r="J26">
            <v>45568</v>
          </cell>
          <cell r="K26" t="str">
            <v>Yes</v>
          </cell>
          <cell r="L26">
            <v>43605</v>
          </cell>
          <cell r="M26">
            <v>264</v>
          </cell>
          <cell r="N26">
            <v>314</v>
          </cell>
          <cell r="O26">
            <v>4781.44384765625</v>
          </cell>
          <cell r="P26">
            <v>9993.8437204188049</v>
          </cell>
          <cell r="Q26">
            <v>4617.4833984375</v>
          </cell>
        </row>
        <row r="27">
          <cell r="A27" t="str">
            <v>1G6AW5SXXE0180494</v>
          </cell>
          <cell r="B27">
            <v>2014</v>
          </cell>
          <cell r="C27" t="str">
            <v>CADILLAC</v>
          </cell>
          <cell r="D27" t="str">
            <v>CTS</v>
          </cell>
          <cell r="E27">
            <v>108695</v>
          </cell>
          <cell r="F27" t="str">
            <v>Grade 2.7</v>
          </cell>
          <cell r="G27" t="str">
            <v>Inoperable</v>
          </cell>
          <cell r="H27" t="str">
            <v>No</v>
          </cell>
          <cell r="I27" t="str">
            <v>Yes</v>
          </cell>
          <cell r="J27">
            <v>45384</v>
          </cell>
          <cell r="K27" t="str">
            <v>Yes</v>
          </cell>
          <cell r="L27">
            <v>43605</v>
          </cell>
          <cell r="M27">
            <v>264</v>
          </cell>
          <cell r="N27">
            <v>314</v>
          </cell>
          <cell r="O27">
            <v>3044.396728515625</v>
          </cell>
          <cell r="P27">
            <v>9008.9694441851625</v>
          </cell>
          <cell r="Q27">
            <v>2896.08837890625</v>
          </cell>
        </row>
        <row r="28">
          <cell r="A28" t="str">
            <v>1GCRCREH6EZ301280</v>
          </cell>
          <cell r="B28">
            <v>2014</v>
          </cell>
          <cell r="C28" t="str">
            <v>CHEVROLET</v>
          </cell>
          <cell r="D28" t="str">
            <v>SILVERADO 1500</v>
          </cell>
          <cell r="E28">
            <v>123214</v>
          </cell>
          <cell r="F28" t="str">
            <v>Grade 3.9</v>
          </cell>
          <cell r="G28" t="str">
            <v>Certified</v>
          </cell>
          <cell r="H28" t="str">
            <v>Yes</v>
          </cell>
          <cell r="I28" t="str">
            <v>No</v>
          </cell>
          <cell r="J28">
            <v>45510</v>
          </cell>
          <cell r="K28" t="str">
            <v>Yes</v>
          </cell>
          <cell r="L28">
            <v>43605</v>
          </cell>
          <cell r="M28">
            <v>264</v>
          </cell>
          <cell r="N28">
            <v>314</v>
          </cell>
          <cell r="O28">
            <v>8396.2275390625</v>
          </cell>
          <cell r="P28">
            <v>11428.072794039619</v>
          </cell>
          <cell r="Q28">
            <v>8081.880859375</v>
          </cell>
        </row>
        <row r="29">
          <cell r="A29" t="str">
            <v>1GCRKSE38BZ318575</v>
          </cell>
          <cell r="B29">
            <v>2011</v>
          </cell>
          <cell r="C29" t="str">
            <v>CHEVROLET</v>
          </cell>
          <cell r="D29" t="str">
            <v>1500 SLV 4X4 EX</v>
          </cell>
          <cell r="E29">
            <v>178899</v>
          </cell>
          <cell r="F29" t="str">
            <v>Grade 2.1</v>
          </cell>
          <cell r="G29" t="str">
            <v>Red Light</v>
          </cell>
          <cell r="H29" t="str">
            <v>No</v>
          </cell>
          <cell r="I29" t="str">
            <v>Yes</v>
          </cell>
          <cell r="J29">
            <v>45617</v>
          </cell>
          <cell r="K29" t="str">
            <v>Yes</v>
          </cell>
          <cell r="L29">
            <v>43605</v>
          </cell>
          <cell r="M29">
            <v>264</v>
          </cell>
          <cell r="N29">
            <v>314</v>
          </cell>
          <cell r="O29">
            <v>1170.338256835938</v>
          </cell>
          <cell r="P29">
            <v>9312.8227798539483</v>
          </cell>
          <cell r="Q29">
            <v>1310.827270507812</v>
          </cell>
        </row>
        <row r="30">
          <cell r="A30" t="str">
            <v>1GCVKREC5GZ169170</v>
          </cell>
          <cell r="B30">
            <v>2016</v>
          </cell>
          <cell r="C30" t="str">
            <v>CHEVROLET</v>
          </cell>
          <cell r="D30" t="str">
            <v>SILVERADO 1500</v>
          </cell>
          <cell r="E30">
            <v>73526</v>
          </cell>
          <cell r="F30" t="str">
            <v>Grade 4.1</v>
          </cell>
          <cell r="G30" t="str">
            <v>Certified</v>
          </cell>
          <cell r="H30" t="str">
            <v>Yes</v>
          </cell>
          <cell r="I30" t="str">
            <v>No</v>
          </cell>
          <cell r="J30">
            <v>45356</v>
          </cell>
          <cell r="K30" t="str">
            <v>Yes</v>
          </cell>
          <cell r="L30">
            <v>43605</v>
          </cell>
          <cell r="M30">
            <v>264</v>
          </cell>
          <cell r="N30">
            <v>314</v>
          </cell>
          <cell r="O30">
            <v>15163.5380859375</v>
          </cell>
          <cell r="P30">
            <v>11683.89007569865</v>
          </cell>
          <cell r="Q30">
            <v>15255.796875</v>
          </cell>
        </row>
        <row r="31">
          <cell r="A31" t="str">
            <v>1GKKNMLAXKZ262925</v>
          </cell>
          <cell r="B31">
            <v>2019</v>
          </cell>
          <cell r="C31" t="str">
            <v>GMC</v>
          </cell>
          <cell r="D31" t="str">
            <v>ACADIA</v>
          </cell>
          <cell r="E31">
            <v>64565</v>
          </cell>
          <cell r="F31" t="str">
            <v>Grade 3.1</v>
          </cell>
          <cell r="G31" t="str">
            <v>Green Light</v>
          </cell>
          <cell r="H31" t="str">
            <v>Yes</v>
          </cell>
          <cell r="I31" t="str">
            <v>No</v>
          </cell>
          <cell r="J31">
            <v>45454</v>
          </cell>
          <cell r="K31" t="str">
            <v>Yes</v>
          </cell>
          <cell r="L31">
            <v>43605</v>
          </cell>
          <cell r="M31">
            <v>264</v>
          </cell>
          <cell r="N31">
            <v>314</v>
          </cell>
          <cell r="O31">
            <v>18512.4765625</v>
          </cell>
          <cell r="P31">
            <v>12466.862591599751</v>
          </cell>
          <cell r="Q31">
            <v>18665.3671875</v>
          </cell>
        </row>
        <row r="32">
          <cell r="A32" t="str">
            <v>1GNFLFEKXFZ142298</v>
          </cell>
          <cell r="B32">
            <v>2015</v>
          </cell>
          <cell r="C32" t="str">
            <v>CHEVROLET</v>
          </cell>
          <cell r="D32" t="str">
            <v>EQUINOX AWD 4C</v>
          </cell>
          <cell r="E32">
            <v>115284</v>
          </cell>
          <cell r="F32" t="str">
            <v>Grade 2.6</v>
          </cell>
          <cell r="G32" t="str">
            <v>Red Light</v>
          </cell>
          <cell r="H32" t="str">
            <v>No</v>
          </cell>
          <cell r="I32" t="str">
            <v>Yes</v>
          </cell>
          <cell r="J32">
            <v>45498</v>
          </cell>
          <cell r="K32" t="str">
            <v>Yes</v>
          </cell>
          <cell r="L32">
            <v>43605</v>
          </cell>
          <cell r="M32">
            <v>264</v>
          </cell>
          <cell r="N32">
            <v>314</v>
          </cell>
          <cell r="O32">
            <v>2802.7080078125</v>
          </cell>
          <cell r="P32">
            <v>9427.0478833126945</v>
          </cell>
          <cell r="Q32">
            <v>2713.12353515625</v>
          </cell>
        </row>
        <row r="33">
          <cell r="A33" t="str">
            <v>1GNKRGKD4EJ249868</v>
          </cell>
          <cell r="B33">
            <v>2014</v>
          </cell>
          <cell r="C33" t="str">
            <v>CHEVROLET</v>
          </cell>
          <cell r="D33" t="str">
            <v>TRAVERSE</v>
          </cell>
          <cell r="E33">
            <v>126767</v>
          </cell>
          <cell r="F33" t="str">
            <v>Grade 1.5</v>
          </cell>
          <cell r="G33" t="str">
            <v>Red Light</v>
          </cell>
          <cell r="H33" t="str">
            <v>No</v>
          </cell>
          <cell r="I33" t="str">
            <v>Yes</v>
          </cell>
          <cell r="J33">
            <v>45608</v>
          </cell>
          <cell r="K33" t="str">
            <v>Yes</v>
          </cell>
          <cell r="L33">
            <v>43605</v>
          </cell>
          <cell r="M33">
            <v>264</v>
          </cell>
          <cell r="N33">
            <v>314</v>
          </cell>
          <cell r="O33">
            <v>1891.902954101562</v>
          </cell>
          <cell r="P33">
            <v>9161.1298872061197</v>
          </cell>
          <cell r="Q33">
            <v>1785.74853515625</v>
          </cell>
        </row>
        <row r="34">
          <cell r="A34" t="str">
            <v>1HGCP26489A176611</v>
          </cell>
          <cell r="B34">
            <v>2009</v>
          </cell>
          <cell r="C34" t="str">
            <v>HONDA</v>
          </cell>
          <cell r="D34" t="str">
            <v>ACCORD</v>
          </cell>
          <cell r="E34">
            <v>120977</v>
          </cell>
          <cell r="F34" t="str">
            <v>Grade 2.3</v>
          </cell>
          <cell r="G34" t="str">
            <v>Green/Yellow</v>
          </cell>
          <cell r="H34" t="str">
            <v>Yes</v>
          </cell>
          <cell r="I34" t="str">
            <v>No</v>
          </cell>
          <cell r="J34">
            <v>45384</v>
          </cell>
          <cell r="K34" t="str">
            <v>Yes</v>
          </cell>
          <cell r="L34">
            <v>43605</v>
          </cell>
          <cell r="M34">
            <v>264</v>
          </cell>
          <cell r="N34">
            <v>314</v>
          </cell>
          <cell r="O34">
            <v>2427.300537109375</v>
          </cell>
          <cell r="P34">
            <v>8977.639788728764</v>
          </cell>
          <cell r="Q34">
            <v>2314.35888671875</v>
          </cell>
        </row>
        <row r="35">
          <cell r="A35" t="str">
            <v>1HGCR2F32FA065887</v>
          </cell>
          <cell r="B35">
            <v>2015</v>
          </cell>
          <cell r="C35" t="str">
            <v>HONDA</v>
          </cell>
          <cell r="D35" t="str">
            <v>ACCORD</v>
          </cell>
          <cell r="E35">
            <v>61540</v>
          </cell>
          <cell r="F35" t="str">
            <v>Grade 2.9</v>
          </cell>
          <cell r="G35" t="str">
            <v>Green Light</v>
          </cell>
          <cell r="H35" t="str">
            <v>Yes</v>
          </cell>
          <cell r="I35" t="str">
            <v>No</v>
          </cell>
          <cell r="J35">
            <v>45398</v>
          </cell>
          <cell r="K35" t="str">
            <v>Yes</v>
          </cell>
          <cell r="L35">
            <v>43605</v>
          </cell>
          <cell r="M35">
            <v>264</v>
          </cell>
          <cell r="N35">
            <v>314</v>
          </cell>
          <cell r="O35">
            <v>6808.10107421875</v>
          </cell>
          <cell r="P35">
            <v>11083.17606776858</v>
          </cell>
          <cell r="Q35">
            <v>6409.05224609375</v>
          </cell>
        </row>
        <row r="36">
          <cell r="A36" t="str">
            <v>1J4PS5GK4AC145324</v>
          </cell>
          <cell r="B36">
            <v>2010</v>
          </cell>
          <cell r="C36" t="str">
            <v>JEEP</v>
          </cell>
          <cell r="D36" t="str">
            <v>GRAND CHEROKEE</v>
          </cell>
          <cell r="E36">
            <v>108230</v>
          </cell>
          <cell r="F36" t="str">
            <v>Grade 1.3</v>
          </cell>
          <cell r="G36" t="str">
            <v>Inoperable</v>
          </cell>
          <cell r="H36" t="str">
            <v>No</v>
          </cell>
          <cell r="I36" t="str">
            <v>Yes</v>
          </cell>
          <cell r="J36">
            <v>45496</v>
          </cell>
          <cell r="K36" t="str">
            <v>Yes</v>
          </cell>
          <cell r="L36">
            <v>43605</v>
          </cell>
          <cell r="M36">
            <v>264</v>
          </cell>
          <cell r="N36">
            <v>314</v>
          </cell>
          <cell r="O36">
            <v>2137.870361328125</v>
          </cell>
          <cell r="P36">
            <v>8872.3201502417905</v>
          </cell>
          <cell r="Q36">
            <v>2079.332763671875</v>
          </cell>
        </row>
        <row r="37">
          <cell r="A37" t="str">
            <v>2C3CA5CVXAH319776</v>
          </cell>
          <cell r="B37">
            <v>2010</v>
          </cell>
          <cell r="C37" t="str">
            <v>CHRYSLER</v>
          </cell>
          <cell r="D37">
            <v>300</v>
          </cell>
          <cell r="E37">
            <v>103023</v>
          </cell>
          <cell r="F37" t="str">
            <v>Grade 1.3</v>
          </cell>
          <cell r="G37" t="str">
            <v>Red Light</v>
          </cell>
          <cell r="H37" t="str">
            <v>No</v>
          </cell>
          <cell r="I37" t="str">
            <v>Yes</v>
          </cell>
          <cell r="J37">
            <v>45566</v>
          </cell>
          <cell r="K37" t="str">
            <v>Yes</v>
          </cell>
          <cell r="L37">
            <v>43605</v>
          </cell>
          <cell r="M37">
            <v>264</v>
          </cell>
          <cell r="N37">
            <v>314</v>
          </cell>
          <cell r="O37">
            <v>1372.623657226562</v>
          </cell>
          <cell r="P37">
            <v>8782.5331081217882</v>
          </cell>
          <cell r="Q37">
            <v>1385.325439453125</v>
          </cell>
        </row>
        <row r="38">
          <cell r="A38" t="str">
            <v>2C3CDXBG8NH137926</v>
          </cell>
          <cell r="B38">
            <v>2022</v>
          </cell>
          <cell r="C38" t="str">
            <v>DODGE</v>
          </cell>
          <cell r="D38" t="str">
            <v>CHARGER</v>
          </cell>
          <cell r="E38">
            <v>79248</v>
          </cell>
          <cell r="F38" t="str">
            <v>Grade 2.8</v>
          </cell>
          <cell r="G38" t="str">
            <v>Green Light</v>
          </cell>
          <cell r="H38" t="str">
            <v>Yes</v>
          </cell>
          <cell r="I38" t="str">
            <v>No</v>
          </cell>
          <cell r="J38">
            <v>45608</v>
          </cell>
          <cell r="K38" t="str">
            <v>Yes</v>
          </cell>
          <cell r="L38">
            <v>43605</v>
          </cell>
          <cell r="M38">
            <v>264</v>
          </cell>
          <cell r="N38">
            <v>314</v>
          </cell>
          <cell r="O38">
            <v>12757.0126953125</v>
          </cell>
          <cell r="P38">
            <v>12368.0065170874</v>
          </cell>
          <cell r="Q38">
            <v>12874.529296875</v>
          </cell>
        </row>
        <row r="39">
          <cell r="A39" t="str">
            <v>2C3CDZBG7FH912732</v>
          </cell>
          <cell r="B39">
            <v>2015</v>
          </cell>
          <cell r="C39" t="str">
            <v>DODGE</v>
          </cell>
          <cell r="D39" t="str">
            <v>CHALLENGER</v>
          </cell>
          <cell r="E39">
            <v>105256</v>
          </cell>
          <cell r="F39" t="str">
            <v>Grade 4.1</v>
          </cell>
          <cell r="G39" t="str">
            <v>Certified</v>
          </cell>
          <cell r="H39" t="str">
            <v>Yes</v>
          </cell>
          <cell r="I39" t="str">
            <v>No</v>
          </cell>
          <cell r="J39">
            <v>45300</v>
          </cell>
          <cell r="K39" t="str">
            <v>Yes</v>
          </cell>
          <cell r="L39">
            <v>43605</v>
          </cell>
          <cell r="M39">
            <v>264</v>
          </cell>
          <cell r="N39">
            <v>314</v>
          </cell>
          <cell r="O39">
            <v>8499.0615234375</v>
          </cell>
          <cell r="P39">
            <v>10836.65209884521</v>
          </cell>
          <cell r="Q39">
            <v>8261.6015625</v>
          </cell>
        </row>
        <row r="40">
          <cell r="A40" t="str">
            <v>2CTFLWE54B6339514</v>
          </cell>
          <cell r="B40">
            <v>2011</v>
          </cell>
          <cell r="C40" t="str">
            <v>GMC</v>
          </cell>
          <cell r="D40" t="str">
            <v>TERRAIN</v>
          </cell>
          <cell r="E40">
            <v>139708</v>
          </cell>
          <cell r="F40" t="str">
            <v>Grade 1.5</v>
          </cell>
          <cell r="G40" t="str">
            <v>Red Light</v>
          </cell>
          <cell r="H40" t="str">
            <v>No</v>
          </cell>
          <cell r="I40" t="str">
            <v>Yes</v>
          </cell>
          <cell r="J40">
            <v>45608</v>
          </cell>
          <cell r="K40" t="str">
            <v>Yes</v>
          </cell>
          <cell r="L40">
            <v>43605</v>
          </cell>
          <cell r="M40">
            <v>264</v>
          </cell>
          <cell r="N40">
            <v>314</v>
          </cell>
          <cell r="O40">
            <v>1690.178100585938</v>
          </cell>
          <cell r="P40">
            <v>10024.34608927198</v>
          </cell>
          <cell r="Q40">
            <v>1603.841186523438</v>
          </cell>
        </row>
        <row r="41">
          <cell r="A41" t="str">
            <v>2G1WF5EK2B1322493</v>
          </cell>
          <cell r="B41">
            <v>2011</v>
          </cell>
          <cell r="C41" t="str">
            <v>CHEVROLET</v>
          </cell>
          <cell r="D41" t="str">
            <v>IMPALA</v>
          </cell>
          <cell r="E41">
            <v>93301</v>
          </cell>
          <cell r="F41" t="str">
            <v>Grade 1.3</v>
          </cell>
          <cell r="G41" t="str">
            <v>Red Light</v>
          </cell>
          <cell r="H41" t="str">
            <v>No</v>
          </cell>
          <cell r="I41" t="str">
            <v>Yes</v>
          </cell>
          <cell r="J41">
            <v>45622</v>
          </cell>
          <cell r="K41" t="str">
            <v>Yes</v>
          </cell>
          <cell r="L41">
            <v>43605</v>
          </cell>
          <cell r="M41">
            <v>264</v>
          </cell>
          <cell r="N41">
            <v>314</v>
          </cell>
          <cell r="O41">
            <v>2479.7919921875</v>
          </cell>
          <cell r="P41">
            <v>9354.2689700171286</v>
          </cell>
          <cell r="Q41">
            <v>2401.01171875</v>
          </cell>
        </row>
        <row r="42">
          <cell r="A42" t="str">
            <v>2G4GS5EV5D9223927</v>
          </cell>
          <cell r="B42">
            <v>2013</v>
          </cell>
          <cell r="C42" t="str">
            <v>BUICK</v>
          </cell>
          <cell r="D42" t="str">
            <v>REGAL</v>
          </cell>
          <cell r="E42">
            <v>73135</v>
          </cell>
          <cell r="F42" t="str">
            <v>Grade 4.1</v>
          </cell>
          <cell r="G42" t="str">
            <v>Certified</v>
          </cell>
          <cell r="H42" t="str">
            <v>Yes</v>
          </cell>
          <cell r="I42" t="str">
            <v>No</v>
          </cell>
          <cell r="J42">
            <v>45510</v>
          </cell>
          <cell r="K42" t="str">
            <v>Yes</v>
          </cell>
          <cell r="L42">
            <v>43605</v>
          </cell>
          <cell r="M42">
            <v>264</v>
          </cell>
          <cell r="N42">
            <v>314</v>
          </cell>
          <cell r="O42">
            <v>7054.51513671875</v>
          </cell>
          <cell r="P42">
            <v>9995.755006736792</v>
          </cell>
          <cell r="Q42">
            <v>7038.099609375</v>
          </cell>
        </row>
        <row r="43">
          <cell r="A43" t="str">
            <v>2GKFLUEK4G6259549</v>
          </cell>
          <cell r="B43">
            <v>2016</v>
          </cell>
          <cell r="C43" t="str">
            <v>GMC</v>
          </cell>
          <cell r="D43" t="str">
            <v>TERRAIN AWD 4C</v>
          </cell>
          <cell r="E43">
            <v>93955</v>
          </cell>
          <cell r="F43" t="str">
            <v>Grade 2.7</v>
          </cell>
          <cell r="G43" t="str">
            <v>Inoperable</v>
          </cell>
          <cell r="H43" t="str">
            <v>No</v>
          </cell>
          <cell r="I43" t="str">
            <v>Yes</v>
          </cell>
          <cell r="J43">
            <v>45659</v>
          </cell>
          <cell r="K43" t="str">
            <v>Yes</v>
          </cell>
          <cell r="L43">
            <v>43605</v>
          </cell>
          <cell r="M43">
            <v>264</v>
          </cell>
          <cell r="N43">
            <v>314</v>
          </cell>
          <cell r="O43">
            <v>6291.73876953125</v>
          </cell>
          <cell r="P43">
            <v>10332.10697799334</v>
          </cell>
          <cell r="Q43">
            <v>6071.4033203125</v>
          </cell>
        </row>
        <row r="44">
          <cell r="A44" t="str">
            <v>2GNALAEK7E6106544</v>
          </cell>
          <cell r="B44">
            <v>2014</v>
          </cell>
          <cell r="C44" t="str">
            <v>CHEVROLET</v>
          </cell>
          <cell r="D44" t="str">
            <v>EQUINOX FWD 4C</v>
          </cell>
          <cell r="E44">
            <v>95875</v>
          </cell>
          <cell r="F44" t="str">
            <v>Grade 4.7</v>
          </cell>
          <cell r="G44" t="str">
            <v>Certified</v>
          </cell>
          <cell r="H44" t="str">
            <v>Yes</v>
          </cell>
          <cell r="I44" t="str">
            <v>No</v>
          </cell>
          <cell r="J44">
            <v>45407</v>
          </cell>
          <cell r="K44" t="str">
            <v>Yes</v>
          </cell>
          <cell r="L44">
            <v>43605</v>
          </cell>
          <cell r="M44">
            <v>264</v>
          </cell>
          <cell r="N44">
            <v>314</v>
          </cell>
          <cell r="O44">
            <v>8334.2578125</v>
          </cell>
          <cell r="P44">
            <v>10357.084160726539</v>
          </cell>
          <cell r="Q44">
            <v>8255.8642578125</v>
          </cell>
        </row>
        <row r="45">
          <cell r="A45" t="str">
            <v>2GNALAEK7F6421300</v>
          </cell>
          <cell r="B45">
            <v>2015</v>
          </cell>
          <cell r="C45" t="str">
            <v>CHEVROLET</v>
          </cell>
          <cell r="D45" t="str">
            <v>EQUINOX FWD 4C</v>
          </cell>
          <cell r="E45">
            <v>169145</v>
          </cell>
          <cell r="F45" t="str">
            <v>Grade 2.7</v>
          </cell>
          <cell r="G45" t="str">
            <v>Inoperable</v>
          </cell>
          <cell r="H45" t="str">
            <v>No</v>
          </cell>
          <cell r="I45" t="str">
            <v>Yes</v>
          </cell>
          <cell r="J45">
            <v>45610</v>
          </cell>
          <cell r="K45" t="str">
            <v>Yes</v>
          </cell>
          <cell r="L45">
            <v>43605</v>
          </cell>
          <cell r="M45">
            <v>264</v>
          </cell>
          <cell r="N45">
            <v>314</v>
          </cell>
          <cell r="O45">
            <v>2067.447998046875</v>
          </cell>
          <cell r="P45">
            <v>9423.0264753820265</v>
          </cell>
          <cell r="Q45">
            <v>2082.42431640625</v>
          </cell>
        </row>
        <row r="46">
          <cell r="A46" t="str">
            <v>2GNALCEK0F6182944</v>
          </cell>
          <cell r="B46">
            <v>2015</v>
          </cell>
          <cell r="C46" t="str">
            <v>CHEVROLET</v>
          </cell>
          <cell r="D46" t="str">
            <v>EQUINOX FWD 4C</v>
          </cell>
          <cell r="E46">
            <v>147163</v>
          </cell>
          <cell r="F46" t="str">
            <v>Grade 1.8</v>
          </cell>
          <cell r="G46" t="str">
            <v>Inoperable</v>
          </cell>
          <cell r="H46" t="str">
            <v>No</v>
          </cell>
          <cell r="I46" t="str">
            <v>Yes</v>
          </cell>
          <cell r="J46">
            <v>45400</v>
          </cell>
          <cell r="K46" t="str">
            <v>Yes</v>
          </cell>
          <cell r="L46">
            <v>43605</v>
          </cell>
          <cell r="M46">
            <v>264</v>
          </cell>
          <cell r="N46">
            <v>314</v>
          </cell>
          <cell r="O46">
            <v>2275.51611328125</v>
          </cell>
          <cell r="P46">
            <v>9301.8924718466551</v>
          </cell>
          <cell r="Q46">
            <v>2215.851806640625</v>
          </cell>
        </row>
        <row r="47">
          <cell r="A47" t="str">
            <v>2T3WFREV1FW201315</v>
          </cell>
          <cell r="B47">
            <v>2015</v>
          </cell>
          <cell r="C47" t="str">
            <v>TOYOTA</v>
          </cell>
          <cell r="D47" t="str">
            <v>RAV4 FWD</v>
          </cell>
          <cell r="E47">
            <v>113381</v>
          </cell>
          <cell r="F47" t="str">
            <v>Grade 3.2</v>
          </cell>
          <cell r="G47" t="str">
            <v>Green Light</v>
          </cell>
          <cell r="H47" t="str">
            <v>Yes</v>
          </cell>
          <cell r="I47" t="str">
            <v>No</v>
          </cell>
          <cell r="J47">
            <v>45617</v>
          </cell>
          <cell r="K47" t="str">
            <v>Yes</v>
          </cell>
          <cell r="L47">
            <v>43605</v>
          </cell>
          <cell r="M47">
            <v>264</v>
          </cell>
          <cell r="N47">
            <v>314</v>
          </cell>
          <cell r="O47">
            <v>8674.2958984375</v>
          </cell>
          <cell r="P47">
            <v>9478.3623514482751</v>
          </cell>
          <cell r="Q47">
            <v>8663.201171875</v>
          </cell>
        </row>
        <row r="48">
          <cell r="A48" t="str">
            <v>3C4NJCAB9KT844418</v>
          </cell>
          <cell r="B48">
            <v>2019</v>
          </cell>
          <cell r="C48" t="str">
            <v>JEEP</v>
          </cell>
          <cell r="D48" t="str">
            <v>COMPASS</v>
          </cell>
          <cell r="E48">
            <v>64293</v>
          </cell>
          <cell r="F48" t="str">
            <v>Grade 4.0</v>
          </cell>
          <cell r="G48" t="str">
            <v>Certified</v>
          </cell>
          <cell r="H48" t="str">
            <v>Yes</v>
          </cell>
          <cell r="I48" t="str">
            <v>No</v>
          </cell>
          <cell r="J48">
            <v>45496</v>
          </cell>
          <cell r="K48" t="str">
            <v>Yes</v>
          </cell>
          <cell r="L48">
            <v>43605</v>
          </cell>
          <cell r="M48">
            <v>264</v>
          </cell>
          <cell r="N48">
            <v>314</v>
          </cell>
          <cell r="O48">
            <v>12664.5849609375</v>
          </cell>
          <cell r="P48">
            <v>12272.528399590999</v>
          </cell>
          <cell r="Q48">
            <v>12590.3173828125</v>
          </cell>
        </row>
        <row r="49">
          <cell r="A49" t="str">
            <v>3C4PDCAB3GT212022</v>
          </cell>
          <cell r="B49">
            <v>2016</v>
          </cell>
          <cell r="C49" t="str">
            <v>DODGE</v>
          </cell>
          <cell r="D49" t="str">
            <v>JOURNEY</v>
          </cell>
          <cell r="E49">
            <v>100936</v>
          </cell>
          <cell r="F49" t="str">
            <v>Grade 2.9</v>
          </cell>
          <cell r="G49" t="str">
            <v>Green Light</v>
          </cell>
          <cell r="H49" t="str">
            <v>Yes</v>
          </cell>
          <cell r="I49" t="str">
            <v>No</v>
          </cell>
          <cell r="J49">
            <v>45552</v>
          </cell>
          <cell r="K49" t="str">
            <v>Yes</v>
          </cell>
          <cell r="L49">
            <v>43605</v>
          </cell>
          <cell r="M49">
            <v>264</v>
          </cell>
          <cell r="N49">
            <v>314</v>
          </cell>
          <cell r="O49">
            <v>3762.854736328125</v>
          </cell>
          <cell r="P49">
            <v>9007.7699248323133</v>
          </cell>
          <cell r="Q49">
            <v>3664.77294921875</v>
          </cell>
        </row>
        <row r="50">
          <cell r="A50" t="str">
            <v>3C4PDCGB9LT272680</v>
          </cell>
          <cell r="B50">
            <v>2020</v>
          </cell>
          <cell r="C50" t="str">
            <v>DODGE</v>
          </cell>
          <cell r="D50" t="str">
            <v>JOURNEY</v>
          </cell>
          <cell r="E50">
            <v>75626</v>
          </cell>
          <cell r="F50" t="str">
            <v>Grade 1.0</v>
          </cell>
          <cell r="G50" t="str">
            <v>Salvage</v>
          </cell>
          <cell r="H50" t="str">
            <v>No</v>
          </cell>
          <cell r="I50" t="str">
            <v>Yes</v>
          </cell>
          <cell r="J50">
            <v>45519</v>
          </cell>
          <cell r="K50" t="str">
            <v>Yes</v>
          </cell>
          <cell r="L50">
            <v>43605</v>
          </cell>
          <cell r="M50">
            <v>264</v>
          </cell>
          <cell r="N50">
            <v>314</v>
          </cell>
          <cell r="O50">
            <v>7033.8173828125</v>
          </cell>
          <cell r="P50">
            <v>10347.543345441391</v>
          </cell>
          <cell r="Q50">
            <v>6822.22265625</v>
          </cell>
        </row>
        <row r="51">
          <cell r="A51" t="str">
            <v>3FA6P0G71HR347802</v>
          </cell>
          <cell r="B51">
            <v>2017</v>
          </cell>
          <cell r="C51" t="str">
            <v>FORD</v>
          </cell>
          <cell r="D51" t="str">
            <v>FUSION FWD 4C</v>
          </cell>
          <cell r="E51">
            <v>80660</v>
          </cell>
          <cell r="F51" t="str">
            <v>Grade 2.8</v>
          </cell>
          <cell r="G51" t="str">
            <v>Green Light</v>
          </cell>
          <cell r="H51" t="str">
            <v>Yes</v>
          </cell>
          <cell r="I51" t="str">
            <v>No</v>
          </cell>
          <cell r="J51">
            <v>45316</v>
          </cell>
          <cell r="K51" t="str">
            <v>Yes</v>
          </cell>
          <cell r="L51">
            <v>43605</v>
          </cell>
          <cell r="M51">
            <v>264</v>
          </cell>
          <cell r="N51">
            <v>314</v>
          </cell>
          <cell r="O51">
            <v>6331.3837890625</v>
          </cell>
          <cell r="P51">
            <v>9507.4711872615808</v>
          </cell>
          <cell r="Q51">
            <v>6303.5380859375</v>
          </cell>
        </row>
        <row r="52">
          <cell r="A52" t="str">
            <v>3FADP4BJ5JM126997</v>
          </cell>
          <cell r="B52">
            <v>2018</v>
          </cell>
          <cell r="C52" t="str">
            <v>FORD</v>
          </cell>
          <cell r="D52" t="str">
            <v>FIESTA</v>
          </cell>
          <cell r="E52">
            <v>86341</v>
          </cell>
          <cell r="F52" t="str">
            <v>Grade 4.2</v>
          </cell>
          <cell r="G52" t="str">
            <v>Certified</v>
          </cell>
          <cell r="H52" t="str">
            <v>Yes</v>
          </cell>
          <cell r="I52" t="str">
            <v>No</v>
          </cell>
          <cell r="J52">
            <v>45330</v>
          </cell>
          <cell r="K52" t="str">
            <v>Yes</v>
          </cell>
          <cell r="L52">
            <v>43605</v>
          </cell>
          <cell r="M52">
            <v>264</v>
          </cell>
          <cell r="N52">
            <v>314</v>
          </cell>
          <cell r="O52">
            <v>12974.2744140625</v>
          </cell>
          <cell r="P52">
            <v>10333.878250932819</v>
          </cell>
          <cell r="Q52">
            <v>13074.51171875</v>
          </cell>
        </row>
        <row r="53">
          <cell r="A53" t="str">
            <v>3GYFNAEY0AS555762</v>
          </cell>
          <cell r="B53">
            <v>2010</v>
          </cell>
          <cell r="C53" t="str">
            <v>CADILLAC</v>
          </cell>
          <cell r="D53" t="str">
            <v>SRX</v>
          </cell>
          <cell r="E53">
            <v>129272</v>
          </cell>
          <cell r="F53" t="str">
            <v>Grade 1.3</v>
          </cell>
          <cell r="G53" t="str">
            <v>Red Light</v>
          </cell>
          <cell r="H53" t="str">
            <v>No</v>
          </cell>
          <cell r="I53" t="str">
            <v>Yes</v>
          </cell>
          <cell r="J53">
            <v>45608</v>
          </cell>
          <cell r="K53" t="str">
            <v>Yes</v>
          </cell>
          <cell r="L53">
            <v>43605</v>
          </cell>
          <cell r="M53">
            <v>264</v>
          </cell>
          <cell r="N53">
            <v>314</v>
          </cell>
          <cell r="O53">
            <v>1464.307983398438</v>
          </cell>
          <cell r="P53">
            <v>8872.9559341161203</v>
          </cell>
          <cell r="Q53">
            <v>1395.367431640625</v>
          </cell>
        </row>
        <row r="54">
          <cell r="A54" t="str">
            <v>3GYFNFE36FS630957</v>
          </cell>
          <cell r="B54">
            <v>2015</v>
          </cell>
          <cell r="C54" t="str">
            <v>CADILLAC</v>
          </cell>
          <cell r="D54" t="str">
            <v>SRX</v>
          </cell>
          <cell r="E54">
            <v>95036</v>
          </cell>
          <cell r="F54" t="str">
            <v>Grade 4.0</v>
          </cell>
          <cell r="G54" t="str">
            <v>Certified</v>
          </cell>
          <cell r="H54" t="str">
            <v>Yes</v>
          </cell>
          <cell r="I54" t="str">
            <v>No</v>
          </cell>
          <cell r="J54">
            <v>45384</v>
          </cell>
          <cell r="K54" t="str">
            <v>Yes</v>
          </cell>
          <cell r="L54">
            <v>43605</v>
          </cell>
          <cell r="M54">
            <v>264</v>
          </cell>
          <cell r="N54">
            <v>314</v>
          </cell>
          <cell r="O54">
            <v>8894.1298828125</v>
          </cell>
          <cell r="P54">
            <v>10122.280846600381</v>
          </cell>
          <cell r="Q54">
            <v>8827.087890625</v>
          </cell>
        </row>
        <row r="55">
          <cell r="A55" t="str">
            <v>3KPFK4A75JE276545</v>
          </cell>
          <cell r="B55">
            <v>2018</v>
          </cell>
          <cell r="C55" t="str">
            <v>KIA</v>
          </cell>
          <cell r="D55" t="str">
            <v>FORTE</v>
          </cell>
          <cell r="E55">
            <v>38512</v>
          </cell>
          <cell r="F55" t="str">
            <v>Grade 4.7</v>
          </cell>
          <cell r="G55" t="str">
            <v>Certified</v>
          </cell>
          <cell r="H55" t="str">
            <v>Yes</v>
          </cell>
          <cell r="I55" t="str">
            <v>No</v>
          </cell>
          <cell r="J55">
            <v>45664</v>
          </cell>
          <cell r="K55" t="str">
            <v>Yes</v>
          </cell>
          <cell r="L55">
            <v>43605</v>
          </cell>
          <cell r="M55">
            <v>264</v>
          </cell>
          <cell r="N55">
            <v>314</v>
          </cell>
          <cell r="O55">
            <v>11055.6337890625</v>
          </cell>
          <cell r="P55">
            <v>11836.47881627901</v>
          </cell>
          <cell r="Q55">
            <v>10897.6533203125</v>
          </cell>
        </row>
        <row r="56">
          <cell r="A56" t="str">
            <v>3LN6L2LUXGR618766</v>
          </cell>
          <cell r="B56">
            <v>2016</v>
          </cell>
          <cell r="C56" t="str">
            <v>LINCOLN</v>
          </cell>
          <cell r="D56" t="str">
            <v>MKZ FWD 4C</v>
          </cell>
          <cell r="E56">
            <v>95888</v>
          </cell>
          <cell r="F56" t="str">
            <v>Grade 4.3</v>
          </cell>
          <cell r="G56" t="str">
            <v>Certified</v>
          </cell>
          <cell r="H56" t="str">
            <v>Yes</v>
          </cell>
          <cell r="I56" t="str">
            <v>No</v>
          </cell>
          <cell r="J56">
            <v>45680</v>
          </cell>
          <cell r="K56" t="str">
            <v>Yes</v>
          </cell>
          <cell r="L56">
            <v>43605</v>
          </cell>
          <cell r="M56">
            <v>264</v>
          </cell>
          <cell r="N56">
            <v>314</v>
          </cell>
          <cell r="O56">
            <v>9467.0302734375</v>
          </cell>
          <cell r="P56">
            <v>10257.4298387737</v>
          </cell>
          <cell r="Q56">
            <v>9504.462890625</v>
          </cell>
        </row>
        <row r="57">
          <cell r="A57" t="str">
            <v>4T1BF1FK7CU115421</v>
          </cell>
          <cell r="B57">
            <v>2012</v>
          </cell>
          <cell r="C57" t="str">
            <v>TOYOTA</v>
          </cell>
          <cell r="D57" t="str">
            <v>CAMRY</v>
          </cell>
          <cell r="E57">
            <v>73427</v>
          </cell>
          <cell r="F57" t="str">
            <v>Grade 4.4</v>
          </cell>
          <cell r="G57" t="str">
            <v>Certified</v>
          </cell>
          <cell r="H57" t="str">
            <v>Yes</v>
          </cell>
          <cell r="I57" t="str">
            <v>No</v>
          </cell>
          <cell r="J57">
            <v>45300</v>
          </cell>
          <cell r="K57" t="str">
            <v>Yes</v>
          </cell>
          <cell r="L57">
            <v>43605</v>
          </cell>
          <cell r="M57">
            <v>264</v>
          </cell>
          <cell r="N57">
            <v>314</v>
          </cell>
          <cell r="O57">
            <v>8582.27734375</v>
          </cell>
          <cell r="P57">
            <v>10342.571815308131</v>
          </cell>
          <cell r="Q57">
            <v>8541.11328125</v>
          </cell>
        </row>
        <row r="58">
          <cell r="A58" t="str">
            <v>5LMCJ3D90HUL35339</v>
          </cell>
          <cell r="B58">
            <v>2017</v>
          </cell>
          <cell r="C58" t="str">
            <v>LINCOLN</v>
          </cell>
          <cell r="D58" t="str">
            <v>MKC AWD 4C</v>
          </cell>
          <cell r="E58">
            <v>74330</v>
          </cell>
          <cell r="F58" t="str">
            <v>Grade 2.6</v>
          </cell>
          <cell r="G58" t="str">
            <v>Green Light</v>
          </cell>
          <cell r="H58" t="str">
            <v>Yes</v>
          </cell>
          <cell r="I58" t="str">
            <v>No</v>
          </cell>
          <cell r="J58">
            <v>45666</v>
          </cell>
          <cell r="K58" t="str">
            <v>Yes</v>
          </cell>
          <cell r="L58">
            <v>43605</v>
          </cell>
          <cell r="M58">
            <v>264</v>
          </cell>
          <cell r="N58">
            <v>314</v>
          </cell>
          <cell r="O58">
            <v>5797.68603515625</v>
          </cell>
          <cell r="P58">
            <v>9537.9180074832038</v>
          </cell>
          <cell r="Q58">
            <v>5912.89697265625</v>
          </cell>
        </row>
        <row r="59">
          <cell r="A59" t="str">
            <v>5NPD84LF6JH312572</v>
          </cell>
          <cell r="B59">
            <v>2018</v>
          </cell>
          <cell r="C59" t="str">
            <v>HYUNDAI</v>
          </cell>
          <cell r="D59" t="str">
            <v>ELANTRA</v>
          </cell>
          <cell r="E59">
            <v>78628</v>
          </cell>
          <cell r="F59" t="str">
            <v>Grade 2.5</v>
          </cell>
          <cell r="G59" t="str">
            <v>Green Light</v>
          </cell>
          <cell r="H59" t="str">
            <v>Yes</v>
          </cell>
          <cell r="I59" t="str">
            <v>No</v>
          </cell>
          <cell r="J59">
            <v>45596</v>
          </cell>
          <cell r="K59" t="str">
            <v>Yes</v>
          </cell>
          <cell r="L59">
            <v>43605</v>
          </cell>
          <cell r="M59">
            <v>264</v>
          </cell>
          <cell r="N59">
            <v>314</v>
          </cell>
          <cell r="O59">
            <v>3867.195556640625</v>
          </cell>
          <cell r="P59">
            <v>8973.3504581089455</v>
          </cell>
          <cell r="Q59">
            <v>3803.46435546875</v>
          </cell>
        </row>
        <row r="60">
          <cell r="A60" t="str">
            <v>5NPD84LF8LH559014</v>
          </cell>
          <cell r="B60">
            <v>2020</v>
          </cell>
          <cell r="C60" t="str">
            <v>HYUNDAI</v>
          </cell>
          <cell r="D60" t="str">
            <v>ELANTRA</v>
          </cell>
          <cell r="E60">
            <v>97995</v>
          </cell>
          <cell r="F60" t="str">
            <v>Grade 2.4</v>
          </cell>
          <cell r="G60" t="str">
            <v>Green/Yellow</v>
          </cell>
          <cell r="H60" t="str">
            <v>Yes</v>
          </cell>
          <cell r="I60" t="str">
            <v>No</v>
          </cell>
          <cell r="J60">
            <v>45666</v>
          </cell>
          <cell r="K60" t="str">
            <v>Yes</v>
          </cell>
          <cell r="L60">
            <v>43605</v>
          </cell>
          <cell r="M60">
            <v>264</v>
          </cell>
          <cell r="N60">
            <v>314</v>
          </cell>
          <cell r="O60">
            <v>4231.2451171875</v>
          </cell>
          <cell r="P60">
            <v>10095.639499814761</v>
          </cell>
          <cell r="Q60">
            <v>4090.842041015625</v>
          </cell>
        </row>
        <row r="61">
          <cell r="A61" t="str">
            <v>5NPE24AF3KH774937</v>
          </cell>
          <cell r="B61">
            <v>2019</v>
          </cell>
          <cell r="C61" t="str">
            <v>HYUNDAI</v>
          </cell>
          <cell r="D61" t="str">
            <v>SONATA</v>
          </cell>
          <cell r="E61">
            <v>78270</v>
          </cell>
          <cell r="F61" t="str">
            <v>Grade 4.4</v>
          </cell>
          <cell r="G61" t="str">
            <v>Certified</v>
          </cell>
          <cell r="H61" t="str">
            <v>Yes</v>
          </cell>
          <cell r="I61" t="str">
            <v>No</v>
          </cell>
          <cell r="J61">
            <v>45449</v>
          </cell>
          <cell r="K61" t="str">
            <v>Yes</v>
          </cell>
          <cell r="L61">
            <v>43605</v>
          </cell>
          <cell r="M61">
            <v>264</v>
          </cell>
          <cell r="N61">
            <v>314</v>
          </cell>
          <cell r="O61">
            <v>9881.4423828125</v>
          </cell>
          <cell r="P61">
            <v>9784.9721909423006</v>
          </cell>
          <cell r="Q61">
            <v>9888.9765625</v>
          </cell>
        </row>
        <row r="62">
          <cell r="A62" t="str">
            <v>5XXGU4L32JG209174</v>
          </cell>
          <cell r="B62">
            <v>2018</v>
          </cell>
          <cell r="C62" t="str">
            <v>KIA</v>
          </cell>
          <cell r="D62" t="str">
            <v>OPTIMA</v>
          </cell>
          <cell r="E62">
            <v>76588</v>
          </cell>
          <cell r="F62" t="str">
            <v>Grade 4.5</v>
          </cell>
          <cell r="G62" t="str">
            <v>Certified</v>
          </cell>
          <cell r="H62" t="str">
            <v>Yes</v>
          </cell>
          <cell r="I62" t="str">
            <v>No</v>
          </cell>
          <cell r="J62">
            <v>45596</v>
          </cell>
          <cell r="K62" t="str">
            <v>Yes</v>
          </cell>
          <cell r="L62">
            <v>43605</v>
          </cell>
          <cell r="M62">
            <v>264</v>
          </cell>
          <cell r="N62">
            <v>314</v>
          </cell>
          <cell r="O62">
            <v>9273.0458984375</v>
          </cell>
          <cell r="P62">
            <v>9970.9169753897459</v>
          </cell>
          <cell r="Q62">
            <v>9481.7255859375</v>
          </cell>
        </row>
        <row r="63">
          <cell r="A63" t="str">
            <v>5XYKTCA63FG652442</v>
          </cell>
          <cell r="B63">
            <v>2015</v>
          </cell>
          <cell r="C63" t="str">
            <v>KIA</v>
          </cell>
          <cell r="D63" t="str">
            <v>SORENTO AWD 4C</v>
          </cell>
          <cell r="E63">
            <v>121732</v>
          </cell>
          <cell r="F63" t="str">
            <v>Grade 2.5</v>
          </cell>
          <cell r="G63" t="str">
            <v>Red Light</v>
          </cell>
          <cell r="H63" t="str">
            <v>No</v>
          </cell>
          <cell r="I63" t="str">
            <v>Yes</v>
          </cell>
          <cell r="J63">
            <v>45596</v>
          </cell>
          <cell r="K63" t="str">
            <v>Yes</v>
          </cell>
          <cell r="L63">
            <v>43605</v>
          </cell>
          <cell r="M63">
            <v>264</v>
          </cell>
          <cell r="N63">
            <v>314</v>
          </cell>
          <cell r="O63">
            <v>1246.733032226562</v>
          </cell>
          <cell r="P63">
            <v>8707.1575817042067</v>
          </cell>
          <cell r="Q63">
            <v>1330.663208007812</v>
          </cell>
        </row>
        <row r="64">
          <cell r="A64" t="str">
            <v>5XYPG4A37GG045743</v>
          </cell>
          <cell r="B64">
            <v>2016</v>
          </cell>
          <cell r="C64" t="str">
            <v>KIA</v>
          </cell>
          <cell r="D64" t="str">
            <v>SORENTO FWD 4C</v>
          </cell>
          <cell r="E64">
            <v>124895</v>
          </cell>
          <cell r="F64" t="str">
            <v>Grade 4.4</v>
          </cell>
          <cell r="G64" t="str">
            <v>Certified</v>
          </cell>
          <cell r="H64" t="str">
            <v>Yes</v>
          </cell>
          <cell r="I64" t="str">
            <v>No</v>
          </cell>
          <cell r="J64">
            <v>45554</v>
          </cell>
          <cell r="K64" t="str">
            <v>Yes</v>
          </cell>
          <cell r="L64">
            <v>43605</v>
          </cell>
          <cell r="M64">
            <v>264</v>
          </cell>
          <cell r="N64">
            <v>314</v>
          </cell>
          <cell r="O64">
            <v>4998.072265625</v>
          </cell>
          <cell r="P64">
            <v>9569.3454282489984</v>
          </cell>
          <cell r="Q64">
            <v>5016.734375</v>
          </cell>
        </row>
        <row r="65">
          <cell r="A65" t="str">
            <v>5XYZT3LB6JG569637</v>
          </cell>
          <cell r="B65">
            <v>2018</v>
          </cell>
          <cell r="C65" t="str">
            <v>HYUNDAI</v>
          </cell>
          <cell r="D65" t="str">
            <v>SANTA SP FWD 4C</v>
          </cell>
          <cell r="E65">
            <v>96240</v>
          </cell>
          <cell r="F65" t="str">
            <v>Grade 3.1</v>
          </cell>
          <cell r="G65" t="str">
            <v>Inoperable</v>
          </cell>
          <cell r="H65" t="str">
            <v>No</v>
          </cell>
          <cell r="I65" t="str">
            <v>Yes</v>
          </cell>
          <cell r="J65">
            <v>45610</v>
          </cell>
          <cell r="K65" t="str">
            <v>Yes</v>
          </cell>
          <cell r="L65">
            <v>43605</v>
          </cell>
          <cell r="M65">
            <v>264</v>
          </cell>
          <cell r="N65">
            <v>314</v>
          </cell>
          <cell r="O65">
            <v>6951.27734375</v>
          </cell>
          <cell r="P65">
            <v>9091.422250357753</v>
          </cell>
          <cell r="Q65">
            <v>6987.212890625</v>
          </cell>
        </row>
        <row r="66">
          <cell r="A66" t="str">
            <v>JF1VA1C67L9804505</v>
          </cell>
          <cell r="B66">
            <v>2020</v>
          </cell>
          <cell r="C66" t="str">
            <v>SUBARU</v>
          </cell>
          <cell r="D66" t="str">
            <v>WRX</v>
          </cell>
          <cell r="E66">
            <v>36199</v>
          </cell>
          <cell r="F66" t="str">
            <v>Grade 4.5</v>
          </cell>
          <cell r="G66" t="str">
            <v>Certified</v>
          </cell>
          <cell r="H66" t="str">
            <v>Yes</v>
          </cell>
          <cell r="I66" t="str">
            <v>No</v>
          </cell>
          <cell r="J66">
            <v>45482</v>
          </cell>
          <cell r="K66" t="str">
            <v>Yes</v>
          </cell>
          <cell r="L66">
            <v>43605</v>
          </cell>
          <cell r="M66">
            <v>264</v>
          </cell>
          <cell r="N66">
            <v>314</v>
          </cell>
          <cell r="O66">
            <v>19191.791015625</v>
          </cell>
          <cell r="P66">
            <v>13623.38810314795</v>
          </cell>
          <cell r="Q66">
            <v>19317.044921875</v>
          </cell>
        </row>
        <row r="67">
          <cell r="A67" t="str">
            <v>JN8AS5MV3DW652278</v>
          </cell>
          <cell r="B67">
            <v>2013</v>
          </cell>
          <cell r="C67" t="str">
            <v>NISSAN</v>
          </cell>
          <cell r="D67" t="str">
            <v>ROGUE</v>
          </cell>
          <cell r="E67">
            <v>101511</v>
          </cell>
          <cell r="F67" t="str">
            <v>Grade 4.1</v>
          </cell>
          <cell r="G67" t="str">
            <v>Certified</v>
          </cell>
          <cell r="H67" t="str">
            <v>Yes</v>
          </cell>
          <cell r="I67" t="str">
            <v>No</v>
          </cell>
          <cell r="J67">
            <v>45538</v>
          </cell>
          <cell r="K67" t="str">
            <v>Yes</v>
          </cell>
          <cell r="L67">
            <v>43605</v>
          </cell>
          <cell r="M67">
            <v>264</v>
          </cell>
          <cell r="N67">
            <v>314</v>
          </cell>
          <cell r="O67">
            <v>5712.45166015625</v>
          </cell>
          <cell r="P67">
            <v>9659.2676936564858</v>
          </cell>
          <cell r="Q67">
            <v>5713.1025390625</v>
          </cell>
        </row>
        <row r="68">
          <cell r="A68" t="str">
            <v>KM8J33A46MU380583</v>
          </cell>
          <cell r="B68">
            <v>2021</v>
          </cell>
          <cell r="C68" t="str">
            <v>HYUNDAI</v>
          </cell>
          <cell r="D68" t="str">
            <v>TUCSON FWD 4C</v>
          </cell>
          <cell r="E68">
            <v>25977</v>
          </cell>
          <cell r="F68" t="str">
            <v>Grade 4.6</v>
          </cell>
          <cell r="G68" t="str">
            <v>Certified</v>
          </cell>
          <cell r="H68" t="str">
            <v>Yes</v>
          </cell>
          <cell r="I68" t="str">
            <v>No</v>
          </cell>
          <cell r="J68">
            <v>45631</v>
          </cell>
          <cell r="K68" t="str">
            <v>Yes</v>
          </cell>
          <cell r="L68">
            <v>43605</v>
          </cell>
          <cell r="M68">
            <v>264</v>
          </cell>
          <cell r="N68">
            <v>314</v>
          </cell>
          <cell r="O68">
            <v>17006.21875</v>
          </cell>
          <cell r="P68">
            <v>14175.49898604201</v>
          </cell>
          <cell r="Q68">
            <v>16834.55859375</v>
          </cell>
        </row>
        <row r="69">
          <cell r="A69" t="str">
            <v>KMHDH4AE6EU164960</v>
          </cell>
          <cell r="B69">
            <v>2014</v>
          </cell>
          <cell r="C69" t="str">
            <v>HYUNDAI</v>
          </cell>
          <cell r="D69" t="str">
            <v>ELANTRA</v>
          </cell>
          <cell r="E69">
            <v>111147</v>
          </cell>
          <cell r="F69" t="str">
            <v>Grade 2.6</v>
          </cell>
          <cell r="G69" t="str">
            <v>Green Light</v>
          </cell>
          <cell r="H69" t="str">
            <v>Yes</v>
          </cell>
          <cell r="I69" t="str">
            <v>No</v>
          </cell>
          <cell r="J69">
            <v>45428</v>
          </cell>
          <cell r="K69" t="str">
            <v>Yes</v>
          </cell>
          <cell r="L69">
            <v>43605</v>
          </cell>
          <cell r="M69">
            <v>264</v>
          </cell>
          <cell r="N69">
            <v>314</v>
          </cell>
          <cell r="O69">
            <v>1632.314697265625</v>
          </cell>
          <cell r="P69">
            <v>8664.2156086511513</v>
          </cell>
          <cell r="Q69">
            <v>1545.571166992188</v>
          </cell>
        </row>
        <row r="70">
          <cell r="A70" t="str">
            <v>KMHTC6AD1DU167437</v>
          </cell>
          <cell r="B70">
            <v>2013</v>
          </cell>
          <cell r="C70" t="str">
            <v>HYUNDAI</v>
          </cell>
          <cell r="D70" t="str">
            <v>VELOSTER</v>
          </cell>
          <cell r="E70">
            <v>140436</v>
          </cell>
          <cell r="F70" t="str">
            <v>Grade 2.0</v>
          </cell>
          <cell r="G70" t="str">
            <v>Inoperable</v>
          </cell>
          <cell r="H70" t="str">
            <v>No</v>
          </cell>
          <cell r="I70" t="str">
            <v>Yes</v>
          </cell>
          <cell r="J70">
            <v>45449</v>
          </cell>
          <cell r="K70" t="str">
            <v>Yes</v>
          </cell>
          <cell r="L70">
            <v>43605</v>
          </cell>
          <cell r="M70">
            <v>264</v>
          </cell>
          <cell r="N70">
            <v>314</v>
          </cell>
          <cell r="O70">
            <v>827.93341064453125</v>
          </cell>
          <cell r="P70">
            <v>8608.5636880548427</v>
          </cell>
          <cell r="Q70">
            <v>1094.4677734375</v>
          </cell>
        </row>
        <row r="71">
          <cell r="A71" t="str">
            <v>KNAGM4AD5D5039877</v>
          </cell>
          <cell r="B71">
            <v>2013</v>
          </cell>
          <cell r="C71" t="str">
            <v>KIA</v>
          </cell>
          <cell r="D71" t="str">
            <v>OPTIMA HYBRID</v>
          </cell>
          <cell r="E71">
            <v>112824</v>
          </cell>
          <cell r="F71" t="str">
            <v>Grade 2.8</v>
          </cell>
          <cell r="G71" t="str">
            <v>Green Light</v>
          </cell>
          <cell r="H71" t="str">
            <v>Yes</v>
          </cell>
          <cell r="I71" t="str">
            <v>No</v>
          </cell>
          <cell r="J71">
            <v>45664</v>
          </cell>
          <cell r="K71" t="str">
            <v>Yes</v>
          </cell>
          <cell r="L71">
            <v>43605</v>
          </cell>
          <cell r="M71">
            <v>264</v>
          </cell>
          <cell r="N71">
            <v>314</v>
          </cell>
          <cell r="O71">
            <v>848.24114990234375</v>
          </cell>
          <cell r="P71">
            <v>8707.1575817042067</v>
          </cell>
          <cell r="Q71">
            <v>1088.946655273438</v>
          </cell>
        </row>
        <row r="72">
          <cell r="A72" t="str">
            <v>KNDJ23AU0L7068926</v>
          </cell>
          <cell r="B72">
            <v>2020</v>
          </cell>
          <cell r="C72" t="str">
            <v>KIA</v>
          </cell>
          <cell r="D72" t="str">
            <v>SOUL</v>
          </cell>
          <cell r="E72">
            <v>80143</v>
          </cell>
          <cell r="F72" t="str">
            <v>Grade 2.4</v>
          </cell>
          <cell r="G72" t="str">
            <v>Green Light</v>
          </cell>
          <cell r="H72" t="str">
            <v>Yes</v>
          </cell>
          <cell r="I72" t="str">
            <v>No</v>
          </cell>
          <cell r="J72">
            <v>45596</v>
          </cell>
          <cell r="K72" t="str">
            <v>Yes</v>
          </cell>
          <cell r="L72">
            <v>43605</v>
          </cell>
          <cell r="M72">
            <v>264</v>
          </cell>
          <cell r="N72">
            <v>314</v>
          </cell>
          <cell r="O72">
            <v>5303.50439453125</v>
          </cell>
          <cell r="P72">
            <v>10189.69369102491</v>
          </cell>
          <cell r="Q72">
            <v>5160.84130859375</v>
          </cell>
        </row>
        <row r="73">
          <cell r="A73" t="str">
            <v>KNDJN2A22K7913323</v>
          </cell>
          <cell r="B73">
            <v>2019</v>
          </cell>
          <cell r="C73" t="str">
            <v>KIA</v>
          </cell>
          <cell r="D73" t="str">
            <v>SOUL</v>
          </cell>
          <cell r="E73">
            <v>94701</v>
          </cell>
          <cell r="F73" t="str">
            <v>Grade 1.3</v>
          </cell>
          <cell r="G73" t="str">
            <v>Green/Yellow</v>
          </cell>
          <cell r="H73" t="str">
            <v>Yes</v>
          </cell>
          <cell r="I73" t="str">
            <v>No</v>
          </cell>
          <cell r="J73">
            <v>45412</v>
          </cell>
          <cell r="K73" t="str">
            <v>Yes</v>
          </cell>
          <cell r="L73">
            <v>43605</v>
          </cell>
          <cell r="M73">
            <v>264</v>
          </cell>
          <cell r="N73">
            <v>314</v>
          </cell>
          <cell r="O73">
            <v>3918.839111328125</v>
          </cell>
          <cell r="P73">
            <v>8818.3436868706594</v>
          </cell>
          <cell r="Q73">
            <v>3878.453125</v>
          </cell>
        </row>
        <row r="74">
          <cell r="A74" t="str">
            <v>WMWSV3C58DT395873</v>
          </cell>
          <cell r="B74">
            <v>2013</v>
          </cell>
          <cell r="C74" t="str">
            <v>MINI</v>
          </cell>
          <cell r="D74" t="str">
            <v>HARDTOP</v>
          </cell>
          <cell r="E74">
            <v>75903</v>
          </cell>
          <cell r="F74" t="str">
            <v>Grade 2.6</v>
          </cell>
          <cell r="G74" t="str">
            <v>Green/Yellow</v>
          </cell>
          <cell r="H74" t="str">
            <v>Yes</v>
          </cell>
          <cell r="I74" t="str">
            <v>No</v>
          </cell>
          <cell r="J74">
            <v>45720</v>
          </cell>
          <cell r="K74" t="str">
            <v>Yes</v>
          </cell>
          <cell r="L74">
            <v>43605</v>
          </cell>
          <cell r="M74">
            <v>264</v>
          </cell>
          <cell r="N74">
            <v>314</v>
          </cell>
          <cell r="O74">
            <v>2189.518798828125</v>
          </cell>
          <cell r="P74">
            <v>9132.4216109010467</v>
          </cell>
          <cell r="Q74">
            <v>2098.140869140625</v>
          </cell>
        </row>
        <row r="75">
          <cell r="A75" t="str">
            <v>YV4940DZ2D2372581</v>
          </cell>
          <cell r="B75">
            <v>2013</v>
          </cell>
          <cell r="C75" t="str">
            <v>VOLVO</v>
          </cell>
          <cell r="D75" t="str">
            <v>XC60</v>
          </cell>
          <cell r="E75">
            <v>84025</v>
          </cell>
          <cell r="F75" t="str">
            <v>Grade 4.2</v>
          </cell>
          <cell r="G75" t="str">
            <v>Certified</v>
          </cell>
          <cell r="H75" t="str">
            <v>Yes</v>
          </cell>
          <cell r="I75" t="str">
            <v>No</v>
          </cell>
          <cell r="J75">
            <v>45356</v>
          </cell>
          <cell r="K75" t="str">
            <v>Yes</v>
          </cell>
          <cell r="L75">
            <v>43605</v>
          </cell>
          <cell r="M75">
            <v>264</v>
          </cell>
          <cell r="N75">
            <v>314</v>
          </cell>
          <cell r="O75">
            <v>8002.80908203125</v>
          </cell>
          <cell r="P75">
            <v>10093.57799599696</v>
          </cell>
          <cell r="Q75">
            <v>7876.1484375</v>
          </cell>
        </row>
        <row r="76">
          <cell r="A76" t="str">
            <v>1C3CCCAB3FN732922</v>
          </cell>
          <cell r="B76">
            <v>2015</v>
          </cell>
          <cell r="C76" t="str">
            <v>CHRYSLER</v>
          </cell>
          <cell r="D76">
            <v>200</v>
          </cell>
          <cell r="E76">
            <v>97687</v>
          </cell>
          <cell r="F76" t="str">
            <v>Grade 2.6</v>
          </cell>
          <cell r="G76" t="str">
            <v>Green Light</v>
          </cell>
          <cell r="H76" t="str">
            <v>Yes</v>
          </cell>
          <cell r="I76" t="str">
            <v>No</v>
          </cell>
          <cell r="J76">
            <v>45720</v>
          </cell>
          <cell r="K76" t="str">
            <v>Yes</v>
          </cell>
          <cell r="L76">
            <v>43608</v>
          </cell>
          <cell r="M76">
            <v>264</v>
          </cell>
          <cell r="N76">
            <v>314</v>
          </cell>
          <cell r="O76">
            <v>2360.777099609375</v>
          </cell>
          <cell r="P76">
            <v>9092.4605551979239</v>
          </cell>
          <cell r="Q76">
            <v>2226.78125</v>
          </cell>
        </row>
        <row r="77">
          <cell r="A77" t="str">
            <v>1C3CCCAB6FN744272</v>
          </cell>
          <cell r="B77">
            <v>2015</v>
          </cell>
          <cell r="C77" t="str">
            <v>CHRYSLER</v>
          </cell>
          <cell r="D77" t="str">
            <v>200 FWD 4C</v>
          </cell>
          <cell r="E77">
            <v>103281</v>
          </cell>
          <cell r="F77" t="str">
            <v>Grade 2.9</v>
          </cell>
          <cell r="G77" t="str">
            <v>Red Light</v>
          </cell>
          <cell r="H77" t="str">
            <v>No</v>
          </cell>
          <cell r="I77" t="str">
            <v>Yes</v>
          </cell>
          <cell r="J77">
            <v>45484</v>
          </cell>
          <cell r="K77" t="str">
            <v>Yes</v>
          </cell>
          <cell r="L77">
            <v>43608</v>
          </cell>
          <cell r="M77">
            <v>264</v>
          </cell>
          <cell r="N77">
            <v>314</v>
          </cell>
          <cell r="O77">
            <v>2497.375</v>
          </cell>
          <cell r="P77">
            <v>8971.8319518385943</v>
          </cell>
          <cell r="Q77">
            <v>2338.3408203125</v>
          </cell>
        </row>
        <row r="78">
          <cell r="A78" t="str">
            <v>1C3CCCCB5GN109087</v>
          </cell>
          <cell r="B78">
            <v>2016</v>
          </cell>
          <cell r="C78" t="str">
            <v>CHRYSLER</v>
          </cell>
          <cell r="D78">
            <v>200</v>
          </cell>
          <cell r="E78">
            <v>99156</v>
          </cell>
          <cell r="F78" t="str">
            <v>Grade 1.7</v>
          </cell>
          <cell r="G78" t="str">
            <v>Red Light</v>
          </cell>
          <cell r="H78" t="str">
            <v>No</v>
          </cell>
          <cell r="I78" t="str">
            <v>Yes</v>
          </cell>
          <cell r="J78">
            <v>45566</v>
          </cell>
          <cell r="K78" t="str">
            <v>Yes</v>
          </cell>
          <cell r="L78">
            <v>43608</v>
          </cell>
          <cell r="M78">
            <v>264</v>
          </cell>
          <cell r="N78">
            <v>314</v>
          </cell>
          <cell r="O78">
            <v>2490.335693359375</v>
          </cell>
          <cell r="P78">
            <v>8941.9817262902652</v>
          </cell>
          <cell r="Q78">
            <v>2338.3408203125</v>
          </cell>
        </row>
        <row r="79">
          <cell r="A79" t="str">
            <v>1C4BJWDG3FL607176</v>
          </cell>
          <cell r="B79">
            <v>2015</v>
          </cell>
          <cell r="C79" t="str">
            <v>JEEP</v>
          </cell>
          <cell r="D79" t="str">
            <v>WRANG UNLTD</v>
          </cell>
          <cell r="E79">
            <v>115086</v>
          </cell>
          <cell r="F79" t="str">
            <v>Grade 3.9</v>
          </cell>
          <cell r="G79" t="str">
            <v>Red Light</v>
          </cell>
          <cell r="H79" t="str">
            <v>No</v>
          </cell>
          <cell r="I79" t="str">
            <v>Yes</v>
          </cell>
          <cell r="J79">
            <v>45610</v>
          </cell>
          <cell r="K79" t="str">
            <v>Yes</v>
          </cell>
          <cell r="L79">
            <v>43608</v>
          </cell>
          <cell r="M79">
            <v>264</v>
          </cell>
          <cell r="N79">
            <v>314</v>
          </cell>
          <cell r="O79">
            <v>6450.56640625</v>
          </cell>
          <cell r="P79">
            <v>10082.3916259665</v>
          </cell>
          <cell r="Q79">
            <v>6447.72021484375</v>
          </cell>
        </row>
        <row r="80">
          <cell r="A80" t="str">
            <v>1C4NJCEBXHD185001</v>
          </cell>
          <cell r="B80">
            <v>2017</v>
          </cell>
          <cell r="C80" t="str">
            <v>JEEP</v>
          </cell>
          <cell r="D80" t="str">
            <v>COMPASS FWD 4C</v>
          </cell>
          <cell r="E80">
            <v>76353</v>
          </cell>
          <cell r="F80" t="str">
            <v>Grade 4.2</v>
          </cell>
          <cell r="G80" t="str">
            <v>Certified</v>
          </cell>
          <cell r="H80" t="str">
            <v>Yes</v>
          </cell>
          <cell r="I80" t="str">
            <v>No</v>
          </cell>
          <cell r="J80">
            <v>45456</v>
          </cell>
          <cell r="K80" t="str">
            <v>Yes</v>
          </cell>
          <cell r="L80">
            <v>43608</v>
          </cell>
          <cell r="M80">
            <v>264</v>
          </cell>
          <cell r="N80">
            <v>314</v>
          </cell>
          <cell r="O80">
            <v>12524.7041015625</v>
          </cell>
          <cell r="P80">
            <v>10251.992913484501</v>
          </cell>
          <cell r="Q80">
            <v>12625.42578125</v>
          </cell>
        </row>
        <row r="81">
          <cell r="A81" t="str">
            <v>1C4PJMLB5KD211318</v>
          </cell>
          <cell r="B81">
            <v>2019</v>
          </cell>
          <cell r="C81" t="str">
            <v>JEEP</v>
          </cell>
          <cell r="D81" t="str">
            <v>CHEROKEE 4X4 4C</v>
          </cell>
          <cell r="E81">
            <v>106217</v>
          </cell>
          <cell r="F81" t="str">
            <v>Grade 3.2</v>
          </cell>
          <cell r="G81" t="str">
            <v>Red Light</v>
          </cell>
          <cell r="H81" t="str">
            <v>No</v>
          </cell>
          <cell r="I81" t="str">
            <v>Yes</v>
          </cell>
          <cell r="J81">
            <v>45701</v>
          </cell>
          <cell r="K81" t="str">
            <v>Yes</v>
          </cell>
          <cell r="L81">
            <v>43608</v>
          </cell>
          <cell r="M81">
            <v>264</v>
          </cell>
          <cell r="N81">
            <v>314</v>
          </cell>
          <cell r="O81">
            <v>9645.5771484375</v>
          </cell>
          <cell r="P81">
            <v>9364.9802255257964</v>
          </cell>
          <cell r="Q81">
            <v>9707.07421875</v>
          </cell>
        </row>
        <row r="82">
          <cell r="A82" t="str">
            <v>1C6RR7TT5HS789569</v>
          </cell>
          <cell r="B82">
            <v>2017</v>
          </cell>
          <cell r="C82" t="str">
            <v>RAM</v>
          </cell>
          <cell r="D82">
            <v>1500</v>
          </cell>
          <cell r="E82">
            <v>112084</v>
          </cell>
          <cell r="F82" t="str">
            <v>Grade 3.8</v>
          </cell>
          <cell r="G82" t="str">
            <v>Certified</v>
          </cell>
          <cell r="H82" t="str">
            <v>Yes</v>
          </cell>
          <cell r="I82" t="str">
            <v>No</v>
          </cell>
          <cell r="J82">
            <v>45678</v>
          </cell>
          <cell r="K82" t="str">
            <v>Yes</v>
          </cell>
          <cell r="L82">
            <v>43608</v>
          </cell>
          <cell r="M82">
            <v>264</v>
          </cell>
          <cell r="N82">
            <v>314</v>
          </cell>
          <cell r="O82">
            <v>11922.21484375</v>
          </cell>
          <cell r="P82">
            <v>11296.47759721</v>
          </cell>
          <cell r="Q82">
            <v>11654.806640625</v>
          </cell>
        </row>
        <row r="83">
          <cell r="A83" t="str">
            <v>1FADP3K27HL295241</v>
          </cell>
          <cell r="B83">
            <v>2017</v>
          </cell>
          <cell r="C83" t="str">
            <v>FORD</v>
          </cell>
          <cell r="D83" t="str">
            <v>FOCUS</v>
          </cell>
          <cell r="E83">
            <v>57039</v>
          </cell>
          <cell r="F83" t="str">
            <v>Grade 4.1</v>
          </cell>
          <cell r="G83" t="str">
            <v>Certified</v>
          </cell>
          <cell r="H83" t="str">
            <v>Yes</v>
          </cell>
          <cell r="I83" t="str">
            <v>No</v>
          </cell>
          <cell r="J83">
            <v>45328</v>
          </cell>
          <cell r="K83" t="str">
            <v>Yes</v>
          </cell>
          <cell r="L83">
            <v>43608</v>
          </cell>
          <cell r="M83">
            <v>264</v>
          </cell>
          <cell r="N83">
            <v>314</v>
          </cell>
          <cell r="O83">
            <v>14748.7666015625</v>
          </cell>
          <cell r="P83">
            <v>12092.23493792823</v>
          </cell>
          <cell r="Q83">
            <v>15282.5029296875</v>
          </cell>
        </row>
        <row r="84">
          <cell r="A84" t="str">
            <v>1FMCU9GD3JUB15308</v>
          </cell>
          <cell r="B84">
            <v>2018</v>
          </cell>
          <cell r="C84" t="str">
            <v>FORD</v>
          </cell>
          <cell r="D84" t="str">
            <v>ESCAPE 4X4 4C</v>
          </cell>
          <cell r="E84">
            <v>118216</v>
          </cell>
          <cell r="F84" t="str">
            <v>Grade 1.0</v>
          </cell>
          <cell r="G84" t="str">
            <v>Inoperable</v>
          </cell>
          <cell r="H84" t="str">
            <v>No</v>
          </cell>
          <cell r="I84" t="str">
            <v>Yes</v>
          </cell>
          <cell r="J84">
            <v>45638</v>
          </cell>
          <cell r="K84" t="str">
            <v>Yes</v>
          </cell>
          <cell r="L84">
            <v>43608</v>
          </cell>
          <cell r="M84">
            <v>264</v>
          </cell>
          <cell r="N84">
            <v>314</v>
          </cell>
          <cell r="O84">
            <v>3577.865478515625</v>
          </cell>
          <cell r="P84">
            <v>9293.6796064764876</v>
          </cell>
          <cell r="Q84">
            <v>3484.11572265625</v>
          </cell>
        </row>
        <row r="85">
          <cell r="A85" t="str">
            <v>1G1PE5SBXG7139235</v>
          </cell>
          <cell r="B85">
            <v>2016</v>
          </cell>
          <cell r="C85" t="str">
            <v>CHEVROLET</v>
          </cell>
          <cell r="D85" t="str">
            <v>CRUZE LIMITED</v>
          </cell>
          <cell r="E85">
            <v>81919</v>
          </cell>
          <cell r="F85" t="str">
            <v>Grade 3.3</v>
          </cell>
          <cell r="G85" t="str">
            <v>Red Light</v>
          </cell>
          <cell r="H85" t="str">
            <v>No</v>
          </cell>
          <cell r="I85" t="str">
            <v>Yes</v>
          </cell>
          <cell r="J85">
            <v>45720</v>
          </cell>
          <cell r="K85" t="str">
            <v>Yes</v>
          </cell>
          <cell r="L85">
            <v>43608</v>
          </cell>
          <cell r="M85">
            <v>264</v>
          </cell>
          <cell r="N85">
            <v>314</v>
          </cell>
          <cell r="O85">
            <v>9404.48828125</v>
          </cell>
          <cell r="P85">
            <v>9564.4451526813391</v>
          </cell>
          <cell r="Q85">
            <v>9547.591796875</v>
          </cell>
        </row>
        <row r="86">
          <cell r="A86" t="str">
            <v>1G1ZB5ST8GF196355</v>
          </cell>
          <cell r="B86">
            <v>2016</v>
          </cell>
          <cell r="C86" t="str">
            <v>CHEVROLET</v>
          </cell>
          <cell r="D86" t="str">
            <v>MALIBU</v>
          </cell>
          <cell r="E86">
            <v>132847</v>
          </cell>
          <cell r="F86" t="str">
            <v>Grade 2.9</v>
          </cell>
          <cell r="G86" t="str">
            <v>Green Light</v>
          </cell>
          <cell r="H86" t="str">
            <v>Yes</v>
          </cell>
          <cell r="I86" t="str">
            <v>No</v>
          </cell>
          <cell r="J86">
            <v>45645</v>
          </cell>
          <cell r="K86" t="str">
            <v>Yes</v>
          </cell>
          <cell r="L86">
            <v>43608</v>
          </cell>
          <cell r="M86">
            <v>264</v>
          </cell>
          <cell r="N86">
            <v>314</v>
          </cell>
          <cell r="O86">
            <v>1092.909057617188</v>
          </cell>
          <cell r="P86">
            <v>9371.2560900514218</v>
          </cell>
          <cell r="Q86">
            <v>1214.113647460938</v>
          </cell>
        </row>
        <row r="87">
          <cell r="A87" t="str">
            <v>1G1ZD5ST5KF106226</v>
          </cell>
          <cell r="B87">
            <v>2019</v>
          </cell>
          <cell r="C87" t="str">
            <v>CHEVROLET</v>
          </cell>
          <cell r="D87" t="str">
            <v>MALIBU</v>
          </cell>
          <cell r="E87">
            <v>115057</v>
          </cell>
          <cell r="F87" t="str">
            <v>Grade 2.8</v>
          </cell>
          <cell r="G87" t="str">
            <v>Green Light</v>
          </cell>
          <cell r="H87" t="str">
            <v>Yes</v>
          </cell>
          <cell r="I87" t="str">
            <v>No</v>
          </cell>
          <cell r="J87">
            <v>45608</v>
          </cell>
          <cell r="K87" t="str">
            <v>Yes</v>
          </cell>
          <cell r="L87">
            <v>43608</v>
          </cell>
          <cell r="M87">
            <v>264</v>
          </cell>
          <cell r="N87">
            <v>314</v>
          </cell>
          <cell r="O87">
            <v>2915.872802734375</v>
          </cell>
          <cell r="P87">
            <v>9498.4547027368662</v>
          </cell>
          <cell r="Q87">
            <v>2804.68310546875</v>
          </cell>
        </row>
        <row r="88">
          <cell r="A88" t="str">
            <v>1G6AA5RA6E0163191</v>
          </cell>
          <cell r="B88">
            <v>2014</v>
          </cell>
          <cell r="C88" t="str">
            <v>CADILLAC</v>
          </cell>
          <cell r="D88" t="str">
            <v>ATS</v>
          </cell>
          <cell r="E88">
            <v>92209</v>
          </cell>
          <cell r="F88" t="str">
            <v>Grade 4.3</v>
          </cell>
          <cell r="G88" t="str">
            <v>Red Light</v>
          </cell>
          <cell r="H88" t="str">
            <v>No</v>
          </cell>
          <cell r="I88" t="str">
            <v>Yes</v>
          </cell>
          <cell r="J88">
            <v>45720</v>
          </cell>
          <cell r="K88" t="str">
            <v>Yes</v>
          </cell>
          <cell r="L88">
            <v>43608</v>
          </cell>
          <cell r="M88">
            <v>264</v>
          </cell>
          <cell r="N88">
            <v>314</v>
          </cell>
          <cell r="O88">
            <v>7806.6162109375</v>
          </cell>
          <cell r="P88">
            <v>10222.8879440687</v>
          </cell>
          <cell r="Q88">
            <v>7566.962890625</v>
          </cell>
        </row>
        <row r="89">
          <cell r="A89" t="str">
            <v>1GCPDBEK7NZ508039</v>
          </cell>
          <cell r="B89">
            <v>2022</v>
          </cell>
          <cell r="C89" t="str">
            <v>CHEVROLET</v>
          </cell>
          <cell r="D89" t="str">
            <v>SILVERADO 1500</v>
          </cell>
          <cell r="E89">
            <v>33045</v>
          </cell>
          <cell r="F89" t="str">
            <v>Grade 4.7</v>
          </cell>
          <cell r="G89" t="str">
            <v>Certified</v>
          </cell>
          <cell r="H89" t="str">
            <v>Yes</v>
          </cell>
          <cell r="I89" t="str">
            <v>No</v>
          </cell>
          <cell r="J89">
            <v>45608</v>
          </cell>
          <cell r="K89" t="str">
            <v>Yes</v>
          </cell>
          <cell r="L89">
            <v>43608</v>
          </cell>
          <cell r="M89">
            <v>264</v>
          </cell>
          <cell r="N89">
            <v>314</v>
          </cell>
          <cell r="O89">
            <v>26792.41015625</v>
          </cell>
          <cell r="P89">
            <v>16275.350647184659</v>
          </cell>
          <cell r="Q89">
            <v>26994.47265625</v>
          </cell>
        </row>
        <row r="90">
          <cell r="A90" t="str">
            <v>1GKKNULS1KZ253880</v>
          </cell>
          <cell r="B90">
            <v>2019</v>
          </cell>
          <cell r="C90" t="str">
            <v>GMC</v>
          </cell>
          <cell r="D90" t="str">
            <v>ACADIA</v>
          </cell>
          <cell r="E90">
            <v>80236</v>
          </cell>
          <cell r="F90" t="str">
            <v>Grade 2.6</v>
          </cell>
          <cell r="G90" t="str">
            <v>Green/Yellow</v>
          </cell>
          <cell r="H90" t="str">
            <v>Yes</v>
          </cell>
          <cell r="I90" t="str">
            <v>No</v>
          </cell>
          <cell r="J90">
            <v>45510</v>
          </cell>
          <cell r="K90" t="str">
            <v>Yes</v>
          </cell>
          <cell r="L90">
            <v>43608</v>
          </cell>
          <cell r="M90">
            <v>264</v>
          </cell>
          <cell r="N90">
            <v>314</v>
          </cell>
          <cell r="O90">
            <v>11668.3759765625</v>
          </cell>
          <cell r="P90">
            <v>10457.12319960443</v>
          </cell>
          <cell r="Q90">
            <v>11631.1376953125</v>
          </cell>
        </row>
        <row r="91">
          <cell r="A91" t="str">
            <v>1HGCR2F32DA171236</v>
          </cell>
          <cell r="B91">
            <v>2013</v>
          </cell>
          <cell r="C91" t="str">
            <v>HONDA</v>
          </cell>
          <cell r="D91" t="str">
            <v>ACCORD</v>
          </cell>
          <cell r="E91">
            <v>270358</v>
          </cell>
          <cell r="F91" t="str">
            <v>Grade 1.1</v>
          </cell>
          <cell r="G91" t="str">
            <v>Inoperable</v>
          </cell>
          <cell r="H91" t="str">
            <v>No</v>
          </cell>
          <cell r="I91" t="str">
            <v>Yes</v>
          </cell>
          <cell r="J91">
            <v>45720</v>
          </cell>
          <cell r="K91" t="str">
            <v>Yes</v>
          </cell>
          <cell r="L91">
            <v>43608</v>
          </cell>
          <cell r="M91">
            <v>264</v>
          </cell>
          <cell r="N91">
            <v>314</v>
          </cell>
          <cell r="O91">
            <v>1324.264770507812</v>
          </cell>
          <cell r="P91">
            <v>8976.665596703413</v>
          </cell>
          <cell r="Q91">
            <v>1325.587768554688</v>
          </cell>
        </row>
        <row r="92">
          <cell r="A92" t="str">
            <v>1N4AL3AP3GC113545</v>
          </cell>
          <cell r="B92">
            <v>2016</v>
          </cell>
          <cell r="C92" t="str">
            <v>NISSAN</v>
          </cell>
          <cell r="D92" t="str">
            <v>ALTIMA</v>
          </cell>
          <cell r="E92">
            <v>97168</v>
          </cell>
          <cell r="F92" t="str">
            <v>Grade 4.5</v>
          </cell>
          <cell r="G92" t="str">
            <v>Certified</v>
          </cell>
          <cell r="H92" t="str">
            <v>Yes</v>
          </cell>
          <cell r="I92" t="str">
            <v>No</v>
          </cell>
          <cell r="J92">
            <v>45720</v>
          </cell>
          <cell r="K92" t="str">
            <v>Yes</v>
          </cell>
          <cell r="L92">
            <v>43608</v>
          </cell>
          <cell r="M92">
            <v>264</v>
          </cell>
          <cell r="N92">
            <v>314</v>
          </cell>
          <cell r="O92">
            <v>7644.55078125</v>
          </cell>
          <cell r="P92">
            <v>9787.8776047983065</v>
          </cell>
          <cell r="Q92">
            <v>7710.37646484375</v>
          </cell>
        </row>
        <row r="93">
          <cell r="A93" t="str">
            <v>2C3CDXJG3HH526186</v>
          </cell>
          <cell r="B93">
            <v>2017</v>
          </cell>
          <cell r="C93" t="str">
            <v>DODGE</v>
          </cell>
          <cell r="D93" t="str">
            <v>CHARGER AWD V6</v>
          </cell>
          <cell r="E93">
            <v>140149</v>
          </cell>
          <cell r="F93" t="str">
            <v>Grade 3.2</v>
          </cell>
          <cell r="G93" t="str">
            <v>Green/Yellow</v>
          </cell>
          <cell r="H93" t="str">
            <v>Yes</v>
          </cell>
          <cell r="I93" t="str">
            <v>No</v>
          </cell>
          <cell r="J93">
            <v>45729</v>
          </cell>
          <cell r="K93" t="str">
            <v>Yes</v>
          </cell>
          <cell r="L93">
            <v>43608</v>
          </cell>
          <cell r="M93">
            <v>264</v>
          </cell>
          <cell r="N93">
            <v>314</v>
          </cell>
          <cell r="O93">
            <v>6111.697265625</v>
          </cell>
          <cell r="P93">
            <v>9016.2490365439862</v>
          </cell>
          <cell r="Q93">
            <v>6084.98291015625</v>
          </cell>
        </row>
        <row r="94">
          <cell r="A94" t="str">
            <v>2C3CDXJG3JH222250</v>
          </cell>
          <cell r="B94">
            <v>2018</v>
          </cell>
          <cell r="C94" t="str">
            <v>DODGE</v>
          </cell>
          <cell r="D94" t="str">
            <v>CHARGER</v>
          </cell>
          <cell r="E94">
            <v>66570</v>
          </cell>
          <cell r="F94" t="str">
            <v>Grade 2.8</v>
          </cell>
          <cell r="G94" t="str">
            <v>Green Light</v>
          </cell>
          <cell r="H94" t="str">
            <v>Yes</v>
          </cell>
          <cell r="I94" t="str">
            <v>No</v>
          </cell>
          <cell r="J94">
            <v>45510</v>
          </cell>
          <cell r="K94" t="str">
            <v>Yes</v>
          </cell>
          <cell r="L94">
            <v>43608</v>
          </cell>
          <cell r="M94">
            <v>264</v>
          </cell>
          <cell r="N94">
            <v>314</v>
          </cell>
          <cell r="O94">
            <v>7439.8154296875</v>
          </cell>
          <cell r="P94">
            <v>11218.73359641991</v>
          </cell>
          <cell r="Q94">
            <v>7056.85595703125</v>
          </cell>
        </row>
        <row r="95">
          <cell r="A95" t="str">
            <v>2C4RDGCG6GR172482</v>
          </cell>
          <cell r="B95">
            <v>2016</v>
          </cell>
          <cell r="C95" t="str">
            <v>DODGE</v>
          </cell>
          <cell r="D95" t="str">
            <v>GRAND CARAVAN</v>
          </cell>
          <cell r="E95">
            <v>129116</v>
          </cell>
          <cell r="F95" t="str">
            <v>Grade 3.2</v>
          </cell>
          <cell r="G95" t="str">
            <v>Red Light</v>
          </cell>
          <cell r="H95" t="str">
            <v>No</v>
          </cell>
          <cell r="I95" t="str">
            <v>Yes</v>
          </cell>
          <cell r="J95">
            <v>45722</v>
          </cell>
          <cell r="K95" t="str">
            <v>Yes</v>
          </cell>
          <cell r="L95">
            <v>43608</v>
          </cell>
          <cell r="M95">
            <v>264</v>
          </cell>
          <cell r="N95">
            <v>314</v>
          </cell>
          <cell r="O95">
            <v>5920.92919921875</v>
          </cell>
          <cell r="P95">
            <v>9016.2490365439862</v>
          </cell>
          <cell r="Q95">
            <v>6037.7666015625</v>
          </cell>
        </row>
        <row r="96">
          <cell r="A96" t="str">
            <v>2G1FJ1EJ6A9130475</v>
          </cell>
          <cell r="B96">
            <v>2010</v>
          </cell>
          <cell r="C96" t="str">
            <v>CHEVROLET</v>
          </cell>
          <cell r="D96" t="str">
            <v>CAMARO</v>
          </cell>
          <cell r="E96">
            <v>22671</v>
          </cell>
          <cell r="F96" t="str">
            <v>Grade 4.4</v>
          </cell>
          <cell r="G96" t="str">
            <v>Certified</v>
          </cell>
          <cell r="H96" t="str">
            <v>Yes</v>
          </cell>
          <cell r="I96" t="str">
            <v>No</v>
          </cell>
          <cell r="J96">
            <v>45314</v>
          </cell>
          <cell r="K96" t="str">
            <v>Yes</v>
          </cell>
          <cell r="L96">
            <v>43608</v>
          </cell>
          <cell r="M96">
            <v>264</v>
          </cell>
          <cell r="N96">
            <v>314</v>
          </cell>
          <cell r="O96">
            <v>14528.751953125</v>
          </cell>
          <cell r="P96">
            <v>13252.595561482651</v>
          </cell>
          <cell r="Q96">
            <v>14449.3291015625</v>
          </cell>
        </row>
        <row r="97">
          <cell r="A97" t="str">
            <v>2G4GT5GX9E9283187</v>
          </cell>
          <cell r="B97">
            <v>2014</v>
          </cell>
          <cell r="C97" t="str">
            <v>BUICK</v>
          </cell>
          <cell r="D97" t="str">
            <v>REGAL</v>
          </cell>
          <cell r="E97">
            <v>123379</v>
          </cell>
          <cell r="F97" t="str">
            <v>Grade 2.0</v>
          </cell>
          <cell r="G97" t="str">
            <v>Red Light</v>
          </cell>
          <cell r="H97" t="str">
            <v>No</v>
          </cell>
          <cell r="I97" t="str">
            <v>Yes</v>
          </cell>
          <cell r="J97">
            <v>45664</v>
          </cell>
          <cell r="K97" t="str">
            <v>Yes</v>
          </cell>
          <cell r="L97">
            <v>43608</v>
          </cell>
          <cell r="M97">
            <v>264</v>
          </cell>
          <cell r="N97">
            <v>314</v>
          </cell>
          <cell r="O97">
            <v>1405.217407226562</v>
          </cell>
          <cell r="P97">
            <v>8989.9670992528627</v>
          </cell>
          <cell r="Q97">
            <v>1380.25</v>
          </cell>
        </row>
        <row r="98">
          <cell r="A98" t="str">
            <v>2GKALMEK9H6197416</v>
          </cell>
          <cell r="B98">
            <v>2017</v>
          </cell>
          <cell r="C98" t="str">
            <v>GMC</v>
          </cell>
          <cell r="D98" t="str">
            <v>TERRAIN</v>
          </cell>
          <cell r="E98">
            <v>87729</v>
          </cell>
          <cell r="F98" t="str">
            <v>Grade 2.4</v>
          </cell>
          <cell r="G98" t="str">
            <v>Red Light</v>
          </cell>
          <cell r="H98" t="str">
            <v>No</v>
          </cell>
          <cell r="I98" t="str">
            <v>Yes</v>
          </cell>
          <cell r="J98">
            <v>45566</v>
          </cell>
          <cell r="K98" t="str">
            <v>Yes</v>
          </cell>
          <cell r="L98">
            <v>43608</v>
          </cell>
          <cell r="M98">
            <v>264</v>
          </cell>
          <cell r="N98">
            <v>314</v>
          </cell>
          <cell r="O98">
            <v>6083.19140625</v>
          </cell>
          <cell r="P98">
            <v>10209.340371745009</v>
          </cell>
          <cell r="Q98">
            <v>5911.77099609375</v>
          </cell>
        </row>
        <row r="99">
          <cell r="A99" t="str">
            <v>2GNALBEK0G1116158</v>
          </cell>
          <cell r="B99">
            <v>2016</v>
          </cell>
          <cell r="C99" t="str">
            <v>CHEVROLET</v>
          </cell>
          <cell r="D99" t="str">
            <v>EQUINOX</v>
          </cell>
          <cell r="E99">
            <v>86386</v>
          </cell>
          <cell r="F99" t="str">
            <v>Grade 2.1</v>
          </cell>
          <cell r="G99" t="str">
            <v>Inoperable</v>
          </cell>
          <cell r="H99" t="str">
            <v>No</v>
          </cell>
          <cell r="I99" t="str">
            <v>Yes</v>
          </cell>
          <cell r="J99">
            <v>45314</v>
          </cell>
          <cell r="K99" t="str">
            <v>Yes</v>
          </cell>
          <cell r="L99">
            <v>43608</v>
          </cell>
          <cell r="M99">
            <v>264</v>
          </cell>
          <cell r="N99">
            <v>314</v>
          </cell>
          <cell r="O99">
            <v>4112.31591796875</v>
          </cell>
          <cell r="P99">
            <v>9450.8748842148616</v>
          </cell>
          <cell r="Q99">
            <v>4161.6396484375</v>
          </cell>
        </row>
        <row r="100">
          <cell r="A100" t="str">
            <v>2GNAXJEV6J6227378</v>
          </cell>
          <cell r="B100">
            <v>2018</v>
          </cell>
          <cell r="C100" t="str">
            <v>CHEVROLET</v>
          </cell>
          <cell r="D100" t="str">
            <v>EQUINOX FWD 4C</v>
          </cell>
          <cell r="E100">
            <v>103684</v>
          </cell>
          <cell r="F100" t="str">
            <v>Grade 1.3</v>
          </cell>
          <cell r="G100" t="str">
            <v>Red Light</v>
          </cell>
          <cell r="H100" t="str">
            <v>No</v>
          </cell>
          <cell r="I100" t="str">
            <v>Yes</v>
          </cell>
          <cell r="J100">
            <v>45463</v>
          </cell>
          <cell r="K100" t="str">
            <v>Yes</v>
          </cell>
          <cell r="L100">
            <v>43608</v>
          </cell>
          <cell r="M100">
            <v>264</v>
          </cell>
          <cell r="N100">
            <v>314</v>
          </cell>
          <cell r="O100">
            <v>3962.38037109375</v>
          </cell>
          <cell r="P100">
            <v>9442.7790999893696</v>
          </cell>
          <cell r="Q100">
            <v>4058.1806640625</v>
          </cell>
        </row>
        <row r="101">
          <cell r="A101" t="str">
            <v>2GNFLBE32F6371796</v>
          </cell>
          <cell r="B101">
            <v>2015</v>
          </cell>
          <cell r="C101" t="str">
            <v>CHEVROLET</v>
          </cell>
          <cell r="D101" t="str">
            <v>EQUINOX FWD V6</v>
          </cell>
          <cell r="E101">
            <v>136993</v>
          </cell>
          <cell r="F101" t="str">
            <v>Grade 2.1</v>
          </cell>
          <cell r="G101" t="str">
            <v>Red Light</v>
          </cell>
          <cell r="H101" t="str">
            <v>No</v>
          </cell>
          <cell r="I101" t="str">
            <v>Yes</v>
          </cell>
          <cell r="J101">
            <v>45400</v>
          </cell>
          <cell r="K101" t="str">
            <v>Yes</v>
          </cell>
          <cell r="L101">
            <v>43608</v>
          </cell>
          <cell r="M101">
            <v>264</v>
          </cell>
          <cell r="N101">
            <v>314</v>
          </cell>
          <cell r="O101">
            <v>2833.339111328125</v>
          </cell>
          <cell r="P101">
            <v>9318.7034386576215</v>
          </cell>
          <cell r="Q101">
            <v>2708.66552734375</v>
          </cell>
        </row>
        <row r="102">
          <cell r="A102" t="str">
            <v>2GNFLFEK3G6188942</v>
          </cell>
          <cell r="B102">
            <v>2016</v>
          </cell>
          <cell r="C102" t="str">
            <v>CHEVROLET</v>
          </cell>
          <cell r="D102" t="str">
            <v>EQUINOX AWD 4C</v>
          </cell>
          <cell r="E102">
            <v>106909</v>
          </cell>
          <cell r="F102" t="str">
            <v>Grade 4.0</v>
          </cell>
          <cell r="G102" t="str">
            <v>Certified</v>
          </cell>
          <cell r="H102" t="str">
            <v>Yes</v>
          </cell>
          <cell r="I102" t="str">
            <v>No</v>
          </cell>
          <cell r="J102">
            <v>45463</v>
          </cell>
          <cell r="K102" t="str">
            <v>Yes</v>
          </cell>
          <cell r="L102">
            <v>43608</v>
          </cell>
          <cell r="M102">
            <v>264</v>
          </cell>
          <cell r="N102">
            <v>314</v>
          </cell>
          <cell r="O102">
            <v>8671.310546875</v>
          </cell>
          <cell r="P102">
            <v>10249.45612625696</v>
          </cell>
          <cell r="Q102">
            <v>8548.2880859375</v>
          </cell>
        </row>
        <row r="103">
          <cell r="A103" t="str">
            <v>2GNFLHE3XE6195842</v>
          </cell>
          <cell r="B103">
            <v>2014</v>
          </cell>
          <cell r="C103" t="str">
            <v>CHEVROLET</v>
          </cell>
          <cell r="D103" t="str">
            <v>EQUINOX AWD V6</v>
          </cell>
          <cell r="E103">
            <v>109455</v>
          </cell>
          <cell r="F103" t="str">
            <v>Grade 2.2</v>
          </cell>
          <cell r="G103" t="str">
            <v>Green Light</v>
          </cell>
          <cell r="H103" t="str">
            <v>Yes</v>
          </cell>
          <cell r="I103" t="str">
            <v>No</v>
          </cell>
          <cell r="J103">
            <v>45701</v>
          </cell>
          <cell r="K103" t="str">
            <v>Yes</v>
          </cell>
          <cell r="L103">
            <v>43608</v>
          </cell>
          <cell r="M103">
            <v>264</v>
          </cell>
          <cell r="N103">
            <v>314</v>
          </cell>
          <cell r="O103">
            <v>2306.910888671875</v>
          </cell>
          <cell r="P103">
            <v>9330.2606788747144</v>
          </cell>
          <cell r="Q103">
            <v>2215.851806640625</v>
          </cell>
        </row>
        <row r="104">
          <cell r="A104" t="str">
            <v>3C3CFFFH2ET240077</v>
          </cell>
          <cell r="B104">
            <v>2014</v>
          </cell>
          <cell r="C104" t="str">
            <v>FIAT</v>
          </cell>
          <cell r="D104">
            <v>500</v>
          </cell>
          <cell r="E104">
            <v>51861</v>
          </cell>
          <cell r="F104" t="str">
            <v>Grade 2.7</v>
          </cell>
          <cell r="G104" t="str">
            <v>Red Light</v>
          </cell>
          <cell r="H104" t="str">
            <v>No</v>
          </cell>
          <cell r="I104" t="str">
            <v>Yes</v>
          </cell>
          <cell r="J104">
            <v>45538</v>
          </cell>
          <cell r="K104" t="str">
            <v>Yes</v>
          </cell>
          <cell r="L104">
            <v>43608</v>
          </cell>
          <cell r="M104">
            <v>264</v>
          </cell>
          <cell r="N104">
            <v>314</v>
          </cell>
          <cell r="O104">
            <v>5317.197265625</v>
          </cell>
          <cell r="P104">
            <v>11399.283922563791</v>
          </cell>
          <cell r="Q104">
            <v>5024.71630859375</v>
          </cell>
        </row>
        <row r="105">
          <cell r="A105" t="str">
            <v>3FA6P0HD0FR191348</v>
          </cell>
          <cell r="B105">
            <v>2015</v>
          </cell>
          <cell r="C105" t="str">
            <v>FORD</v>
          </cell>
          <cell r="D105" t="str">
            <v>FUSION FWD 4C</v>
          </cell>
          <cell r="E105">
            <v>51610</v>
          </cell>
          <cell r="F105" t="str">
            <v>Grade 3.5</v>
          </cell>
          <cell r="G105" t="str">
            <v>Green Light</v>
          </cell>
          <cell r="H105" t="str">
            <v>Yes</v>
          </cell>
          <cell r="I105" t="str">
            <v>No</v>
          </cell>
          <cell r="J105">
            <v>45561</v>
          </cell>
          <cell r="K105" t="str">
            <v>Yes</v>
          </cell>
          <cell r="L105">
            <v>43608</v>
          </cell>
          <cell r="M105">
            <v>264</v>
          </cell>
          <cell r="N105">
            <v>314</v>
          </cell>
          <cell r="O105">
            <v>12035.0869140625</v>
          </cell>
          <cell r="P105">
            <v>11606.28149627506</v>
          </cell>
          <cell r="Q105">
            <v>11977.8447265625</v>
          </cell>
        </row>
        <row r="106">
          <cell r="A106" t="str">
            <v>3FA6P0T94GR403818</v>
          </cell>
          <cell r="B106">
            <v>2016</v>
          </cell>
          <cell r="C106" t="str">
            <v>FORD</v>
          </cell>
          <cell r="D106" t="str">
            <v>FUSION AWD 4C</v>
          </cell>
          <cell r="E106">
            <v>73291</v>
          </cell>
          <cell r="F106" t="str">
            <v>Grade 2.5</v>
          </cell>
          <cell r="G106" t="str">
            <v>Green Light</v>
          </cell>
          <cell r="H106" t="str">
            <v>Yes</v>
          </cell>
          <cell r="I106" t="str">
            <v>No</v>
          </cell>
          <cell r="J106">
            <v>45701</v>
          </cell>
          <cell r="K106" t="str">
            <v>Yes</v>
          </cell>
          <cell r="L106">
            <v>43608</v>
          </cell>
          <cell r="M106">
            <v>264</v>
          </cell>
          <cell r="N106">
            <v>314</v>
          </cell>
          <cell r="O106">
            <v>5303.83837890625</v>
          </cell>
          <cell r="P106">
            <v>9518.1824004405298</v>
          </cell>
          <cell r="Q106">
            <v>5398.4658203125</v>
          </cell>
        </row>
        <row r="107">
          <cell r="A107" t="str">
            <v>3GKALPEV2ML308695</v>
          </cell>
          <cell r="B107">
            <v>2021</v>
          </cell>
          <cell r="C107" t="str">
            <v>GMC</v>
          </cell>
          <cell r="D107" t="str">
            <v>TERRAIN</v>
          </cell>
          <cell r="E107">
            <v>89762</v>
          </cell>
          <cell r="F107" t="str">
            <v>Grade 3.0</v>
          </cell>
          <cell r="G107" t="str">
            <v>Green Light</v>
          </cell>
          <cell r="H107" t="str">
            <v>Yes</v>
          </cell>
          <cell r="I107" t="str">
            <v>No</v>
          </cell>
          <cell r="J107">
            <v>45398</v>
          </cell>
          <cell r="K107" t="str">
            <v>Yes</v>
          </cell>
          <cell r="L107">
            <v>43608</v>
          </cell>
          <cell r="M107">
            <v>264</v>
          </cell>
          <cell r="N107">
            <v>314</v>
          </cell>
          <cell r="O107">
            <v>24402.33984375</v>
          </cell>
          <cell r="P107">
            <v>12432.32117619834</v>
          </cell>
          <cell r="Q107">
            <v>24733.83203125</v>
          </cell>
        </row>
        <row r="108">
          <cell r="A108" t="str">
            <v>3GNAXTEV4MS111386</v>
          </cell>
          <cell r="B108">
            <v>2021</v>
          </cell>
          <cell r="C108" t="str">
            <v>CHEVROLET</v>
          </cell>
          <cell r="D108" t="str">
            <v>EQUINOX AWD</v>
          </cell>
          <cell r="E108">
            <v>125529</v>
          </cell>
          <cell r="F108" t="str">
            <v>Grade 2.4</v>
          </cell>
          <cell r="G108" t="str">
            <v>Green/Yellow</v>
          </cell>
          <cell r="H108" t="str">
            <v>Yes</v>
          </cell>
          <cell r="I108" t="str">
            <v>No</v>
          </cell>
          <cell r="J108">
            <v>45680</v>
          </cell>
          <cell r="K108" t="str">
            <v>Yes</v>
          </cell>
          <cell r="L108">
            <v>43608</v>
          </cell>
          <cell r="M108">
            <v>264</v>
          </cell>
          <cell r="N108">
            <v>314</v>
          </cell>
          <cell r="O108">
            <v>7318.56787109375</v>
          </cell>
          <cell r="P108">
            <v>11882.34939303198</v>
          </cell>
          <cell r="Q108">
            <v>6824.8876953125</v>
          </cell>
        </row>
        <row r="109">
          <cell r="A109" t="str">
            <v>3GNCJMSB9GL205000</v>
          </cell>
          <cell r="B109">
            <v>2016</v>
          </cell>
          <cell r="C109" t="str">
            <v>CHEVROLET</v>
          </cell>
          <cell r="D109" t="str">
            <v>TRAX FWD</v>
          </cell>
          <cell r="E109">
            <v>111697</v>
          </cell>
          <cell r="F109" t="str">
            <v>Grade 2.6</v>
          </cell>
          <cell r="G109" t="str">
            <v>Red Light</v>
          </cell>
          <cell r="H109" t="str">
            <v>No</v>
          </cell>
          <cell r="I109" t="str">
            <v>Yes</v>
          </cell>
          <cell r="J109">
            <v>45561</v>
          </cell>
          <cell r="K109" t="str">
            <v>Yes</v>
          </cell>
          <cell r="L109">
            <v>43608</v>
          </cell>
          <cell r="M109">
            <v>264</v>
          </cell>
          <cell r="N109">
            <v>314</v>
          </cell>
          <cell r="O109">
            <v>3224.975830078125</v>
          </cell>
          <cell r="P109">
            <v>9451.0969287322132</v>
          </cell>
          <cell r="Q109">
            <v>3212.27490234375</v>
          </cell>
        </row>
        <row r="110">
          <cell r="A110" t="str">
            <v>3LN6L5C92HR653798</v>
          </cell>
          <cell r="B110">
            <v>2017</v>
          </cell>
          <cell r="C110" t="str">
            <v>LINCOLN</v>
          </cell>
          <cell r="D110" t="str">
            <v>MKZ</v>
          </cell>
          <cell r="E110">
            <v>112344</v>
          </cell>
          <cell r="F110" t="str">
            <v>Grade 1.4</v>
          </cell>
          <cell r="G110" t="str">
            <v>Red Light</v>
          </cell>
          <cell r="H110" t="str">
            <v>No</v>
          </cell>
          <cell r="I110" t="str">
            <v>Yes</v>
          </cell>
          <cell r="J110">
            <v>45426</v>
          </cell>
          <cell r="K110" t="str">
            <v>Yes</v>
          </cell>
          <cell r="L110">
            <v>43608</v>
          </cell>
          <cell r="M110">
            <v>264</v>
          </cell>
          <cell r="N110">
            <v>314</v>
          </cell>
          <cell r="O110">
            <v>3703.312255859375</v>
          </cell>
          <cell r="P110">
            <v>8821.183694629186</v>
          </cell>
          <cell r="Q110">
            <v>3609.90283203125</v>
          </cell>
        </row>
        <row r="111">
          <cell r="A111" t="str">
            <v>3LNHL2JC4AR754059</v>
          </cell>
          <cell r="B111">
            <v>2010</v>
          </cell>
          <cell r="C111" t="str">
            <v>LINCOLN</v>
          </cell>
          <cell r="D111" t="str">
            <v>MKZ</v>
          </cell>
          <cell r="E111">
            <v>100775</v>
          </cell>
          <cell r="F111" t="str">
            <v>Grade 2.6</v>
          </cell>
          <cell r="G111" t="str">
            <v>Green/Yellow</v>
          </cell>
          <cell r="H111" t="str">
            <v>Yes</v>
          </cell>
          <cell r="I111" t="str">
            <v>No</v>
          </cell>
          <cell r="J111">
            <v>45398</v>
          </cell>
          <cell r="K111" t="str">
            <v>Yes</v>
          </cell>
          <cell r="L111">
            <v>43608</v>
          </cell>
          <cell r="M111">
            <v>264</v>
          </cell>
          <cell r="N111">
            <v>314</v>
          </cell>
          <cell r="O111">
            <v>2810.704833984375</v>
          </cell>
          <cell r="P111">
            <v>8847.5065706287842</v>
          </cell>
          <cell r="Q111">
            <v>2601.28369140625</v>
          </cell>
        </row>
        <row r="112">
          <cell r="A112" t="str">
            <v>3N1AB7APXGL678984</v>
          </cell>
          <cell r="B112">
            <v>2016</v>
          </cell>
          <cell r="C112" t="str">
            <v>NISSAN</v>
          </cell>
          <cell r="D112" t="str">
            <v>SENTRA</v>
          </cell>
          <cell r="E112">
            <v>91904</v>
          </cell>
          <cell r="F112" t="str">
            <v>Grade 3.3</v>
          </cell>
          <cell r="G112" t="str">
            <v>Red Light</v>
          </cell>
          <cell r="H112" t="str">
            <v>No</v>
          </cell>
          <cell r="I112" t="str">
            <v>Yes</v>
          </cell>
          <cell r="J112">
            <v>45463</v>
          </cell>
          <cell r="K112" t="str">
            <v>Yes</v>
          </cell>
          <cell r="L112">
            <v>43608</v>
          </cell>
          <cell r="M112">
            <v>264</v>
          </cell>
          <cell r="N112">
            <v>314</v>
          </cell>
          <cell r="O112">
            <v>6953.572265625</v>
          </cell>
          <cell r="P112">
            <v>8972.8239067478917</v>
          </cell>
          <cell r="Q112">
            <v>6976.599609375</v>
          </cell>
        </row>
        <row r="113">
          <cell r="A113" t="str">
            <v>3VWC57BU5LM104022</v>
          </cell>
          <cell r="B113">
            <v>2020</v>
          </cell>
          <cell r="C113" t="str">
            <v>VOLKSWAGEN</v>
          </cell>
          <cell r="D113" t="str">
            <v>JETTA</v>
          </cell>
          <cell r="E113">
            <v>68335</v>
          </cell>
          <cell r="F113" t="str">
            <v>Grade 3.2</v>
          </cell>
          <cell r="G113" t="str">
            <v>Red Light</v>
          </cell>
          <cell r="H113" t="str">
            <v>No</v>
          </cell>
          <cell r="I113" t="str">
            <v>Yes</v>
          </cell>
          <cell r="J113">
            <v>45687</v>
          </cell>
          <cell r="K113" t="str">
            <v>Yes</v>
          </cell>
          <cell r="L113">
            <v>43608</v>
          </cell>
          <cell r="M113">
            <v>264</v>
          </cell>
          <cell r="N113">
            <v>314</v>
          </cell>
          <cell r="O113">
            <v>11809.9033203125</v>
          </cell>
          <cell r="P113">
            <v>10978.03166254544</v>
          </cell>
          <cell r="Q113">
            <v>11724.0654296875</v>
          </cell>
        </row>
        <row r="114">
          <cell r="A114" t="str">
            <v>4JGBF7BEXBA675632</v>
          </cell>
          <cell r="B114">
            <v>2011</v>
          </cell>
          <cell r="C114" t="str">
            <v>MERCEDES-BENZ</v>
          </cell>
          <cell r="D114" t="str">
            <v>GL 450</v>
          </cell>
          <cell r="E114">
            <v>99999</v>
          </cell>
          <cell r="F114" t="str">
            <v>Grade 0: Salvage</v>
          </cell>
          <cell r="G114" t="str">
            <v>Inoperable</v>
          </cell>
          <cell r="H114" t="str">
            <v>No</v>
          </cell>
          <cell r="I114" t="str">
            <v>Yes</v>
          </cell>
          <cell r="J114">
            <v>45440</v>
          </cell>
          <cell r="K114" t="str">
            <v>Yes</v>
          </cell>
          <cell r="L114">
            <v>43608</v>
          </cell>
          <cell r="M114">
            <v>264</v>
          </cell>
          <cell r="N114">
            <v>314</v>
          </cell>
          <cell r="O114">
            <v>2757.0234375</v>
          </cell>
          <cell r="P114">
            <v>9765.3635664647591</v>
          </cell>
          <cell r="Q114">
            <v>2713.12353515625</v>
          </cell>
        </row>
        <row r="115">
          <cell r="A115" t="str">
            <v>4T1B11HK2KU239719</v>
          </cell>
          <cell r="B115">
            <v>2019</v>
          </cell>
          <cell r="C115" t="str">
            <v>TOYOTA</v>
          </cell>
          <cell r="D115" t="str">
            <v>CAMRY 4C</v>
          </cell>
          <cell r="E115">
            <v>120246</v>
          </cell>
          <cell r="F115" t="str">
            <v>Grade 2.4</v>
          </cell>
          <cell r="G115" t="str">
            <v>Green Light</v>
          </cell>
          <cell r="H115" t="str">
            <v>Yes</v>
          </cell>
          <cell r="I115" t="str">
            <v>No</v>
          </cell>
          <cell r="J115">
            <v>45666</v>
          </cell>
          <cell r="K115" t="str">
            <v>Yes</v>
          </cell>
          <cell r="L115">
            <v>43608</v>
          </cell>
          <cell r="M115">
            <v>264</v>
          </cell>
          <cell r="N115">
            <v>314</v>
          </cell>
          <cell r="O115">
            <v>6335.6640625</v>
          </cell>
          <cell r="P115">
            <v>9464.7292444037521</v>
          </cell>
          <cell r="Q115">
            <v>6296.287109375</v>
          </cell>
        </row>
        <row r="116">
          <cell r="A116" t="str">
            <v>5GAKRAKD6HJ333525</v>
          </cell>
          <cell r="B116">
            <v>2017</v>
          </cell>
          <cell r="C116" t="str">
            <v>BUICK</v>
          </cell>
          <cell r="D116" t="str">
            <v>ENCLAVE</v>
          </cell>
          <cell r="E116">
            <v>125258</v>
          </cell>
          <cell r="F116" t="str">
            <v>Grade 2.6</v>
          </cell>
          <cell r="G116" t="str">
            <v>Green/Yellow</v>
          </cell>
          <cell r="H116" t="str">
            <v>Yes</v>
          </cell>
          <cell r="I116" t="str">
            <v>No</v>
          </cell>
          <cell r="J116">
            <v>45440</v>
          </cell>
          <cell r="K116" t="str">
            <v>Yes</v>
          </cell>
          <cell r="L116">
            <v>43608</v>
          </cell>
          <cell r="M116">
            <v>264</v>
          </cell>
          <cell r="N116">
            <v>314</v>
          </cell>
          <cell r="O116">
            <v>3232.01708984375</v>
          </cell>
          <cell r="P116">
            <v>9041.5914255161024</v>
          </cell>
          <cell r="Q116">
            <v>3104.359375</v>
          </cell>
        </row>
        <row r="117">
          <cell r="A117" t="str">
            <v>5N1DR2MN7JC624253</v>
          </cell>
          <cell r="B117">
            <v>2018</v>
          </cell>
          <cell r="C117" t="str">
            <v>NISSAN</v>
          </cell>
          <cell r="D117" t="str">
            <v>PATHFINDER</v>
          </cell>
          <cell r="E117">
            <v>92457</v>
          </cell>
          <cell r="F117" t="str">
            <v>Grade 2.6</v>
          </cell>
          <cell r="G117" t="str">
            <v>Green/Yellow</v>
          </cell>
          <cell r="H117" t="str">
            <v>Yes</v>
          </cell>
          <cell r="I117" t="str">
            <v>No</v>
          </cell>
          <cell r="J117">
            <v>45440</v>
          </cell>
          <cell r="K117" t="str">
            <v>Yes</v>
          </cell>
          <cell r="L117">
            <v>43608</v>
          </cell>
          <cell r="M117">
            <v>264</v>
          </cell>
          <cell r="N117">
            <v>314</v>
          </cell>
          <cell r="O117">
            <v>4886.14404296875</v>
          </cell>
          <cell r="P117">
            <v>9263.6349825124635</v>
          </cell>
          <cell r="Q117">
            <v>4802.310546875</v>
          </cell>
        </row>
        <row r="118">
          <cell r="A118" t="str">
            <v>5NPD84LF4LH610430</v>
          </cell>
          <cell r="B118">
            <v>2020</v>
          </cell>
          <cell r="C118" t="str">
            <v>HYUNDAI</v>
          </cell>
          <cell r="D118" t="str">
            <v>ELANTRA</v>
          </cell>
          <cell r="E118">
            <v>48374</v>
          </cell>
          <cell r="F118" t="str">
            <v>Grade 4.5</v>
          </cell>
          <cell r="G118" t="str">
            <v>Certified</v>
          </cell>
          <cell r="H118" t="str">
            <v>Yes</v>
          </cell>
          <cell r="I118" t="str">
            <v>No</v>
          </cell>
          <cell r="J118">
            <v>45526</v>
          </cell>
          <cell r="K118" t="str">
            <v>Yes</v>
          </cell>
          <cell r="L118">
            <v>43608</v>
          </cell>
          <cell r="M118">
            <v>264</v>
          </cell>
          <cell r="N118">
            <v>314</v>
          </cell>
          <cell r="O118">
            <v>12921.2802734375</v>
          </cell>
          <cell r="P118">
            <v>13089.37151426243</v>
          </cell>
          <cell r="Q118">
            <v>13030.419921875</v>
          </cell>
        </row>
        <row r="119">
          <cell r="A119" t="str">
            <v>5NPDH4AE5GH652962</v>
          </cell>
          <cell r="B119">
            <v>2016</v>
          </cell>
          <cell r="C119" t="str">
            <v>HYUNDAI</v>
          </cell>
          <cell r="D119" t="str">
            <v>ELANTRA</v>
          </cell>
          <cell r="E119">
            <v>138690</v>
          </cell>
          <cell r="F119" t="str">
            <v>Grade 2.5</v>
          </cell>
          <cell r="G119" t="str">
            <v>Green Light</v>
          </cell>
          <cell r="H119" t="str">
            <v>Yes</v>
          </cell>
          <cell r="I119" t="str">
            <v>No</v>
          </cell>
          <cell r="J119">
            <v>45608</v>
          </cell>
          <cell r="K119" t="str">
            <v>Yes</v>
          </cell>
          <cell r="L119">
            <v>43608</v>
          </cell>
          <cell r="M119">
            <v>264</v>
          </cell>
          <cell r="N119">
            <v>314</v>
          </cell>
          <cell r="O119">
            <v>1242.38427734375</v>
          </cell>
          <cell r="P119">
            <v>8700.89387422443</v>
          </cell>
          <cell r="Q119">
            <v>1330.663208007812</v>
          </cell>
        </row>
        <row r="120">
          <cell r="A120" t="str">
            <v>5XXGT4L39LG385905</v>
          </cell>
          <cell r="B120">
            <v>2020</v>
          </cell>
          <cell r="C120" t="str">
            <v>KIA</v>
          </cell>
          <cell r="D120" t="str">
            <v>OPTIMA</v>
          </cell>
          <cell r="E120">
            <v>99654</v>
          </cell>
          <cell r="F120" t="str">
            <v>Grade 3.6</v>
          </cell>
          <cell r="G120" t="str">
            <v>Green Light</v>
          </cell>
          <cell r="H120" t="str">
            <v>Yes</v>
          </cell>
          <cell r="I120" t="str">
            <v>No</v>
          </cell>
          <cell r="J120">
            <v>45701</v>
          </cell>
          <cell r="K120" t="str">
            <v>Yes</v>
          </cell>
          <cell r="L120">
            <v>43608</v>
          </cell>
          <cell r="M120">
            <v>264</v>
          </cell>
          <cell r="N120">
            <v>314</v>
          </cell>
          <cell r="O120">
            <v>7214.4306640625</v>
          </cell>
          <cell r="P120">
            <v>11149.08764072041</v>
          </cell>
          <cell r="Q120">
            <v>6883.49609375</v>
          </cell>
        </row>
        <row r="121">
          <cell r="A121" t="str">
            <v>5XYKUDA66DG318616</v>
          </cell>
          <cell r="B121">
            <v>2013</v>
          </cell>
          <cell r="C121" t="str">
            <v>KIA</v>
          </cell>
          <cell r="D121" t="str">
            <v>SORENTO AWD 4C</v>
          </cell>
          <cell r="E121">
            <v>155907</v>
          </cell>
          <cell r="F121" t="str">
            <v>Grade 3.9</v>
          </cell>
          <cell r="G121" t="str">
            <v>Red Light</v>
          </cell>
          <cell r="H121" t="str">
            <v>No</v>
          </cell>
          <cell r="I121" t="str">
            <v>Yes</v>
          </cell>
          <cell r="J121">
            <v>45561</v>
          </cell>
          <cell r="K121" t="str">
            <v>Yes</v>
          </cell>
          <cell r="L121">
            <v>43608</v>
          </cell>
          <cell r="M121">
            <v>264</v>
          </cell>
          <cell r="N121">
            <v>314</v>
          </cell>
          <cell r="O121">
            <v>2254.66943359375</v>
          </cell>
          <cell r="P121">
            <v>9548.2589275789651</v>
          </cell>
          <cell r="Q121">
            <v>2255.45654296875</v>
          </cell>
        </row>
        <row r="122">
          <cell r="A122" t="str">
            <v>5YFBURHEXGP539744</v>
          </cell>
          <cell r="B122">
            <v>2016</v>
          </cell>
          <cell r="C122" t="str">
            <v>TOYOTA</v>
          </cell>
          <cell r="D122" t="str">
            <v>COROLLA</v>
          </cell>
          <cell r="E122">
            <v>62906</v>
          </cell>
          <cell r="F122" t="str">
            <v>Grade 4.0</v>
          </cell>
          <cell r="G122" t="str">
            <v>Certified</v>
          </cell>
          <cell r="H122" t="str">
            <v>Yes</v>
          </cell>
          <cell r="I122" t="str">
            <v>No</v>
          </cell>
          <cell r="J122">
            <v>45622</v>
          </cell>
          <cell r="K122" t="str">
            <v>Yes</v>
          </cell>
          <cell r="L122">
            <v>43608</v>
          </cell>
          <cell r="M122">
            <v>264</v>
          </cell>
          <cell r="N122">
            <v>314</v>
          </cell>
          <cell r="O122">
            <v>13994.6572265625</v>
          </cell>
          <cell r="P122">
            <v>12295.321743378059</v>
          </cell>
          <cell r="Q122">
            <v>13914.982421875</v>
          </cell>
        </row>
        <row r="123">
          <cell r="A123" t="str">
            <v>JTMKF4DV6C5044158</v>
          </cell>
          <cell r="B123">
            <v>2012</v>
          </cell>
          <cell r="C123" t="str">
            <v>TOYOTA</v>
          </cell>
          <cell r="D123" t="str">
            <v>RAV4</v>
          </cell>
          <cell r="E123">
            <v>138350</v>
          </cell>
          <cell r="F123" t="str">
            <v>Grade 3.0</v>
          </cell>
          <cell r="G123" t="str">
            <v>Green Light</v>
          </cell>
          <cell r="H123" t="str">
            <v>Yes</v>
          </cell>
          <cell r="I123" t="str">
            <v>No</v>
          </cell>
          <cell r="J123">
            <v>45496</v>
          </cell>
          <cell r="K123" t="str">
            <v>Yes</v>
          </cell>
          <cell r="L123">
            <v>43608</v>
          </cell>
          <cell r="M123">
            <v>264</v>
          </cell>
          <cell r="N123">
            <v>314</v>
          </cell>
          <cell r="O123">
            <v>5366.6806640625</v>
          </cell>
          <cell r="P123">
            <v>9440.8949053498309</v>
          </cell>
          <cell r="Q123">
            <v>5416.919921875</v>
          </cell>
        </row>
        <row r="124">
          <cell r="A124" t="str">
            <v>KL4CJASB3HB198923</v>
          </cell>
          <cell r="B124">
            <v>2017</v>
          </cell>
          <cell r="C124" t="str">
            <v>BUICK</v>
          </cell>
          <cell r="D124" t="str">
            <v>ENCORE</v>
          </cell>
          <cell r="E124">
            <v>83391</v>
          </cell>
          <cell r="F124" t="str">
            <v>Grade 3.2</v>
          </cell>
          <cell r="G124" t="str">
            <v>Green Light</v>
          </cell>
          <cell r="H124" t="str">
            <v>Yes</v>
          </cell>
          <cell r="I124" t="str">
            <v>No</v>
          </cell>
          <cell r="J124">
            <v>45720</v>
          </cell>
          <cell r="K124" t="str">
            <v>Yes</v>
          </cell>
          <cell r="L124">
            <v>43608</v>
          </cell>
          <cell r="M124">
            <v>264</v>
          </cell>
          <cell r="N124">
            <v>314</v>
          </cell>
          <cell r="O124">
            <v>8545.4951171875</v>
          </cell>
          <cell r="P124">
            <v>9323.5376117087926</v>
          </cell>
          <cell r="Q124">
            <v>8648.2099609375</v>
          </cell>
        </row>
        <row r="125">
          <cell r="A125" t="str">
            <v>KL79MNSL9MB025955</v>
          </cell>
          <cell r="B125">
            <v>2021</v>
          </cell>
          <cell r="C125" t="str">
            <v>CHEVROLET</v>
          </cell>
          <cell r="D125" t="str">
            <v>TRAILBLAZER</v>
          </cell>
          <cell r="E125">
            <v>55343</v>
          </cell>
          <cell r="F125" t="str">
            <v>Grade 2.7</v>
          </cell>
          <cell r="G125" t="str">
            <v>Green Light</v>
          </cell>
          <cell r="H125" t="str">
            <v>Yes</v>
          </cell>
          <cell r="I125" t="str">
            <v>No</v>
          </cell>
          <cell r="J125">
            <v>45622</v>
          </cell>
          <cell r="K125" t="str">
            <v>Yes</v>
          </cell>
          <cell r="L125">
            <v>43608</v>
          </cell>
          <cell r="M125">
            <v>264</v>
          </cell>
          <cell r="N125">
            <v>314</v>
          </cell>
          <cell r="O125">
            <v>11290.99609375</v>
          </cell>
          <cell r="P125">
            <v>14145.75226513688</v>
          </cell>
          <cell r="Q125">
            <v>11476.3505859375</v>
          </cell>
        </row>
        <row r="126">
          <cell r="A126" t="str">
            <v>KM8SM4HF9GU156324</v>
          </cell>
          <cell r="B126">
            <v>2016</v>
          </cell>
          <cell r="C126" t="str">
            <v>HYUNDAI</v>
          </cell>
          <cell r="D126" t="str">
            <v>SANTA FE FWD</v>
          </cell>
          <cell r="E126">
            <v>85615</v>
          </cell>
          <cell r="F126" t="str">
            <v>Grade 2.9</v>
          </cell>
          <cell r="G126" t="str">
            <v>Green/Yellow</v>
          </cell>
          <cell r="H126" t="str">
            <v>Yes</v>
          </cell>
          <cell r="I126" t="str">
            <v>No</v>
          </cell>
          <cell r="J126">
            <v>45589</v>
          </cell>
          <cell r="K126" t="str">
            <v>Yes</v>
          </cell>
          <cell r="L126">
            <v>43608</v>
          </cell>
          <cell r="M126">
            <v>264</v>
          </cell>
          <cell r="N126">
            <v>314</v>
          </cell>
          <cell r="O126">
            <v>3380.359619140625</v>
          </cell>
          <cell r="P126">
            <v>9010.2642736506132</v>
          </cell>
          <cell r="Q126">
            <v>3291.81689453125</v>
          </cell>
        </row>
        <row r="127">
          <cell r="A127" t="str">
            <v>KMHD35LH2HU356604</v>
          </cell>
          <cell r="B127">
            <v>2017</v>
          </cell>
          <cell r="C127" t="str">
            <v>HYUNDAI</v>
          </cell>
          <cell r="D127" t="str">
            <v>ELANTRA GT</v>
          </cell>
          <cell r="E127">
            <v>136589</v>
          </cell>
          <cell r="F127" t="str">
            <v>Grade 1.5</v>
          </cell>
          <cell r="G127" t="str">
            <v>Red Light</v>
          </cell>
          <cell r="H127" t="str">
            <v>No</v>
          </cell>
          <cell r="I127" t="str">
            <v>Yes</v>
          </cell>
          <cell r="J127">
            <v>45566</v>
          </cell>
          <cell r="K127" t="str">
            <v>Yes</v>
          </cell>
          <cell r="L127">
            <v>43608</v>
          </cell>
          <cell r="M127">
            <v>264</v>
          </cell>
          <cell r="N127">
            <v>314</v>
          </cell>
          <cell r="O127">
            <v>1916.4375</v>
          </cell>
          <cell r="P127">
            <v>8627.6414701834565</v>
          </cell>
          <cell r="Q127">
            <v>1786.465209960938</v>
          </cell>
        </row>
        <row r="128">
          <cell r="A128" t="str">
            <v>KMHDH4AE6FU357627</v>
          </cell>
          <cell r="B128">
            <v>2015</v>
          </cell>
          <cell r="C128" t="str">
            <v>HYUNDAI</v>
          </cell>
          <cell r="D128" t="str">
            <v>ELANTRA</v>
          </cell>
          <cell r="E128">
            <v>117094</v>
          </cell>
          <cell r="F128" t="str">
            <v>Grade 2.5</v>
          </cell>
          <cell r="G128" t="str">
            <v>Red Light</v>
          </cell>
          <cell r="H128" t="str">
            <v>No</v>
          </cell>
          <cell r="I128" t="str">
            <v>Yes</v>
          </cell>
          <cell r="J128">
            <v>45400</v>
          </cell>
          <cell r="K128" t="str">
            <v>Yes</v>
          </cell>
          <cell r="L128">
            <v>43608</v>
          </cell>
          <cell r="M128">
            <v>264</v>
          </cell>
          <cell r="N128">
            <v>314</v>
          </cell>
          <cell r="O128">
            <v>1910.245361328125</v>
          </cell>
          <cell r="P128">
            <v>8669.1411595887294</v>
          </cell>
          <cell r="Q128">
            <v>1783.572998046875</v>
          </cell>
        </row>
        <row r="129">
          <cell r="A129" t="str">
            <v>KNDJN2A21K7662617</v>
          </cell>
          <cell r="B129">
            <v>2019</v>
          </cell>
          <cell r="C129" t="str">
            <v>KIA</v>
          </cell>
          <cell r="D129" t="str">
            <v>SOUL</v>
          </cell>
          <cell r="E129">
            <v>83905</v>
          </cell>
          <cell r="F129" t="str">
            <v>Grade 2.8</v>
          </cell>
          <cell r="G129" t="str">
            <v>Green Light</v>
          </cell>
          <cell r="H129" t="str">
            <v>Yes</v>
          </cell>
          <cell r="I129" t="str">
            <v>No</v>
          </cell>
          <cell r="J129">
            <v>45701</v>
          </cell>
          <cell r="K129" t="str">
            <v>Yes</v>
          </cell>
          <cell r="L129">
            <v>43608</v>
          </cell>
          <cell r="M129">
            <v>264</v>
          </cell>
          <cell r="N129">
            <v>314</v>
          </cell>
          <cell r="O129">
            <v>3847.917724609375</v>
          </cell>
          <cell r="P129">
            <v>8994.8508749685261</v>
          </cell>
          <cell r="Q129">
            <v>3730.173828125</v>
          </cell>
        </row>
        <row r="130">
          <cell r="A130" t="str">
            <v>SAJBE4BV4GCY16519</v>
          </cell>
          <cell r="B130">
            <v>2016</v>
          </cell>
          <cell r="C130" t="str">
            <v>JAGUAR</v>
          </cell>
          <cell r="D130" t="str">
            <v>XF</v>
          </cell>
          <cell r="E130">
            <v>73356</v>
          </cell>
          <cell r="F130" t="str">
            <v>Grade 2.3</v>
          </cell>
          <cell r="G130" t="str">
            <v>Red Light</v>
          </cell>
          <cell r="H130" t="str">
            <v>No</v>
          </cell>
          <cell r="I130" t="str">
            <v>Yes</v>
          </cell>
          <cell r="J130">
            <v>45454</v>
          </cell>
          <cell r="K130" t="str">
            <v>Yes</v>
          </cell>
          <cell r="L130">
            <v>43608</v>
          </cell>
          <cell r="M130">
            <v>264</v>
          </cell>
          <cell r="N130">
            <v>314</v>
          </cell>
          <cell r="O130">
            <v>5657.86279296875</v>
          </cell>
          <cell r="P130">
            <v>9310.225349272634</v>
          </cell>
          <cell r="Q130">
            <v>5648.3291015625</v>
          </cell>
        </row>
        <row r="131">
          <cell r="A131" t="str">
            <v>W04WT3N57GG090914</v>
          </cell>
          <cell r="B131">
            <v>2016</v>
          </cell>
          <cell r="C131" t="str">
            <v>BUICK</v>
          </cell>
          <cell r="D131" t="str">
            <v>CASCADA</v>
          </cell>
          <cell r="E131">
            <v>88620</v>
          </cell>
          <cell r="F131" t="str">
            <v>Grade 3.9</v>
          </cell>
          <cell r="G131" t="str">
            <v>Certified</v>
          </cell>
          <cell r="H131" t="str">
            <v>Yes</v>
          </cell>
          <cell r="I131" t="str">
            <v>No</v>
          </cell>
          <cell r="J131">
            <v>45664</v>
          </cell>
          <cell r="K131" t="str">
            <v>Yes</v>
          </cell>
          <cell r="L131">
            <v>43608</v>
          </cell>
          <cell r="M131">
            <v>264</v>
          </cell>
          <cell r="N131">
            <v>314</v>
          </cell>
          <cell r="O131">
            <v>7233.58203125</v>
          </cell>
          <cell r="P131">
            <v>10034.07664708958</v>
          </cell>
          <cell r="Q131">
            <v>7187.0810546875</v>
          </cell>
        </row>
        <row r="132">
          <cell r="A132" t="str">
            <v>WBA4B1C52GG242795</v>
          </cell>
          <cell r="B132">
            <v>2016</v>
          </cell>
          <cell r="C132" t="str">
            <v>BMW</v>
          </cell>
          <cell r="D132" t="str">
            <v>435I GRAN COUPE</v>
          </cell>
          <cell r="E132">
            <v>82426</v>
          </cell>
          <cell r="F132" t="str">
            <v>Grade 3.7</v>
          </cell>
          <cell r="G132" t="str">
            <v>Green/Yellow</v>
          </cell>
          <cell r="H132" t="str">
            <v>Yes</v>
          </cell>
          <cell r="I132" t="str">
            <v>No</v>
          </cell>
          <cell r="J132">
            <v>45482</v>
          </cell>
          <cell r="K132" t="str">
            <v>Yes</v>
          </cell>
          <cell r="L132">
            <v>43608</v>
          </cell>
          <cell r="M132">
            <v>264</v>
          </cell>
          <cell r="N132">
            <v>314</v>
          </cell>
          <cell r="O132">
            <v>9457.0712890625</v>
          </cell>
          <cell r="P132">
            <v>10391.095105598481</v>
          </cell>
          <cell r="Q132">
            <v>9504.462890625</v>
          </cell>
        </row>
        <row r="133">
          <cell r="A133" t="str">
            <v>WDD1J6FB5JF030404</v>
          </cell>
          <cell r="B133">
            <v>2018</v>
          </cell>
          <cell r="C133" t="str">
            <v>MERCEDES-BENZ</v>
          </cell>
          <cell r="D133" t="str">
            <v>E 400</v>
          </cell>
          <cell r="E133">
            <v>55301</v>
          </cell>
          <cell r="F133" t="str">
            <v>Grade 4.4</v>
          </cell>
          <cell r="G133" t="str">
            <v>Certified</v>
          </cell>
          <cell r="H133" t="str">
            <v>Yes</v>
          </cell>
          <cell r="I133" t="str">
            <v>No</v>
          </cell>
          <cell r="J133">
            <v>45482</v>
          </cell>
          <cell r="K133" t="str">
            <v>Yes</v>
          </cell>
          <cell r="L133">
            <v>43608</v>
          </cell>
          <cell r="M133">
            <v>264</v>
          </cell>
          <cell r="N133">
            <v>314</v>
          </cell>
          <cell r="O133">
            <v>15798.1865234375</v>
          </cell>
          <cell r="P133">
            <v>12833.488087471769</v>
          </cell>
          <cell r="Q133">
            <v>15984.8173828125</v>
          </cell>
        </row>
        <row r="134">
          <cell r="A134" t="str">
            <v>WDDHF8JB0CA620822</v>
          </cell>
          <cell r="B134">
            <v>2012</v>
          </cell>
          <cell r="C134" t="str">
            <v>MERCEDES-BENZ</v>
          </cell>
          <cell r="D134" t="str">
            <v>E 350</v>
          </cell>
          <cell r="E134">
            <v>28203</v>
          </cell>
          <cell r="F134" t="str">
            <v>Grade 4.0</v>
          </cell>
          <cell r="G134" t="str">
            <v>Certified</v>
          </cell>
          <cell r="H134" t="str">
            <v>Yes</v>
          </cell>
          <cell r="I134" t="str">
            <v>No</v>
          </cell>
          <cell r="J134">
            <v>45384</v>
          </cell>
          <cell r="K134" t="str">
            <v>Yes</v>
          </cell>
          <cell r="L134">
            <v>43608</v>
          </cell>
          <cell r="M134">
            <v>264</v>
          </cell>
          <cell r="N134">
            <v>314</v>
          </cell>
          <cell r="O134">
            <v>20602.009765625</v>
          </cell>
          <cell r="P134">
            <v>13298.574304863099</v>
          </cell>
          <cell r="Q134">
            <v>20750.0234375</v>
          </cell>
        </row>
        <row r="135">
          <cell r="A135" t="str">
            <v>WDDLJ7DB1CA025654</v>
          </cell>
          <cell r="B135">
            <v>2012</v>
          </cell>
          <cell r="C135" t="str">
            <v>MERCEDES-BENZ</v>
          </cell>
          <cell r="D135" t="str">
            <v>CLS 550</v>
          </cell>
          <cell r="E135">
            <v>116807</v>
          </cell>
          <cell r="F135" t="str">
            <v>Grade 1.7</v>
          </cell>
          <cell r="G135" t="str">
            <v>Red Light</v>
          </cell>
          <cell r="H135" t="str">
            <v>No</v>
          </cell>
          <cell r="I135" t="str">
            <v>Yes</v>
          </cell>
          <cell r="J135">
            <v>45356</v>
          </cell>
          <cell r="K135" t="str">
            <v>Yes</v>
          </cell>
          <cell r="L135">
            <v>43608</v>
          </cell>
          <cell r="M135">
            <v>264</v>
          </cell>
          <cell r="N135">
            <v>314</v>
          </cell>
          <cell r="O135">
            <v>2228.233642578125</v>
          </cell>
          <cell r="P135">
            <v>9706.6513171294391</v>
          </cell>
          <cell r="Q135">
            <v>2182.28759765625</v>
          </cell>
        </row>
        <row r="136">
          <cell r="A136" t="str">
            <v>YV4952CZ2D1643042</v>
          </cell>
          <cell r="B136">
            <v>2013</v>
          </cell>
          <cell r="C136" t="str">
            <v>VOLVO</v>
          </cell>
          <cell r="D136" t="str">
            <v>XC90</v>
          </cell>
          <cell r="E136">
            <v>87969</v>
          </cell>
          <cell r="F136" t="str">
            <v>Grade 2.0</v>
          </cell>
          <cell r="G136" t="str">
            <v>Red Light</v>
          </cell>
          <cell r="H136" t="str">
            <v>No</v>
          </cell>
          <cell r="I136" t="str">
            <v>Yes</v>
          </cell>
          <cell r="J136">
            <v>45426</v>
          </cell>
          <cell r="K136" t="str">
            <v>Yes</v>
          </cell>
          <cell r="L136">
            <v>43608</v>
          </cell>
          <cell r="M136">
            <v>264</v>
          </cell>
          <cell r="N136">
            <v>314</v>
          </cell>
          <cell r="O136">
            <v>3550.198974609375</v>
          </cell>
          <cell r="P136">
            <v>9316.402689888384</v>
          </cell>
          <cell r="Q136">
            <v>3484.11572265625</v>
          </cell>
        </row>
        <row r="137">
          <cell r="A137" t="str">
            <v>1C3CCCAB8FN667968</v>
          </cell>
          <cell r="B137">
            <v>2015</v>
          </cell>
          <cell r="C137" t="str">
            <v>CHRYSLER</v>
          </cell>
          <cell r="D137" t="str">
            <v>200 FWD 4C</v>
          </cell>
          <cell r="E137">
            <v>167986</v>
          </cell>
          <cell r="F137" t="str">
            <v>Grade 3.5</v>
          </cell>
          <cell r="G137" t="str">
            <v>Red Light</v>
          </cell>
          <cell r="H137" t="str">
            <v>No</v>
          </cell>
          <cell r="I137" t="str">
            <v>Yes</v>
          </cell>
          <cell r="J137">
            <v>45365</v>
          </cell>
          <cell r="K137" t="str">
            <v>Yes</v>
          </cell>
          <cell r="L137">
            <v>43612</v>
          </cell>
          <cell r="M137">
            <v>264</v>
          </cell>
          <cell r="N137">
            <v>314</v>
          </cell>
          <cell r="O137">
            <v>4186.87646484375</v>
          </cell>
          <cell r="P137">
            <v>8949.5654353021564</v>
          </cell>
          <cell r="Q137">
            <v>4183.2197265625</v>
          </cell>
        </row>
        <row r="138">
          <cell r="A138" t="str">
            <v>1C3CCCBG8FN522262</v>
          </cell>
          <cell r="B138">
            <v>2015</v>
          </cell>
          <cell r="C138" t="str">
            <v>CHRYSLER</v>
          </cell>
          <cell r="D138">
            <v>200</v>
          </cell>
          <cell r="E138">
            <v>161430</v>
          </cell>
          <cell r="F138" t="str">
            <v>Grade 1.5</v>
          </cell>
          <cell r="G138" t="str">
            <v>Red Light</v>
          </cell>
          <cell r="H138" t="str">
            <v>No</v>
          </cell>
          <cell r="I138" t="str">
            <v>Yes</v>
          </cell>
          <cell r="J138">
            <v>45692</v>
          </cell>
          <cell r="K138" t="str">
            <v>Yes</v>
          </cell>
          <cell r="L138">
            <v>43612</v>
          </cell>
          <cell r="M138">
            <v>264</v>
          </cell>
          <cell r="N138">
            <v>314</v>
          </cell>
          <cell r="O138">
            <v>894.4437255859375</v>
          </cell>
          <cell r="P138">
            <v>8795.4262158676156</v>
          </cell>
          <cell r="Q138">
            <v>1088.946655273438</v>
          </cell>
        </row>
        <row r="139">
          <cell r="A139" t="str">
            <v>1C3CDFFA1GD820664</v>
          </cell>
          <cell r="B139">
            <v>2016</v>
          </cell>
          <cell r="C139" t="str">
            <v>DODGE</v>
          </cell>
          <cell r="D139" t="str">
            <v>DART</v>
          </cell>
          <cell r="E139">
            <v>208579</v>
          </cell>
          <cell r="F139" t="str">
            <v>Grade 1.8</v>
          </cell>
          <cell r="G139" t="str">
            <v>Inoperable</v>
          </cell>
          <cell r="H139" t="str">
            <v>No</v>
          </cell>
          <cell r="I139" t="str">
            <v>Yes</v>
          </cell>
          <cell r="J139">
            <v>45692</v>
          </cell>
          <cell r="K139" t="str">
            <v>Yes</v>
          </cell>
          <cell r="L139">
            <v>43612</v>
          </cell>
          <cell r="M139">
            <v>264</v>
          </cell>
          <cell r="N139">
            <v>314</v>
          </cell>
          <cell r="O139">
            <v>1878.459838867188</v>
          </cell>
          <cell r="P139">
            <v>8818.6227676460039</v>
          </cell>
          <cell r="Q139">
            <v>1783.572998046875</v>
          </cell>
        </row>
        <row r="140">
          <cell r="A140" t="str">
            <v>1C4NJDEB8ED546419</v>
          </cell>
          <cell r="B140">
            <v>2014</v>
          </cell>
          <cell r="C140" t="str">
            <v>JEEP</v>
          </cell>
          <cell r="D140" t="str">
            <v>COMPASS 4X4 4C</v>
          </cell>
          <cell r="E140">
            <v>95051</v>
          </cell>
          <cell r="F140" t="str">
            <v>Grade 3.5</v>
          </cell>
          <cell r="G140" t="str">
            <v>Red Light</v>
          </cell>
          <cell r="H140" t="str">
            <v>No</v>
          </cell>
          <cell r="I140" t="str">
            <v>Yes</v>
          </cell>
          <cell r="J140">
            <v>45701</v>
          </cell>
          <cell r="K140" t="str">
            <v>Yes</v>
          </cell>
          <cell r="L140">
            <v>43612</v>
          </cell>
          <cell r="M140">
            <v>264</v>
          </cell>
          <cell r="N140">
            <v>314</v>
          </cell>
          <cell r="O140">
            <v>6359.068359375</v>
          </cell>
          <cell r="P140">
            <v>9392.3339397294312</v>
          </cell>
          <cell r="Q140">
            <v>6283.87451171875</v>
          </cell>
        </row>
        <row r="141">
          <cell r="A141" t="str">
            <v>1C4NJRBB2FD231277</v>
          </cell>
          <cell r="B141">
            <v>2015</v>
          </cell>
          <cell r="C141" t="str">
            <v>JEEP</v>
          </cell>
          <cell r="D141" t="str">
            <v>PATRIOT</v>
          </cell>
          <cell r="E141">
            <v>132770</v>
          </cell>
          <cell r="F141" t="str">
            <v>Grade 1.7</v>
          </cell>
          <cell r="G141" t="str">
            <v>Red Light</v>
          </cell>
          <cell r="H141" t="str">
            <v>No</v>
          </cell>
          <cell r="I141" t="str">
            <v>Yes</v>
          </cell>
          <cell r="J141">
            <v>45440</v>
          </cell>
          <cell r="K141" t="str">
            <v>Yes</v>
          </cell>
          <cell r="L141">
            <v>43612</v>
          </cell>
          <cell r="M141">
            <v>264</v>
          </cell>
          <cell r="N141">
            <v>314</v>
          </cell>
          <cell r="O141">
            <v>2548.43359375</v>
          </cell>
          <cell r="P141">
            <v>9095.5654308179437</v>
          </cell>
          <cell r="Q141">
            <v>2338.3408203125</v>
          </cell>
        </row>
        <row r="142">
          <cell r="A142" t="str">
            <v>1C4NJRBB3ED808994</v>
          </cell>
          <cell r="B142">
            <v>2014</v>
          </cell>
          <cell r="C142" t="str">
            <v>JEEP</v>
          </cell>
          <cell r="D142" t="str">
            <v>PATRIOT 4X4 4C</v>
          </cell>
          <cell r="E142">
            <v>131989</v>
          </cell>
          <cell r="F142" t="str">
            <v>Grade 2.5</v>
          </cell>
          <cell r="G142" t="str">
            <v>Red Light</v>
          </cell>
          <cell r="H142" t="str">
            <v>No</v>
          </cell>
          <cell r="I142" t="str">
            <v>Yes</v>
          </cell>
          <cell r="J142">
            <v>45316</v>
          </cell>
          <cell r="K142" t="str">
            <v>Yes</v>
          </cell>
          <cell r="L142">
            <v>43612</v>
          </cell>
          <cell r="M142">
            <v>264</v>
          </cell>
          <cell r="N142">
            <v>314</v>
          </cell>
          <cell r="O142">
            <v>2563.134033203125</v>
          </cell>
          <cell r="P142">
            <v>9310.7261594437696</v>
          </cell>
          <cell r="Q142">
            <v>2382.8828125</v>
          </cell>
        </row>
        <row r="143">
          <cell r="A143" t="str">
            <v>1C4PJLCB8GW217152</v>
          </cell>
          <cell r="B143">
            <v>2016</v>
          </cell>
          <cell r="C143" t="str">
            <v>JEEP</v>
          </cell>
          <cell r="D143" t="str">
            <v>CHEROKEE</v>
          </cell>
          <cell r="E143">
            <v>102705</v>
          </cell>
          <cell r="F143" t="str">
            <v>Grade 4.7</v>
          </cell>
          <cell r="G143" t="str">
            <v>Certified</v>
          </cell>
          <cell r="H143" t="str">
            <v>Yes</v>
          </cell>
          <cell r="I143" t="str">
            <v>No</v>
          </cell>
          <cell r="J143">
            <v>45314</v>
          </cell>
          <cell r="K143" t="str">
            <v>Yes</v>
          </cell>
          <cell r="L143">
            <v>43612</v>
          </cell>
          <cell r="M143">
            <v>264</v>
          </cell>
          <cell r="N143">
            <v>314</v>
          </cell>
          <cell r="O143">
            <v>9066.1708984375</v>
          </cell>
          <cell r="P143">
            <v>10136.4675871658</v>
          </cell>
          <cell r="Q143">
            <v>9124.287109375</v>
          </cell>
        </row>
        <row r="144">
          <cell r="A144" t="str">
            <v>1C4PJMCB3HW659859</v>
          </cell>
          <cell r="B144">
            <v>2017</v>
          </cell>
          <cell r="C144" t="str">
            <v>JEEP</v>
          </cell>
          <cell r="D144" t="str">
            <v>CHEROKEE 4X4 4C</v>
          </cell>
          <cell r="E144">
            <v>125171</v>
          </cell>
          <cell r="F144" t="str">
            <v>Grade 3.1</v>
          </cell>
          <cell r="G144" t="str">
            <v>Green Light</v>
          </cell>
          <cell r="H144" t="str">
            <v>Yes</v>
          </cell>
          <cell r="I144" t="str">
            <v>No</v>
          </cell>
          <cell r="J144">
            <v>45617</v>
          </cell>
          <cell r="K144" t="str">
            <v>Yes</v>
          </cell>
          <cell r="L144">
            <v>43612</v>
          </cell>
          <cell r="M144">
            <v>264</v>
          </cell>
          <cell r="N144">
            <v>314</v>
          </cell>
          <cell r="O144">
            <v>7611.48974609375</v>
          </cell>
          <cell r="P144">
            <v>9334.7633824547229</v>
          </cell>
          <cell r="Q144">
            <v>7695.8505859375</v>
          </cell>
        </row>
        <row r="145">
          <cell r="A145" t="str">
            <v>1C4PJMCS5FW793916</v>
          </cell>
          <cell r="B145">
            <v>2015</v>
          </cell>
          <cell r="C145" t="str">
            <v>JEEP</v>
          </cell>
          <cell r="D145" t="str">
            <v>CHEROKEE 4X4 V6</v>
          </cell>
          <cell r="E145">
            <v>112104</v>
          </cell>
          <cell r="F145" t="str">
            <v>Grade 2.5</v>
          </cell>
          <cell r="G145" t="str">
            <v>Green/Yellow</v>
          </cell>
          <cell r="H145" t="str">
            <v>Yes</v>
          </cell>
          <cell r="I145" t="str">
            <v>No</v>
          </cell>
          <cell r="J145">
            <v>45701</v>
          </cell>
          <cell r="K145" t="str">
            <v>Yes</v>
          </cell>
          <cell r="L145">
            <v>43612</v>
          </cell>
          <cell r="M145">
            <v>264</v>
          </cell>
          <cell r="N145">
            <v>314</v>
          </cell>
          <cell r="O145">
            <v>2776.596435546875</v>
          </cell>
          <cell r="P145">
            <v>9232.7221954143643</v>
          </cell>
          <cell r="Q145">
            <v>2637.05224609375</v>
          </cell>
        </row>
        <row r="146">
          <cell r="A146" t="str">
            <v>1C4PJMCX2JD522280</v>
          </cell>
          <cell r="B146">
            <v>2018</v>
          </cell>
          <cell r="C146" t="str">
            <v>JEEP</v>
          </cell>
          <cell r="D146" t="str">
            <v>CHEROKEE 4X4 V6</v>
          </cell>
          <cell r="E146">
            <v>113797</v>
          </cell>
          <cell r="F146" t="str">
            <v>Grade 2.9</v>
          </cell>
          <cell r="G146" t="str">
            <v>Green/Yellow</v>
          </cell>
          <cell r="H146" t="str">
            <v>Yes</v>
          </cell>
          <cell r="I146" t="str">
            <v>No</v>
          </cell>
          <cell r="J146">
            <v>45666</v>
          </cell>
          <cell r="K146" t="str">
            <v>Yes</v>
          </cell>
          <cell r="L146">
            <v>43612</v>
          </cell>
          <cell r="M146">
            <v>264</v>
          </cell>
          <cell r="N146">
            <v>314</v>
          </cell>
          <cell r="O146">
            <v>4415.15185546875</v>
          </cell>
          <cell r="P146">
            <v>9351.7248166103782</v>
          </cell>
          <cell r="Q146">
            <v>4356.724609375</v>
          </cell>
        </row>
        <row r="147">
          <cell r="A147" t="str">
            <v>1C4PJMLB4JD548559</v>
          </cell>
          <cell r="B147">
            <v>2018</v>
          </cell>
          <cell r="C147" t="str">
            <v>JEEP</v>
          </cell>
          <cell r="D147" t="str">
            <v>CHEROKEE</v>
          </cell>
          <cell r="E147">
            <v>100594</v>
          </cell>
          <cell r="F147" t="str">
            <v>Grade 3.7</v>
          </cell>
          <cell r="G147" t="str">
            <v>Certified</v>
          </cell>
          <cell r="H147" t="str">
            <v>Yes</v>
          </cell>
          <cell r="I147" t="str">
            <v>No</v>
          </cell>
          <cell r="J147">
            <v>45636</v>
          </cell>
          <cell r="K147" t="str">
            <v>Yes</v>
          </cell>
          <cell r="L147">
            <v>43612</v>
          </cell>
          <cell r="M147">
            <v>264</v>
          </cell>
          <cell r="N147">
            <v>314</v>
          </cell>
          <cell r="O147">
            <v>10154.974609375</v>
          </cell>
          <cell r="P147">
            <v>10263.60791695214</v>
          </cell>
          <cell r="Q147">
            <v>10345.4609375</v>
          </cell>
        </row>
        <row r="148">
          <cell r="A148" t="str">
            <v>1C4RJEBM5EC336461</v>
          </cell>
          <cell r="B148">
            <v>2014</v>
          </cell>
          <cell r="C148" t="str">
            <v>JEEP</v>
          </cell>
          <cell r="D148" t="str">
            <v>GRAND CHEROKEE</v>
          </cell>
          <cell r="E148">
            <v>154810</v>
          </cell>
          <cell r="F148" t="str">
            <v>Grade 1.3</v>
          </cell>
          <cell r="G148" t="str">
            <v>Red Light</v>
          </cell>
          <cell r="H148" t="str">
            <v>No</v>
          </cell>
          <cell r="I148" t="str">
            <v>Yes</v>
          </cell>
          <cell r="J148">
            <v>45566</v>
          </cell>
          <cell r="K148" t="str">
            <v>Yes</v>
          </cell>
          <cell r="L148">
            <v>43612</v>
          </cell>
          <cell r="M148">
            <v>264</v>
          </cell>
          <cell r="N148">
            <v>314</v>
          </cell>
          <cell r="O148">
            <v>1715.002075195312</v>
          </cell>
          <cell r="P148">
            <v>8840.463244475628</v>
          </cell>
          <cell r="Q148">
            <v>1678.0625</v>
          </cell>
        </row>
        <row r="149">
          <cell r="A149" t="str">
            <v>1C4RJFAG3FC859643</v>
          </cell>
          <cell r="B149">
            <v>2015</v>
          </cell>
          <cell r="C149" t="str">
            <v>JEEP</v>
          </cell>
          <cell r="D149" t="str">
            <v>GRAND CHEROKEE</v>
          </cell>
          <cell r="E149">
            <v>111502</v>
          </cell>
          <cell r="F149" t="str">
            <v>Grade 2.7</v>
          </cell>
          <cell r="G149" t="str">
            <v>Green Light</v>
          </cell>
          <cell r="H149" t="str">
            <v>Yes</v>
          </cell>
          <cell r="I149" t="str">
            <v>No</v>
          </cell>
          <cell r="J149">
            <v>45328</v>
          </cell>
          <cell r="K149" t="str">
            <v>Yes</v>
          </cell>
          <cell r="L149">
            <v>43612</v>
          </cell>
          <cell r="M149">
            <v>264</v>
          </cell>
          <cell r="N149">
            <v>314</v>
          </cell>
          <cell r="O149">
            <v>3274.239990234375</v>
          </cell>
          <cell r="P149">
            <v>9016.0645620835367</v>
          </cell>
          <cell r="Q149">
            <v>3205.46240234375</v>
          </cell>
        </row>
        <row r="150">
          <cell r="A150" t="str">
            <v>1C6RR6FG9FS514616</v>
          </cell>
          <cell r="B150">
            <v>2015</v>
          </cell>
          <cell r="C150" t="str">
            <v>RAM</v>
          </cell>
          <cell r="D150" t="str">
            <v>1500 4X2 V6</v>
          </cell>
          <cell r="E150">
            <v>121249</v>
          </cell>
          <cell r="F150" t="str">
            <v>Grade 3.2</v>
          </cell>
          <cell r="G150" t="str">
            <v>Green/Yellow</v>
          </cell>
          <cell r="H150" t="str">
            <v>Yes</v>
          </cell>
          <cell r="I150" t="str">
            <v>No</v>
          </cell>
          <cell r="J150">
            <v>45519</v>
          </cell>
          <cell r="K150" t="str">
            <v>Yes</v>
          </cell>
          <cell r="L150">
            <v>43612</v>
          </cell>
          <cell r="M150">
            <v>264</v>
          </cell>
          <cell r="N150">
            <v>314</v>
          </cell>
          <cell r="O150">
            <v>9696.5244140625</v>
          </cell>
          <cell r="P150">
            <v>10421.895521486829</v>
          </cell>
          <cell r="Q150">
            <v>9740.4873046875</v>
          </cell>
        </row>
        <row r="151">
          <cell r="A151" t="str">
            <v>1D4RE5GG1BC667589</v>
          </cell>
          <cell r="B151">
            <v>2011</v>
          </cell>
          <cell r="C151" t="str">
            <v>DODGE</v>
          </cell>
          <cell r="D151" t="str">
            <v>DURANGO</v>
          </cell>
          <cell r="E151">
            <v>97213</v>
          </cell>
          <cell r="F151" t="str">
            <v>Grade 3.8</v>
          </cell>
          <cell r="G151" t="str">
            <v>Green/Yellow</v>
          </cell>
          <cell r="H151" t="str">
            <v>Yes</v>
          </cell>
          <cell r="I151" t="str">
            <v>No</v>
          </cell>
          <cell r="J151">
            <v>45692</v>
          </cell>
          <cell r="K151" t="str">
            <v>Yes</v>
          </cell>
          <cell r="L151">
            <v>43612</v>
          </cell>
          <cell r="M151">
            <v>264</v>
          </cell>
          <cell r="N151">
            <v>314</v>
          </cell>
          <cell r="O151">
            <v>4875.70263671875</v>
          </cell>
          <cell r="P151">
            <v>10058.639077462311</v>
          </cell>
          <cell r="Q151">
            <v>4735.09814453125</v>
          </cell>
        </row>
        <row r="152">
          <cell r="A152" t="str">
            <v>1FA6P0H74E5389197</v>
          </cell>
          <cell r="B152">
            <v>2014</v>
          </cell>
          <cell r="C152" t="str">
            <v>FORD</v>
          </cell>
          <cell r="D152" t="str">
            <v>FUSION FWD 4C</v>
          </cell>
          <cell r="E152">
            <v>104921</v>
          </cell>
          <cell r="F152" t="str">
            <v>Grade 2.2</v>
          </cell>
          <cell r="G152" t="str">
            <v>Green/Yellow</v>
          </cell>
          <cell r="H152" t="str">
            <v>Yes</v>
          </cell>
          <cell r="I152" t="str">
            <v>No</v>
          </cell>
          <cell r="J152">
            <v>45694</v>
          </cell>
          <cell r="K152" t="str">
            <v>Yes</v>
          </cell>
          <cell r="L152">
            <v>43612</v>
          </cell>
          <cell r="M152">
            <v>264</v>
          </cell>
          <cell r="N152">
            <v>314</v>
          </cell>
          <cell r="O152">
            <v>2766.387939453125</v>
          </cell>
          <cell r="P152">
            <v>9190.1972929737076</v>
          </cell>
          <cell r="Q152">
            <v>2608.53466796875</v>
          </cell>
        </row>
        <row r="153">
          <cell r="A153" t="str">
            <v>1FADP3F21GL283109</v>
          </cell>
          <cell r="B153">
            <v>2016</v>
          </cell>
          <cell r="C153" t="str">
            <v>FORD</v>
          </cell>
          <cell r="D153" t="str">
            <v>FOCUS</v>
          </cell>
          <cell r="E153">
            <v>78653</v>
          </cell>
          <cell r="F153" t="str">
            <v>Grade 1.6</v>
          </cell>
          <cell r="G153" t="str">
            <v>Red Light</v>
          </cell>
          <cell r="H153" t="str">
            <v>No</v>
          </cell>
          <cell r="I153" t="str">
            <v>Yes</v>
          </cell>
          <cell r="J153">
            <v>45398</v>
          </cell>
          <cell r="K153" t="str">
            <v>Yes</v>
          </cell>
          <cell r="L153">
            <v>43612</v>
          </cell>
          <cell r="M153">
            <v>264</v>
          </cell>
          <cell r="N153">
            <v>314</v>
          </cell>
          <cell r="O153">
            <v>4789.2275390625</v>
          </cell>
          <cell r="P153">
            <v>9319.2527220695501</v>
          </cell>
          <cell r="Q153">
            <v>4702.52783203125</v>
          </cell>
        </row>
        <row r="154">
          <cell r="A154" t="str">
            <v>1FADP3F23HL346342</v>
          </cell>
          <cell r="B154">
            <v>2017</v>
          </cell>
          <cell r="C154" t="str">
            <v>FORD</v>
          </cell>
          <cell r="D154" t="str">
            <v>FOCUS</v>
          </cell>
          <cell r="E154">
            <v>75684</v>
          </cell>
          <cell r="F154" t="str">
            <v>Grade 4.6</v>
          </cell>
          <cell r="G154" t="str">
            <v>Certified</v>
          </cell>
          <cell r="H154" t="str">
            <v>Yes</v>
          </cell>
          <cell r="I154" t="str">
            <v>No</v>
          </cell>
          <cell r="J154">
            <v>45328</v>
          </cell>
          <cell r="K154" t="str">
            <v>Yes</v>
          </cell>
          <cell r="L154">
            <v>43612</v>
          </cell>
          <cell r="M154">
            <v>264</v>
          </cell>
          <cell r="N154">
            <v>314</v>
          </cell>
          <cell r="O154">
            <v>13018.119140625</v>
          </cell>
          <cell r="P154">
            <v>10163.58098538408</v>
          </cell>
          <cell r="Q154">
            <v>13180.0380859375</v>
          </cell>
        </row>
        <row r="155">
          <cell r="A155" t="str">
            <v>1FAHP2D8XGG118557</v>
          </cell>
          <cell r="B155">
            <v>2016</v>
          </cell>
          <cell r="C155" t="str">
            <v>FORD</v>
          </cell>
          <cell r="D155" t="str">
            <v>TAURUS</v>
          </cell>
          <cell r="E155">
            <v>62644</v>
          </cell>
          <cell r="F155" t="str">
            <v>Grade 3.0</v>
          </cell>
          <cell r="G155" t="str">
            <v>Green Light</v>
          </cell>
          <cell r="H155" t="str">
            <v>Yes</v>
          </cell>
          <cell r="I155" t="str">
            <v>No</v>
          </cell>
          <cell r="J155">
            <v>45510</v>
          </cell>
          <cell r="K155" t="str">
            <v>Yes</v>
          </cell>
          <cell r="L155">
            <v>43612</v>
          </cell>
          <cell r="M155">
            <v>264</v>
          </cell>
          <cell r="N155">
            <v>314</v>
          </cell>
          <cell r="O155">
            <v>12104.6796875</v>
          </cell>
          <cell r="P155">
            <v>11424.169132086779</v>
          </cell>
          <cell r="Q155">
            <v>12040.1181640625</v>
          </cell>
        </row>
        <row r="156">
          <cell r="A156" t="str">
            <v>1FAHP2F80HG134104</v>
          </cell>
          <cell r="B156">
            <v>2017</v>
          </cell>
          <cell r="C156" t="str">
            <v>FORD</v>
          </cell>
          <cell r="D156" t="str">
            <v>TAURUS</v>
          </cell>
          <cell r="E156">
            <v>143324</v>
          </cell>
          <cell r="F156" t="str">
            <v>Grade 3.7</v>
          </cell>
          <cell r="G156" t="str">
            <v>Red Light</v>
          </cell>
          <cell r="H156" t="str">
            <v>No</v>
          </cell>
          <cell r="I156" t="str">
            <v>Yes</v>
          </cell>
          <cell r="J156">
            <v>45706</v>
          </cell>
          <cell r="K156" t="str">
            <v>Yes</v>
          </cell>
          <cell r="L156">
            <v>43612</v>
          </cell>
          <cell r="M156">
            <v>264</v>
          </cell>
          <cell r="N156">
            <v>314</v>
          </cell>
          <cell r="O156">
            <v>6150.71923828125</v>
          </cell>
          <cell r="P156">
            <v>10034.8934049249</v>
          </cell>
          <cell r="Q156">
            <v>6136.4638671875</v>
          </cell>
        </row>
        <row r="157">
          <cell r="A157" t="str">
            <v>1FM5K7D88GGC54853</v>
          </cell>
          <cell r="B157">
            <v>2016</v>
          </cell>
          <cell r="C157" t="str">
            <v>FORD</v>
          </cell>
          <cell r="D157" t="str">
            <v>EXPLORER</v>
          </cell>
          <cell r="E157">
            <v>118331</v>
          </cell>
          <cell r="F157" t="str">
            <v>Grade 3.2</v>
          </cell>
          <cell r="G157" t="str">
            <v>Green/Yellow</v>
          </cell>
          <cell r="H157" t="str">
            <v>Yes</v>
          </cell>
          <cell r="I157" t="str">
            <v>No</v>
          </cell>
          <cell r="J157">
            <v>45706</v>
          </cell>
          <cell r="K157" t="str">
            <v>Yes</v>
          </cell>
          <cell r="L157">
            <v>43612</v>
          </cell>
          <cell r="M157">
            <v>264</v>
          </cell>
          <cell r="N157">
            <v>314</v>
          </cell>
          <cell r="O157">
            <v>6631.10986328125</v>
          </cell>
          <cell r="P157">
            <v>9335.6553633323074</v>
          </cell>
          <cell r="Q157">
            <v>6816.08837890625</v>
          </cell>
        </row>
        <row r="158">
          <cell r="A158" t="str">
            <v>1FM5K7D93EGC10863</v>
          </cell>
          <cell r="B158">
            <v>2014</v>
          </cell>
          <cell r="C158" t="str">
            <v>FORD</v>
          </cell>
          <cell r="D158" t="str">
            <v>EXPLORER</v>
          </cell>
          <cell r="E158">
            <v>142214</v>
          </cell>
          <cell r="F158" t="str">
            <v>Grade 1.3</v>
          </cell>
          <cell r="G158" t="str">
            <v>Red Light</v>
          </cell>
          <cell r="H158" t="str">
            <v>No</v>
          </cell>
          <cell r="I158" t="str">
            <v>Yes</v>
          </cell>
          <cell r="J158">
            <v>45370</v>
          </cell>
          <cell r="K158" t="str">
            <v>Yes</v>
          </cell>
          <cell r="L158">
            <v>43612</v>
          </cell>
          <cell r="M158">
            <v>264</v>
          </cell>
          <cell r="N158">
            <v>314</v>
          </cell>
          <cell r="O158">
            <v>2329.04638671875</v>
          </cell>
          <cell r="P158">
            <v>9166.6588908926096</v>
          </cell>
          <cell r="Q158">
            <v>2178.560791015625</v>
          </cell>
        </row>
        <row r="159">
          <cell r="A159" t="str">
            <v>1FM5K8D85DGA09882</v>
          </cell>
          <cell r="B159">
            <v>2013</v>
          </cell>
          <cell r="C159" t="str">
            <v>FORD</v>
          </cell>
          <cell r="D159" t="str">
            <v>EXPLORER</v>
          </cell>
          <cell r="E159">
            <v>134020</v>
          </cell>
          <cell r="F159" t="str">
            <v>Grade 2.4</v>
          </cell>
          <cell r="G159" t="str">
            <v>Red Light</v>
          </cell>
          <cell r="H159" t="str">
            <v>No</v>
          </cell>
          <cell r="I159" t="str">
            <v>Yes</v>
          </cell>
          <cell r="J159">
            <v>45398</v>
          </cell>
          <cell r="K159" t="str">
            <v>Yes</v>
          </cell>
          <cell r="L159">
            <v>43612</v>
          </cell>
          <cell r="M159">
            <v>264</v>
          </cell>
          <cell r="N159">
            <v>314</v>
          </cell>
          <cell r="O159">
            <v>2277.178466796875</v>
          </cell>
          <cell r="P159">
            <v>9167.0502406143187</v>
          </cell>
          <cell r="Q159">
            <v>2178.560791015625</v>
          </cell>
        </row>
        <row r="160">
          <cell r="A160" t="str">
            <v>1FMCU0F72KUB64234</v>
          </cell>
          <cell r="B160">
            <v>2019</v>
          </cell>
          <cell r="C160" t="str">
            <v>FORD</v>
          </cell>
          <cell r="D160" t="str">
            <v>ESCAPE FWD 4C</v>
          </cell>
          <cell r="E160">
            <v>87434</v>
          </cell>
          <cell r="F160" t="str">
            <v>Grade 3.1</v>
          </cell>
          <cell r="G160" t="str">
            <v>Green Light</v>
          </cell>
          <cell r="H160" t="str">
            <v>Yes</v>
          </cell>
          <cell r="I160" t="str">
            <v>No</v>
          </cell>
          <cell r="J160">
            <v>45687</v>
          </cell>
          <cell r="K160" t="str">
            <v>Yes</v>
          </cell>
          <cell r="L160">
            <v>43612</v>
          </cell>
          <cell r="M160">
            <v>264</v>
          </cell>
          <cell r="N160">
            <v>314</v>
          </cell>
          <cell r="O160">
            <v>11765.123046875</v>
          </cell>
          <cell r="P160">
            <v>9593.5942605931232</v>
          </cell>
          <cell r="Q160">
            <v>11938.6943359375</v>
          </cell>
        </row>
        <row r="161">
          <cell r="A161" t="str">
            <v>1FMCU0GD8HUB51257</v>
          </cell>
          <cell r="B161">
            <v>2017</v>
          </cell>
          <cell r="C161" t="str">
            <v>FORD</v>
          </cell>
          <cell r="D161" t="str">
            <v>ESCAPE</v>
          </cell>
          <cell r="E161">
            <v>70649</v>
          </cell>
          <cell r="F161" t="str">
            <v>Grade 4.1</v>
          </cell>
          <cell r="G161" t="str">
            <v>Certified</v>
          </cell>
          <cell r="H161" t="str">
            <v>Yes</v>
          </cell>
          <cell r="I161" t="str">
            <v>No</v>
          </cell>
          <cell r="J161">
            <v>45664</v>
          </cell>
          <cell r="K161" t="str">
            <v>Yes</v>
          </cell>
          <cell r="L161">
            <v>43612</v>
          </cell>
          <cell r="M161">
            <v>264</v>
          </cell>
          <cell r="N161">
            <v>314</v>
          </cell>
          <cell r="O161">
            <v>10934.50390625</v>
          </cell>
          <cell r="P161">
            <v>10295.39347455749</v>
          </cell>
          <cell r="Q161">
            <v>10875.359375</v>
          </cell>
        </row>
        <row r="162">
          <cell r="A162" t="str">
            <v>1FMCU0HD0JUA08565</v>
          </cell>
          <cell r="B162">
            <v>2018</v>
          </cell>
          <cell r="C162" t="str">
            <v>FORD</v>
          </cell>
          <cell r="D162" t="str">
            <v>ESCAPE</v>
          </cell>
          <cell r="E162">
            <v>89438</v>
          </cell>
          <cell r="F162" t="str">
            <v>Grade 2.0</v>
          </cell>
          <cell r="G162" t="str">
            <v>Green/Yellow</v>
          </cell>
          <cell r="H162" t="str">
            <v>Yes</v>
          </cell>
          <cell r="I162" t="str">
            <v>No</v>
          </cell>
          <cell r="J162">
            <v>45580</v>
          </cell>
          <cell r="K162" t="str">
            <v>Yes</v>
          </cell>
          <cell r="L162">
            <v>43612</v>
          </cell>
          <cell r="M162">
            <v>264</v>
          </cell>
          <cell r="N162">
            <v>314</v>
          </cell>
          <cell r="O162">
            <v>4645.63916015625</v>
          </cell>
          <cell r="P162">
            <v>9446.5477335915184</v>
          </cell>
          <cell r="Q162">
            <v>4643.6630859375</v>
          </cell>
        </row>
        <row r="163">
          <cell r="A163" t="str">
            <v>1FMCU9GDXHUC28585</v>
          </cell>
          <cell r="B163">
            <v>2017</v>
          </cell>
          <cell r="C163" t="str">
            <v>FORD</v>
          </cell>
          <cell r="D163" t="str">
            <v>ESCAPE 4X4 4C</v>
          </cell>
          <cell r="E163">
            <v>178102</v>
          </cell>
          <cell r="F163" t="str">
            <v>Grade 3.6</v>
          </cell>
          <cell r="G163" t="str">
            <v>Inoperable</v>
          </cell>
          <cell r="H163" t="str">
            <v>No</v>
          </cell>
          <cell r="I163" t="str">
            <v>Yes</v>
          </cell>
          <cell r="J163">
            <v>45589</v>
          </cell>
          <cell r="K163" t="str">
            <v>Yes</v>
          </cell>
          <cell r="L163">
            <v>43612</v>
          </cell>
          <cell r="M163">
            <v>264</v>
          </cell>
          <cell r="N163">
            <v>314</v>
          </cell>
          <cell r="O163">
            <v>6329.7705078125</v>
          </cell>
          <cell r="P163">
            <v>10035.69921789778</v>
          </cell>
          <cell r="Q163">
            <v>6272.39501953125</v>
          </cell>
        </row>
        <row r="164">
          <cell r="A164" t="str">
            <v>1FMCU9GX1FUB65027</v>
          </cell>
          <cell r="B164">
            <v>2015</v>
          </cell>
          <cell r="C164" t="str">
            <v>FORD</v>
          </cell>
          <cell r="D164" t="str">
            <v>ESCAPE 4X4 4C</v>
          </cell>
          <cell r="E164">
            <v>130525</v>
          </cell>
          <cell r="F164" t="str">
            <v>Grade 2.0</v>
          </cell>
          <cell r="G164" t="str">
            <v>Inoperable</v>
          </cell>
          <cell r="H164" t="str">
            <v>No</v>
          </cell>
          <cell r="I164" t="str">
            <v>Yes</v>
          </cell>
          <cell r="J164">
            <v>45673</v>
          </cell>
          <cell r="K164" t="str">
            <v>Yes</v>
          </cell>
          <cell r="L164">
            <v>43612</v>
          </cell>
          <cell r="M164">
            <v>264</v>
          </cell>
          <cell r="N164">
            <v>314</v>
          </cell>
          <cell r="O164">
            <v>2479.850830078125</v>
          </cell>
          <cell r="P164">
            <v>9191.0031059465873</v>
          </cell>
          <cell r="Q164">
            <v>2345.591796875</v>
          </cell>
        </row>
        <row r="165">
          <cell r="A165" t="str">
            <v>1FMCU9JX1GUA25117</v>
          </cell>
          <cell r="B165">
            <v>2016</v>
          </cell>
          <cell r="C165" t="str">
            <v>FORD</v>
          </cell>
          <cell r="D165" t="str">
            <v>ESCAPE</v>
          </cell>
          <cell r="E165">
            <v>109160</v>
          </cell>
          <cell r="F165" t="str">
            <v>Grade 2.8</v>
          </cell>
          <cell r="G165" t="str">
            <v>Green Light</v>
          </cell>
          <cell r="H165" t="str">
            <v>Yes</v>
          </cell>
          <cell r="I165" t="str">
            <v>No</v>
          </cell>
          <cell r="J165">
            <v>45622</v>
          </cell>
          <cell r="K165" t="str">
            <v>Yes</v>
          </cell>
          <cell r="L165">
            <v>43612</v>
          </cell>
          <cell r="M165">
            <v>264</v>
          </cell>
          <cell r="N165">
            <v>314</v>
          </cell>
          <cell r="O165">
            <v>1942.2490234375</v>
          </cell>
          <cell r="P165">
            <v>9292.4344233513293</v>
          </cell>
          <cell r="Q165">
            <v>1920.052001953125</v>
          </cell>
        </row>
        <row r="166">
          <cell r="A166" t="str">
            <v>1G11C5SL1FF232444</v>
          </cell>
          <cell r="B166">
            <v>2015</v>
          </cell>
          <cell r="C166" t="str">
            <v>CHEVROLET</v>
          </cell>
          <cell r="D166" t="str">
            <v>MALIBU</v>
          </cell>
          <cell r="E166">
            <v>102978</v>
          </cell>
          <cell r="F166" t="str">
            <v>Grade 2.8</v>
          </cell>
          <cell r="G166" t="str">
            <v>Green Light</v>
          </cell>
          <cell r="H166" t="str">
            <v>Yes</v>
          </cell>
          <cell r="I166" t="str">
            <v>No</v>
          </cell>
          <cell r="J166">
            <v>45328</v>
          </cell>
          <cell r="K166" t="str">
            <v>Yes</v>
          </cell>
          <cell r="L166">
            <v>43612</v>
          </cell>
          <cell r="M166">
            <v>264</v>
          </cell>
          <cell r="N166">
            <v>314</v>
          </cell>
          <cell r="O166">
            <v>2232.821044921875</v>
          </cell>
          <cell r="P166">
            <v>9344.2052974458256</v>
          </cell>
          <cell r="Q166">
            <v>2142.682861328125</v>
          </cell>
        </row>
        <row r="167">
          <cell r="A167" t="str">
            <v>1G1BE5SM3G7255453</v>
          </cell>
          <cell r="B167">
            <v>2016</v>
          </cell>
          <cell r="C167" t="str">
            <v>CHEVROLET</v>
          </cell>
          <cell r="D167" t="str">
            <v>CRUZE</v>
          </cell>
          <cell r="E167">
            <v>106403</v>
          </cell>
          <cell r="F167" t="str">
            <v>Grade 2.1</v>
          </cell>
          <cell r="G167" t="str">
            <v>Inoperable</v>
          </cell>
          <cell r="H167" t="str">
            <v>No</v>
          </cell>
          <cell r="I167" t="str">
            <v>Yes</v>
          </cell>
          <cell r="J167">
            <v>45300</v>
          </cell>
          <cell r="K167" t="str">
            <v>Yes</v>
          </cell>
          <cell r="L167">
            <v>43612</v>
          </cell>
          <cell r="M167">
            <v>264</v>
          </cell>
          <cell r="N167">
            <v>314</v>
          </cell>
          <cell r="O167">
            <v>3778.746337890625</v>
          </cell>
          <cell r="P167">
            <v>9217.7969063198052</v>
          </cell>
          <cell r="Q167">
            <v>3664.77294921875</v>
          </cell>
        </row>
        <row r="168">
          <cell r="A168" t="str">
            <v>1G1JC6SH4E4236418</v>
          </cell>
          <cell r="B168">
            <v>2014</v>
          </cell>
          <cell r="C168" t="str">
            <v>CHEVROLET</v>
          </cell>
          <cell r="D168" t="str">
            <v>SONIC</v>
          </cell>
          <cell r="E168">
            <v>84494</v>
          </cell>
          <cell r="F168" t="str">
            <v>Grade 4.2</v>
          </cell>
          <cell r="G168" t="str">
            <v>Certified</v>
          </cell>
          <cell r="H168" t="str">
            <v>Yes</v>
          </cell>
          <cell r="I168" t="str">
            <v>No</v>
          </cell>
          <cell r="J168">
            <v>45356</v>
          </cell>
          <cell r="K168" t="str">
            <v>Yes</v>
          </cell>
          <cell r="L168">
            <v>43612</v>
          </cell>
          <cell r="M168">
            <v>264</v>
          </cell>
          <cell r="N168">
            <v>314</v>
          </cell>
          <cell r="O168">
            <v>8996.37890625</v>
          </cell>
          <cell r="P168">
            <v>10246.4898916574</v>
          </cell>
          <cell r="Q168">
            <v>9124.287109375</v>
          </cell>
        </row>
        <row r="169">
          <cell r="A169" t="str">
            <v>1G1JD5SH5J4100915</v>
          </cell>
          <cell r="B169">
            <v>2018</v>
          </cell>
          <cell r="C169" t="str">
            <v>CHEVROLET</v>
          </cell>
          <cell r="D169" t="str">
            <v>SONIC</v>
          </cell>
          <cell r="E169">
            <v>143837</v>
          </cell>
          <cell r="F169" t="str">
            <v>Grade 2.9</v>
          </cell>
          <cell r="G169" t="str">
            <v>Red Light</v>
          </cell>
          <cell r="H169" t="str">
            <v>No</v>
          </cell>
          <cell r="I169" t="str">
            <v>Yes</v>
          </cell>
          <cell r="J169">
            <v>45720</v>
          </cell>
          <cell r="K169" t="str">
            <v>Yes</v>
          </cell>
          <cell r="L169">
            <v>43612</v>
          </cell>
          <cell r="M169">
            <v>264</v>
          </cell>
          <cell r="N169">
            <v>314</v>
          </cell>
          <cell r="O169">
            <v>3468.115234375</v>
          </cell>
          <cell r="P169">
            <v>9450.0687752866725</v>
          </cell>
          <cell r="Q169">
            <v>3523.06982421875</v>
          </cell>
        </row>
        <row r="170">
          <cell r="A170" t="str">
            <v>1G1PA5SH1F7234569</v>
          </cell>
          <cell r="B170">
            <v>2015</v>
          </cell>
          <cell r="C170" t="str">
            <v>CHEVROLET</v>
          </cell>
          <cell r="D170" t="str">
            <v>CRUZE</v>
          </cell>
          <cell r="E170">
            <v>91450</v>
          </cell>
          <cell r="F170" t="str">
            <v>Grade 3.3</v>
          </cell>
          <cell r="G170" t="str">
            <v>Red Light</v>
          </cell>
          <cell r="H170" t="str">
            <v>No</v>
          </cell>
          <cell r="I170" t="str">
            <v>Yes</v>
          </cell>
          <cell r="J170">
            <v>45720</v>
          </cell>
          <cell r="K170" t="str">
            <v>Yes</v>
          </cell>
          <cell r="L170">
            <v>43612</v>
          </cell>
          <cell r="M170">
            <v>264</v>
          </cell>
          <cell r="N170">
            <v>314</v>
          </cell>
          <cell r="O170">
            <v>7542.73828125</v>
          </cell>
          <cell r="P170">
            <v>9542.7479080950707</v>
          </cell>
          <cell r="Q170">
            <v>7711.3330078125</v>
          </cell>
        </row>
        <row r="171">
          <cell r="A171" t="str">
            <v>1G1PC5SB5D7238126</v>
          </cell>
          <cell r="B171">
            <v>2013</v>
          </cell>
          <cell r="C171" t="str">
            <v>CHEVROLET</v>
          </cell>
          <cell r="D171" t="str">
            <v>CRUZE</v>
          </cell>
          <cell r="E171">
            <v>103937</v>
          </cell>
          <cell r="F171" t="str">
            <v>Grade 2.6</v>
          </cell>
          <cell r="G171" t="str">
            <v>Green Light</v>
          </cell>
          <cell r="H171" t="str">
            <v>Yes</v>
          </cell>
          <cell r="I171" t="str">
            <v>No</v>
          </cell>
          <cell r="J171">
            <v>45300</v>
          </cell>
          <cell r="K171" t="str">
            <v>Yes</v>
          </cell>
          <cell r="L171">
            <v>43612</v>
          </cell>
          <cell r="M171">
            <v>264</v>
          </cell>
          <cell r="N171">
            <v>314</v>
          </cell>
          <cell r="O171">
            <v>2725.303955078125</v>
          </cell>
          <cell r="P171">
            <v>9315.6934645407509</v>
          </cell>
          <cell r="Q171">
            <v>2556.26416015625</v>
          </cell>
        </row>
        <row r="172">
          <cell r="A172" t="str">
            <v>1G1PE5SB0E7474694</v>
          </cell>
          <cell r="B172">
            <v>2014</v>
          </cell>
          <cell r="C172" t="str">
            <v>CHEVROLET</v>
          </cell>
          <cell r="D172" t="str">
            <v>CRUZE</v>
          </cell>
          <cell r="E172">
            <v>99033</v>
          </cell>
          <cell r="F172" t="str">
            <v>Grade 4.3</v>
          </cell>
          <cell r="G172" t="str">
            <v>Green/Yellow</v>
          </cell>
          <cell r="H172" t="str">
            <v>Yes</v>
          </cell>
          <cell r="I172" t="str">
            <v>No</v>
          </cell>
          <cell r="J172">
            <v>45300</v>
          </cell>
          <cell r="K172" t="str">
            <v>Yes</v>
          </cell>
          <cell r="L172">
            <v>43612</v>
          </cell>
          <cell r="M172">
            <v>264</v>
          </cell>
          <cell r="N172">
            <v>314</v>
          </cell>
          <cell r="O172">
            <v>8200.255859375</v>
          </cell>
          <cell r="P172">
            <v>10237.15498416027</v>
          </cell>
          <cell r="Q172">
            <v>8093.9970703125</v>
          </cell>
        </row>
        <row r="173">
          <cell r="A173" t="str">
            <v>1G1PE5SB2E7338101</v>
          </cell>
          <cell r="B173">
            <v>2014</v>
          </cell>
          <cell r="C173" t="str">
            <v>CHEVROLET</v>
          </cell>
          <cell r="D173" t="str">
            <v>CRUZE</v>
          </cell>
          <cell r="E173">
            <v>78945</v>
          </cell>
          <cell r="F173" t="str">
            <v>Grade 3.5</v>
          </cell>
          <cell r="G173" t="str">
            <v>Green Light</v>
          </cell>
          <cell r="H173" t="str">
            <v>Yes</v>
          </cell>
          <cell r="I173" t="str">
            <v>No</v>
          </cell>
          <cell r="J173">
            <v>45622</v>
          </cell>
          <cell r="K173" t="str">
            <v>Yes</v>
          </cell>
          <cell r="L173">
            <v>43612</v>
          </cell>
          <cell r="M173">
            <v>264</v>
          </cell>
          <cell r="N173">
            <v>314</v>
          </cell>
          <cell r="O173">
            <v>7416.6748046875</v>
          </cell>
          <cell r="P173">
            <v>9500.8485271811642</v>
          </cell>
          <cell r="Q173">
            <v>7443.03955078125</v>
          </cell>
        </row>
        <row r="174">
          <cell r="A174" t="str">
            <v>1G1PE5SB2E7397326</v>
          </cell>
          <cell r="B174">
            <v>2014</v>
          </cell>
          <cell r="C174" t="str">
            <v>CHEVROLET</v>
          </cell>
          <cell r="D174" t="str">
            <v>CRUZE</v>
          </cell>
          <cell r="E174">
            <v>119388</v>
          </cell>
          <cell r="F174" t="str">
            <v>Grade 1.3</v>
          </cell>
          <cell r="G174" t="str">
            <v>Red Light</v>
          </cell>
          <cell r="H174" t="str">
            <v>No</v>
          </cell>
          <cell r="I174" t="str">
            <v>Yes</v>
          </cell>
          <cell r="J174">
            <v>45720</v>
          </cell>
          <cell r="K174" t="str">
            <v>Yes</v>
          </cell>
          <cell r="L174">
            <v>43612</v>
          </cell>
          <cell r="M174">
            <v>264</v>
          </cell>
          <cell r="N174">
            <v>314</v>
          </cell>
          <cell r="O174">
            <v>1992.213623046875</v>
          </cell>
          <cell r="P174">
            <v>9243.3362929507039</v>
          </cell>
          <cell r="Q174">
            <v>1951.93798828125</v>
          </cell>
        </row>
        <row r="175">
          <cell r="A175" t="str">
            <v>1G1PF5SC5C7193946</v>
          </cell>
          <cell r="B175">
            <v>2012</v>
          </cell>
          <cell r="C175" t="str">
            <v>CHEVROLET</v>
          </cell>
          <cell r="D175" t="str">
            <v>CRUZE</v>
          </cell>
          <cell r="E175">
            <v>123765</v>
          </cell>
          <cell r="F175" t="str">
            <v>Grade 1.3</v>
          </cell>
          <cell r="G175" t="str">
            <v>Red Light</v>
          </cell>
          <cell r="H175" t="str">
            <v>No</v>
          </cell>
          <cell r="I175" t="str">
            <v>Yes</v>
          </cell>
          <cell r="J175">
            <v>45678</v>
          </cell>
          <cell r="K175" t="str">
            <v>Yes</v>
          </cell>
          <cell r="L175">
            <v>43612</v>
          </cell>
          <cell r="M175">
            <v>264</v>
          </cell>
          <cell r="N175">
            <v>314</v>
          </cell>
          <cell r="O175">
            <v>1485.834838867188</v>
          </cell>
          <cell r="P175">
            <v>9204.25253360235</v>
          </cell>
          <cell r="Q175">
            <v>1402.618408203125</v>
          </cell>
        </row>
        <row r="176">
          <cell r="A176" t="str">
            <v>1G1ZD5ST3KF153948</v>
          </cell>
          <cell r="B176">
            <v>2019</v>
          </cell>
          <cell r="C176" t="str">
            <v>CHEVROLET</v>
          </cell>
          <cell r="D176" t="str">
            <v>MALIBU</v>
          </cell>
          <cell r="E176">
            <v>111803</v>
          </cell>
          <cell r="F176" t="str">
            <v>Grade 3.7</v>
          </cell>
          <cell r="G176" t="str">
            <v>Certified</v>
          </cell>
          <cell r="H176" t="str">
            <v>Yes</v>
          </cell>
          <cell r="I176" t="str">
            <v>No</v>
          </cell>
          <cell r="J176">
            <v>45720</v>
          </cell>
          <cell r="K176" t="str">
            <v>Yes</v>
          </cell>
          <cell r="L176">
            <v>43612</v>
          </cell>
          <cell r="M176">
            <v>264</v>
          </cell>
          <cell r="N176">
            <v>314</v>
          </cell>
          <cell r="O176">
            <v>6290.05029296875</v>
          </cell>
          <cell r="P176">
            <v>10337.358303016221</v>
          </cell>
          <cell r="Q176">
            <v>6071.4033203125</v>
          </cell>
        </row>
        <row r="177">
          <cell r="A177" t="str">
            <v>1G1ZE5ST2GF337976</v>
          </cell>
          <cell r="B177">
            <v>2016</v>
          </cell>
          <cell r="C177" t="str">
            <v>CHEVROLET</v>
          </cell>
          <cell r="D177" t="str">
            <v>MALIBU</v>
          </cell>
          <cell r="E177">
            <v>95990</v>
          </cell>
          <cell r="F177" t="str">
            <v>Grade 3.6</v>
          </cell>
          <cell r="G177" t="str">
            <v>Green Light</v>
          </cell>
          <cell r="H177" t="str">
            <v>Yes</v>
          </cell>
          <cell r="I177" t="str">
            <v>No</v>
          </cell>
          <cell r="J177">
            <v>45356</v>
          </cell>
          <cell r="K177" t="str">
            <v>Yes</v>
          </cell>
          <cell r="L177">
            <v>43612</v>
          </cell>
          <cell r="M177">
            <v>264</v>
          </cell>
          <cell r="N177">
            <v>314</v>
          </cell>
          <cell r="O177">
            <v>7481.0517578125</v>
          </cell>
          <cell r="P177">
            <v>10373.963506725449</v>
          </cell>
          <cell r="Q177">
            <v>7249.17626953125</v>
          </cell>
        </row>
        <row r="178">
          <cell r="A178" t="str">
            <v>1G1ZE5ST6GF199519</v>
          </cell>
          <cell r="B178">
            <v>2016</v>
          </cell>
          <cell r="C178" t="str">
            <v>CHEVROLET</v>
          </cell>
          <cell r="D178" t="str">
            <v>MALIBU</v>
          </cell>
          <cell r="E178">
            <v>119490</v>
          </cell>
          <cell r="F178" t="str">
            <v>Grade 2.2</v>
          </cell>
          <cell r="G178" t="str">
            <v>Green/Yellow</v>
          </cell>
          <cell r="H178" t="str">
            <v>Yes</v>
          </cell>
          <cell r="I178" t="str">
            <v>No</v>
          </cell>
          <cell r="J178">
            <v>45356</v>
          </cell>
          <cell r="K178" t="str">
            <v>Yes</v>
          </cell>
          <cell r="L178">
            <v>43612</v>
          </cell>
          <cell r="M178">
            <v>264</v>
          </cell>
          <cell r="N178">
            <v>314</v>
          </cell>
          <cell r="O178">
            <v>2517.578369140625</v>
          </cell>
          <cell r="P178">
            <v>9245.3527199613636</v>
          </cell>
          <cell r="Q178">
            <v>2374.109375</v>
          </cell>
        </row>
        <row r="179">
          <cell r="A179" t="str">
            <v>1G1ZE5STXHF137879</v>
          </cell>
          <cell r="B179">
            <v>2017</v>
          </cell>
          <cell r="C179" t="str">
            <v>CHEVROLET</v>
          </cell>
          <cell r="D179" t="str">
            <v>MALIBU</v>
          </cell>
          <cell r="E179">
            <v>86912</v>
          </cell>
          <cell r="F179" t="str">
            <v>Grade 2.8</v>
          </cell>
          <cell r="G179" t="str">
            <v>Green Light</v>
          </cell>
          <cell r="H179" t="str">
            <v>Yes</v>
          </cell>
          <cell r="I179" t="str">
            <v>No</v>
          </cell>
          <cell r="J179">
            <v>45356</v>
          </cell>
          <cell r="K179" t="str">
            <v>Yes</v>
          </cell>
          <cell r="L179">
            <v>43612</v>
          </cell>
          <cell r="M179">
            <v>264</v>
          </cell>
          <cell r="N179">
            <v>314</v>
          </cell>
          <cell r="O179">
            <v>4467.24560546875</v>
          </cell>
          <cell r="P179">
            <v>9535.4329557301498</v>
          </cell>
          <cell r="Q179">
            <v>4499.12060546875</v>
          </cell>
        </row>
        <row r="180">
          <cell r="A180" t="str">
            <v>1G4PP5SK7C4195223</v>
          </cell>
          <cell r="B180">
            <v>2012</v>
          </cell>
          <cell r="C180" t="str">
            <v>BUICK</v>
          </cell>
          <cell r="D180" t="str">
            <v>VERANO</v>
          </cell>
          <cell r="E180">
            <v>129700</v>
          </cell>
          <cell r="F180" t="str">
            <v>Grade 1.4</v>
          </cell>
          <cell r="G180" t="str">
            <v>Red Light</v>
          </cell>
          <cell r="H180" t="str">
            <v>No</v>
          </cell>
          <cell r="I180" t="str">
            <v>Yes</v>
          </cell>
          <cell r="J180">
            <v>45638</v>
          </cell>
          <cell r="K180" t="str">
            <v>Yes</v>
          </cell>
          <cell r="L180">
            <v>43612</v>
          </cell>
          <cell r="M180">
            <v>264</v>
          </cell>
          <cell r="N180">
            <v>314</v>
          </cell>
          <cell r="O180">
            <v>945.7838134765625</v>
          </cell>
          <cell r="P180">
            <v>9001.7853457319325</v>
          </cell>
          <cell r="Q180">
            <v>1083.871215820312</v>
          </cell>
        </row>
        <row r="181">
          <cell r="A181" t="str">
            <v>1GCGSBEA1F1261825</v>
          </cell>
          <cell r="B181">
            <v>2015</v>
          </cell>
          <cell r="C181" t="str">
            <v>CHEVROLET</v>
          </cell>
          <cell r="D181" t="str">
            <v>COLORADO</v>
          </cell>
          <cell r="E181">
            <v>80125</v>
          </cell>
          <cell r="F181" t="str">
            <v>Grade 3.3</v>
          </cell>
          <cell r="G181" t="str">
            <v>Green Light</v>
          </cell>
          <cell r="H181" t="str">
            <v>Yes</v>
          </cell>
          <cell r="I181" t="str">
            <v>No</v>
          </cell>
          <cell r="J181">
            <v>45566</v>
          </cell>
          <cell r="K181" t="str">
            <v>Yes</v>
          </cell>
          <cell r="L181">
            <v>43612</v>
          </cell>
          <cell r="M181">
            <v>264</v>
          </cell>
          <cell r="N181">
            <v>314</v>
          </cell>
          <cell r="O181">
            <v>8851.517578125</v>
          </cell>
          <cell r="P181">
            <v>9779.204672538086</v>
          </cell>
          <cell r="Q181">
            <v>8951.8310546875</v>
          </cell>
        </row>
        <row r="182">
          <cell r="A182" t="str">
            <v>1GCGTDE33G1394064</v>
          </cell>
          <cell r="B182">
            <v>2016</v>
          </cell>
          <cell r="C182" t="str">
            <v>CHEVROLET</v>
          </cell>
          <cell r="D182" t="str">
            <v>COLORADO</v>
          </cell>
          <cell r="E182">
            <v>128349</v>
          </cell>
          <cell r="F182" t="str">
            <v>Grade 3.2</v>
          </cell>
          <cell r="G182" t="str">
            <v>Green Light</v>
          </cell>
          <cell r="H182" t="str">
            <v>Yes</v>
          </cell>
          <cell r="I182" t="str">
            <v>No</v>
          </cell>
          <cell r="J182">
            <v>45720</v>
          </cell>
          <cell r="K182" t="str">
            <v>Yes</v>
          </cell>
          <cell r="L182">
            <v>43612</v>
          </cell>
          <cell r="M182">
            <v>264</v>
          </cell>
          <cell r="N182">
            <v>314</v>
          </cell>
          <cell r="O182">
            <v>5735.1416015625</v>
          </cell>
          <cell r="P182">
            <v>9597.0651520954016</v>
          </cell>
          <cell r="Q182">
            <v>5812.43994140625</v>
          </cell>
        </row>
        <row r="183">
          <cell r="A183" t="str">
            <v>1GKKVNED7FJ116631</v>
          </cell>
          <cell r="B183">
            <v>2015</v>
          </cell>
          <cell r="C183" t="str">
            <v>GMC TRUCK</v>
          </cell>
          <cell r="D183" t="str">
            <v>ACADIA AWD</v>
          </cell>
          <cell r="E183">
            <v>172088</v>
          </cell>
          <cell r="F183" t="str">
            <v>Grade 3.6</v>
          </cell>
          <cell r="G183" t="str">
            <v>Red Light</v>
          </cell>
          <cell r="H183" t="str">
            <v>No</v>
          </cell>
          <cell r="I183" t="str">
            <v>Yes</v>
          </cell>
          <cell r="J183">
            <v>45547</v>
          </cell>
          <cell r="K183" t="str">
            <v>Yes</v>
          </cell>
          <cell r="L183">
            <v>43612</v>
          </cell>
          <cell r="M183">
            <v>264</v>
          </cell>
          <cell r="N183">
            <v>314</v>
          </cell>
          <cell r="O183">
            <v>5082.5615234375</v>
          </cell>
          <cell r="P183">
            <v>10046.769993077591</v>
          </cell>
          <cell r="Q183">
            <v>4907.38232421875</v>
          </cell>
        </row>
        <row r="184">
          <cell r="A184" t="str">
            <v>1GNKRFED0FJ124258</v>
          </cell>
          <cell r="B184">
            <v>2015</v>
          </cell>
          <cell r="C184" t="str">
            <v>CHEVROLET</v>
          </cell>
          <cell r="D184" t="str">
            <v>TRAVERSE FWD</v>
          </cell>
          <cell r="E184">
            <v>137443</v>
          </cell>
          <cell r="F184" t="str">
            <v>Grade 1.0</v>
          </cell>
          <cell r="G184" t="str">
            <v>Salvage</v>
          </cell>
          <cell r="H184" t="str">
            <v>No</v>
          </cell>
          <cell r="I184" t="str">
            <v>Yes</v>
          </cell>
          <cell r="J184">
            <v>45302</v>
          </cell>
          <cell r="K184" t="str">
            <v>Yes</v>
          </cell>
          <cell r="L184">
            <v>43612</v>
          </cell>
          <cell r="M184">
            <v>264</v>
          </cell>
          <cell r="N184">
            <v>314</v>
          </cell>
          <cell r="O184">
            <v>2366.679931640625</v>
          </cell>
          <cell r="P184">
            <v>9313.1581902552316</v>
          </cell>
          <cell r="Q184">
            <v>2271.3232421875</v>
          </cell>
        </row>
        <row r="185">
          <cell r="A185" t="str">
            <v>1GNKVHKD2GJ341887</v>
          </cell>
          <cell r="B185">
            <v>2016</v>
          </cell>
          <cell r="C185" t="str">
            <v>CHEVROLET</v>
          </cell>
          <cell r="D185" t="str">
            <v>TRAVERSE AWD</v>
          </cell>
          <cell r="E185">
            <v>130011</v>
          </cell>
          <cell r="F185" t="str">
            <v>Grade 4.5</v>
          </cell>
          <cell r="G185" t="str">
            <v>Green Light</v>
          </cell>
          <cell r="H185" t="str">
            <v>Yes</v>
          </cell>
          <cell r="I185" t="str">
            <v>No</v>
          </cell>
          <cell r="J185">
            <v>45722</v>
          </cell>
          <cell r="K185" t="str">
            <v>Yes</v>
          </cell>
          <cell r="L185">
            <v>43612</v>
          </cell>
          <cell r="M185">
            <v>264</v>
          </cell>
          <cell r="N185">
            <v>314</v>
          </cell>
          <cell r="O185">
            <v>7301.841796875</v>
          </cell>
          <cell r="P185">
            <v>10258.563271611511</v>
          </cell>
          <cell r="Q185">
            <v>7099.1279296875</v>
          </cell>
        </row>
        <row r="186">
          <cell r="A186" t="str">
            <v>1GYS4CEFXER115343</v>
          </cell>
          <cell r="B186">
            <v>2014</v>
          </cell>
          <cell r="C186" t="str">
            <v>CADILLAC</v>
          </cell>
          <cell r="D186" t="str">
            <v>ESCALADE</v>
          </cell>
          <cell r="E186">
            <v>92854</v>
          </cell>
          <cell r="F186" t="str">
            <v>Grade 4.1</v>
          </cell>
          <cell r="G186" t="str">
            <v>Certified</v>
          </cell>
          <cell r="H186" t="str">
            <v>Yes</v>
          </cell>
          <cell r="I186" t="str">
            <v>No</v>
          </cell>
          <cell r="J186">
            <v>45692</v>
          </cell>
          <cell r="K186" t="str">
            <v>Yes</v>
          </cell>
          <cell r="L186">
            <v>43612</v>
          </cell>
          <cell r="M186">
            <v>264</v>
          </cell>
          <cell r="N186">
            <v>314</v>
          </cell>
          <cell r="O186">
            <v>9859.4599609375</v>
          </cell>
          <cell r="P186">
            <v>12791.23555918987</v>
          </cell>
          <cell r="Q186">
            <v>9891.29296875</v>
          </cell>
        </row>
        <row r="187">
          <cell r="A187" t="str">
            <v>1HGCR2F36GA193874</v>
          </cell>
          <cell r="B187">
            <v>2016</v>
          </cell>
          <cell r="C187" t="str">
            <v>HONDA</v>
          </cell>
          <cell r="D187" t="str">
            <v>ACCORD</v>
          </cell>
          <cell r="E187">
            <v>73757</v>
          </cell>
          <cell r="F187" t="str">
            <v>Grade 3.7</v>
          </cell>
          <cell r="G187" t="str">
            <v>Green Light</v>
          </cell>
          <cell r="H187" t="str">
            <v>Yes</v>
          </cell>
          <cell r="I187" t="str">
            <v>No</v>
          </cell>
          <cell r="J187">
            <v>45692</v>
          </cell>
          <cell r="K187" t="str">
            <v>Yes</v>
          </cell>
          <cell r="L187">
            <v>43612</v>
          </cell>
          <cell r="M187">
            <v>264</v>
          </cell>
          <cell r="N187">
            <v>314</v>
          </cell>
          <cell r="O187">
            <v>11043.1044921875</v>
          </cell>
          <cell r="P187">
            <v>10045.966134095281</v>
          </cell>
          <cell r="Q187">
            <v>11175.064453125</v>
          </cell>
        </row>
        <row r="188">
          <cell r="A188" t="str">
            <v>1LNHL9ER3AG603647</v>
          </cell>
          <cell r="B188">
            <v>2010</v>
          </cell>
          <cell r="C188" t="str">
            <v>LINCOLN</v>
          </cell>
          <cell r="D188" t="str">
            <v>MKS</v>
          </cell>
          <cell r="E188">
            <v>125485</v>
          </cell>
          <cell r="F188" t="str">
            <v>Grade 2.2</v>
          </cell>
          <cell r="G188" t="str">
            <v>Inoperable</v>
          </cell>
          <cell r="H188" t="str">
            <v>No</v>
          </cell>
          <cell r="I188" t="str">
            <v>Yes</v>
          </cell>
          <cell r="J188">
            <v>45720</v>
          </cell>
          <cell r="K188" t="str">
            <v>Yes</v>
          </cell>
          <cell r="L188">
            <v>43612</v>
          </cell>
          <cell r="M188">
            <v>264</v>
          </cell>
          <cell r="N188">
            <v>314</v>
          </cell>
          <cell r="O188">
            <v>1708.197631835938</v>
          </cell>
          <cell r="P188">
            <v>8955.9777930396594</v>
          </cell>
          <cell r="Q188">
            <v>1672.987060546875</v>
          </cell>
        </row>
        <row r="189">
          <cell r="A189" t="str">
            <v>2C3CDXBG7NH235278</v>
          </cell>
          <cell r="B189">
            <v>2022</v>
          </cell>
          <cell r="C189" t="str">
            <v>DODGE</v>
          </cell>
          <cell r="D189" t="str">
            <v>CHARGER 4X2 V6</v>
          </cell>
          <cell r="E189">
            <v>48988</v>
          </cell>
          <cell r="F189" t="str">
            <v>Grade 1.9</v>
          </cell>
          <cell r="G189" t="str">
            <v>Green/Yellow</v>
          </cell>
          <cell r="H189" t="str">
            <v>Yes</v>
          </cell>
          <cell r="I189" t="str">
            <v>No</v>
          </cell>
          <cell r="J189">
            <v>45715</v>
          </cell>
          <cell r="K189" t="str">
            <v>Yes</v>
          </cell>
          <cell r="L189">
            <v>43612</v>
          </cell>
          <cell r="M189">
            <v>264</v>
          </cell>
          <cell r="N189">
            <v>314</v>
          </cell>
          <cell r="O189">
            <v>13064.638671875</v>
          </cell>
          <cell r="P189">
            <v>13741.069681886331</v>
          </cell>
          <cell r="Q189">
            <v>13102.1240234375</v>
          </cell>
        </row>
        <row r="190">
          <cell r="A190" t="str">
            <v>2C3CDZAG6GH162713</v>
          </cell>
          <cell r="B190">
            <v>2016</v>
          </cell>
          <cell r="C190" t="str">
            <v>DODGE</v>
          </cell>
          <cell r="D190" t="str">
            <v>CHALLENGER</v>
          </cell>
          <cell r="E190">
            <v>112121</v>
          </cell>
          <cell r="F190" t="str">
            <v>Grade 4.5</v>
          </cell>
          <cell r="G190" t="str">
            <v>Certified</v>
          </cell>
          <cell r="H190" t="str">
            <v>Yes</v>
          </cell>
          <cell r="I190" t="str">
            <v>No</v>
          </cell>
          <cell r="J190">
            <v>45370</v>
          </cell>
          <cell r="K190" t="str">
            <v>Yes</v>
          </cell>
          <cell r="L190">
            <v>43612</v>
          </cell>
          <cell r="M190">
            <v>264</v>
          </cell>
          <cell r="N190">
            <v>314</v>
          </cell>
          <cell r="O190">
            <v>8836.302734375</v>
          </cell>
          <cell r="P190">
            <v>10977.11929593364</v>
          </cell>
          <cell r="Q190">
            <v>8762.33984375</v>
          </cell>
        </row>
        <row r="191">
          <cell r="A191" t="str">
            <v>2C4RDGBG5GR237355</v>
          </cell>
          <cell r="B191">
            <v>2016</v>
          </cell>
          <cell r="C191" t="str">
            <v>DODGE</v>
          </cell>
          <cell r="D191" t="str">
            <v>GRAND CARAVAN</v>
          </cell>
          <cell r="E191">
            <v>126161</v>
          </cell>
          <cell r="F191" t="str">
            <v>Grade 1.3</v>
          </cell>
          <cell r="G191" t="str">
            <v>Red Light</v>
          </cell>
          <cell r="H191" t="str">
            <v>No</v>
          </cell>
          <cell r="I191" t="str">
            <v>Yes</v>
          </cell>
          <cell r="J191">
            <v>45594</v>
          </cell>
          <cell r="K191" t="str">
            <v>Yes</v>
          </cell>
          <cell r="L191">
            <v>43612</v>
          </cell>
          <cell r="M191">
            <v>264</v>
          </cell>
          <cell r="N191">
            <v>314</v>
          </cell>
          <cell r="O191">
            <v>2764.3515625</v>
          </cell>
          <cell r="P191">
            <v>8915.0024874500687</v>
          </cell>
          <cell r="Q191">
            <v>2601.28369140625</v>
          </cell>
        </row>
        <row r="192">
          <cell r="A192" t="str">
            <v>2C4RDGBG6JR153035</v>
          </cell>
          <cell r="B192">
            <v>2018</v>
          </cell>
          <cell r="C192" t="str">
            <v>DODGE</v>
          </cell>
          <cell r="D192" t="str">
            <v>GRAND CARAVAN</v>
          </cell>
          <cell r="E192">
            <v>92401</v>
          </cell>
          <cell r="F192" t="str">
            <v>Grade 3.1</v>
          </cell>
          <cell r="G192" t="str">
            <v>Green Light</v>
          </cell>
          <cell r="H192" t="str">
            <v>Yes</v>
          </cell>
          <cell r="I192" t="str">
            <v>No</v>
          </cell>
          <cell r="J192">
            <v>45454</v>
          </cell>
          <cell r="K192" t="str">
            <v>Yes</v>
          </cell>
          <cell r="L192">
            <v>43612</v>
          </cell>
          <cell r="M192">
            <v>264</v>
          </cell>
          <cell r="N192">
            <v>314</v>
          </cell>
          <cell r="O192">
            <v>11595.2734375</v>
          </cell>
          <cell r="P192">
            <v>9292.2063624947295</v>
          </cell>
          <cell r="Q192">
            <v>11605.4619140625</v>
          </cell>
        </row>
        <row r="193">
          <cell r="A193" t="str">
            <v>2C4RDGCG9JR268128</v>
          </cell>
          <cell r="B193">
            <v>2018</v>
          </cell>
          <cell r="C193" t="str">
            <v>DODGE</v>
          </cell>
          <cell r="D193" t="str">
            <v>GRAND CARAVAN</v>
          </cell>
          <cell r="E193">
            <v>89453</v>
          </cell>
          <cell r="F193" t="str">
            <v>Grade 2.6</v>
          </cell>
          <cell r="G193" t="str">
            <v>Green Light</v>
          </cell>
          <cell r="H193" t="str">
            <v>Yes</v>
          </cell>
          <cell r="I193" t="str">
            <v>No</v>
          </cell>
          <cell r="J193">
            <v>45720</v>
          </cell>
          <cell r="K193" t="str">
            <v>Yes</v>
          </cell>
          <cell r="L193">
            <v>43612</v>
          </cell>
          <cell r="M193">
            <v>264</v>
          </cell>
          <cell r="N193">
            <v>314</v>
          </cell>
          <cell r="O193">
            <v>5946.94140625</v>
          </cell>
          <cell r="P193">
            <v>9302.5670548164162</v>
          </cell>
          <cell r="Q193">
            <v>6037.7666015625</v>
          </cell>
        </row>
        <row r="194">
          <cell r="A194" t="str">
            <v>2C4RDGEG5HR791878</v>
          </cell>
          <cell r="B194">
            <v>2017</v>
          </cell>
          <cell r="C194" t="str">
            <v>DODGE</v>
          </cell>
          <cell r="D194" t="str">
            <v>GRAND CARAVAN</v>
          </cell>
          <cell r="E194">
            <v>145115</v>
          </cell>
          <cell r="F194" t="str">
            <v>Grade 2.2</v>
          </cell>
          <cell r="G194" t="str">
            <v>Green/Yellow</v>
          </cell>
          <cell r="H194" t="str">
            <v>Yes</v>
          </cell>
          <cell r="I194" t="str">
            <v>No</v>
          </cell>
          <cell r="J194">
            <v>45384</v>
          </cell>
          <cell r="K194" t="str">
            <v>Yes</v>
          </cell>
          <cell r="L194">
            <v>43612</v>
          </cell>
          <cell r="M194">
            <v>264</v>
          </cell>
          <cell r="N194">
            <v>314</v>
          </cell>
          <cell r="O194">
            <v>3642.1142578125</v>
          </cell>
          <cell r="P194">
            <v>8858.8133885372408</v>
          </cell>
          <cell r="Q194">
            <v>3497.13818359375</v>
          </cell>
        </row>
        <row r="195">
          <cell r="A195" t="str">
            <v>2C4RDGEGXKR631194</v>
          </cell>
          <cell r="B195">
            <v>2019</v>
          </cell>
          <cell r="C195" t="str">
            <v>DODGE</v>
          </cell>
          <cell r="D195" t="str">
            <v>GRAND CARAVAN</v>
          </cell>
          <cell r="E195">
            <v>114459</v>
          </cell>
          <cell r="F195" t="str">
            <v>Grade 4.5</v>
          </cell>
          <cell r="G195" t="str">
            <v>Certified</v>
          </cell>
          <cell r="H195" t="str">
            <v>Yes</v>
          </cell>
          <cell r="I195" t="str">
            <v>No</v>
          </cell>
          <cell r="J195">
            <v>45370</v>
          </cell>
          <cell r="K195" t="str">
            <v>Yes</v>
          </cell>
          <cell r="L195">
            <v>43612</v>
          </cell>
          <cell r="M195">
            <v>264</v>
          </cell>
          <cell r="N195">
            <v>314</v>
          </cell>
          <cell r="O195">
            <v>12173.1044921875</v>
          </cell>
          <cell r="P195">
            <v>9949.4078328496071</v>
          </cell>
          <cell r="Q195">
            <v>12452.2919921875</v>
          </cell>
        </row>
        <row r="196">
          <cell r="A196" t="str">
            <v>2FMGK5D8XDBD13014</v>
          </cell>
          <cell r="B196">
            <v>2013</v>
          </cell>
          <cell r="C196" t="str">
            <v>FORD</v>
          </cell>
          <cell r="D196" t="str">
            <v>FLEX</v>
          </cell>
          <cell r="E196">
            <v>159234</v>
          </cell>
          <cell r="F196" t="str">
            <v>Grade 1.9</v>
          </cell>
          <cell r="G196" t="str">
            <v>Green/Yellow</v>
          </cell>
          <cell r="H196" t="str">
            <v>Yes</v>
          </cell>
          <cell r="I196" t="str">
            <v>No</v>
          </cell>
          <cell r="J196">
            <v>45622</v>
          </cell>
          <cell r="K196" t="str">
            <v>Yes</v>
          </cell>
          <cell r="L196">
            <v>43612</v>
          </cell>
          <cell r="M196">
            <v>264</v>
          </cell>
          <cell r="N196">
            <v>314</v>
          </cell>
          <cell r="O196">
            <v>1419.934448242188</v>
          </cell>
          <cell r="P196">
            <v>9151.2188304827596</v>
          </cell>
          <cell r="Q196">
            <v>1380.25</v>
          </cell>
        </row>
        <row r="197">
          <cell r="A197" t="str">
            <v>2FMPK3J96LBA29511</v>
          </cell>
          <cell r="B197">
            <v>2020</v>
          </cell>
          <cell r="C197" t="str">
            <v>FORD</v>
          </cell>
          <cell r="D197" t="str">
            <v>EDGE FWD SUV</v>
          </cell>
          <cell r="E197">
            <v>73797</v>
          </cell>
          <cell r="F197" t="str">
            <v>Grade 2.7</v>
          </cell>
          <cell r="G197" t="str">
            <v>Red Light</v>
          </cell>
          <cell r="H197" t="str">
            <v>No</v>
          </cell>
          <cell r="I197" t="str">
            <v>Yes</v>
          </cell>
          <cell r="J197">
            <v>45673</v>
          </cell>
          <cell r="K197" t="str">
            <v>Yes</v>
          </cell>
          <cell r="L197">
            <v>43612</v>
          </cell>
          <cell r="M197">
            <v>264</v>
          </cell>
          <cell r="N197">
            <v>314</v>
          </cell>
          <cell r="O197">
            <v>7547.64306640625</v>
          </cell>
          <cell r="P197">
            <v>10885.43524687635</v>
          </cell>
          <cell r="Q197">
            <v>7330.1552734375</v>
          </cell>
        </row>
        <row r="198">
          <cell r="A198" t="str">
            <v>2GKALMEKXG6322941</v>
          </cell>
          <cell r="B198">
            <v>2016</v>
          </cell>
          <cell r="C198" t="str">
            <v>GMC</v>
          </cell>
          <cell r="D198" t="str">
            <v>TERRAIN</v>
          </cell>
          <cell r="E198">
            <v>124633</v>
          </cell>
          <cell r="F198" t="str">
            <v>Grade 1.3</v>
          </cell>
          <cell r="G198" t="str">
            <v>Red Light</v>
          </cell>
          <cell r="H198" t="str">
            <v>No</v>
          </cell>
          <cell r="I198" t="str">
            <v>Yes</v>
          </cell>
          <cell r="J198">
            <v>45594</v>
          </cell>
          <cell r="K198" t="str">
            <v>Yes</v>
          </cell>
          <cell r="L198">
            <v>43612</v>
          </cell>
          <cell r="M198">
            <v>264</v>
          </cell>
          <cell r="N198">
            <v>314</v>
          </cell>
          <cell r="O198">
            <v>3906.19482421875</v>
          </cell>
          <cell r="P198">
            <v>10052.41654262217</v>
          </cell>
          <cell r="Q198">
            <v>3809.173095703125</v>
          </cell>
        </row>
        <row r="199">
          <cell r="A199" t="str">
            <v>2GKALNEK3H6312064</v>
          </cell>
          <cell r="B199">
            <v>2017</v>
          </cell>
          <cell r="C199" t="str">
            <v>GMC</v>
          </cell>
          <cell r="D199" t="str">
            <v>TERRAIN</v>
          </cell>
          <cell r="E199">
            <v>77896</v>
          </cell>
          <cell r="F199" t="str">
            <v>Grade 1.6</v>
          </cell>
          <cell r="G199" t="str">
            <v>Inoperable</v>
          </cell>
          <cell r="H199" t="str">
            <v>No</v>
          </cell>
          <cell r="I199" t="str">
            <v>Yes</v>
          </cell>
          <cell r="J199">
            <v>45664</v>
          </cell>
          <cell r="K199" t="str">
            <v>Yes</v>
          </cell>
          <cell r="L199">
            <v>43612</v>
          </cell>
          <cell r="M199">
            <v>264</v>
          </cell>
          <cell r="N199">
            <v>314</v>
          </cell>
          <cell r="O199">
            <v>5704.93701171875</v>
          </cell>
          <cell r="P199">
            <v>10248.263877268861</v>
          </cell>
          <cell r="Q199">
            <v>5443.36279296875</v>
          </cell>
        </row>
        <row r="200">
          <cell r="A200" t="str">
            <v>2GKFLUE31H6136429</v>
          </cell>
          <cell r="B200">
            <v>2017</v>
          </cell>
          <cell r="C200" t="str">
            <v>GMC</v>
          </cell>
          <cell r="D200" t="str">
            <v>TERRAIN AWD V6</v>
          </cell>
          <cell r="E200">
            <v>115842</v>
          </cell>
          <cell r="F200" t="str">
            <v>Grade 1.6</v>
          </cell>
          <cell r="G200" t="str">
            <v>Green/Yellow</v>
          </cell>
          <cell r="H200" t="str">
            <v>Yes</v>
          </cell>
          <cell r="I200" t="str">
            <v>No</v>
          </cell>
          <cell r="J200">
            <v>45680</v>
          </cell>
          <cell r="K200" t="str">
            <v>Yes</v>
          </cell>
          <cell r="L200">
            <v>43612</v>
          </cell>
          <cell r="M200">
            <v>264</v>
          </cell>
          <cell r="N200">
            <v>314</v>
          </cell>
          <cell r="O200">
            <v>6188.2490234375</v>
          </cell>
          <cell r="P200">
            <v>10096.8340447965</v>
          </cell>
          <cell r="Q200">
            <v>6094.12841796875</v>
          </cell>
        </row>
        <row r="201">
          <cell r="A201" t="str">
            <v>2GKFLUEK6G6237598</v>
          </cell>
          <cell r="B201">
            <v>2016</v>
          </cell>
          <cell r="C201" t="str">
            <v>GMC TRUCK</v>
          </cell>
          <cell r="D201" t="str">
            <v>TERRAIN AWD 4C</v>
          </cell>
          <cell r="E201">
            <v>134202</v>
          </cell>
          <cell r="F201" t="str">
            <v>Grade 3.3</v>
          </cell>
          <cell r="G201" t="str">
            <v>Inoperable</v>
          </cell>
          <cell r="H201" t="str">
            <v>No</v>
          </cell>
          <cell r="I201" t="str">
            <v>Yes</v>
          </cell>
          <cell r="J201">
            <v>45421</v>
          </cell>
          <cell r="K201" t="str">
            <v>Yes</v>
          </cell>
          <cell r="L201">
            <v>43612</v>
          </cell>
          <cell r="M201">
            <v>264</v>
          </cell>
          <cell r="N201">
            <v>314</v>
          </cell>
          <cell r="O201">
            <v>6717.6875</v>
          </cell>
          <cell r="P201">
            <v>9301.6281984558755</v>
          </cell>
          <cell r="Q201">
            <v>6816.08837890625</v>
          </cell>
        </row>
        <row r="202">
          <cell r="A202" t="str">
            <v>2GNALBEK8H1602766</v>
          </cell>
          <cell r="B202">
            <v>2017</v>
          </cell>
          <cell r="C202" t="str">
            <v>CHEVROLET</v>
          </cell>
          <cell r="D202" t="str">
            <v>EQUINOX FWD 4C</v>
          </cell>
          <cell r="E202">
            <v>144401</v>
          </cell>
          <cell r="F202" t="str">
            <v>Grade 3.2</v>
          </cell>
          <cell r="G202" t="str">
            <v>Red Light</v>
          </cell>
          <cell r="H202" t="str">
            <v>No</v>
          </cell>
          <cell r="I202" t="str">
            <v>Yes</v>
          </cell>
          <cell r="J202">
            <v>45449</v>
          </cell>
          <cell r="K202" t="str">
            <v>Yes</v>
          </cell>
          <cell r="L202">
            <v>43612</v>
          </cell>
          <cell r="M202">
            <v>264</v>
          </cell>
          <cell r="N202">
            <v>314</v>
          </cell>
          <cell r="O202">
            <v>7159.095703125</v>
          </cell>
          <cell r="P202">
            <v>9438.1947608442915</v>
          </cell>
          <cell r="Q202">
            <v>7234.26318359375</v>
          </cell>
        </row>
        <row r="203">
          <cell r="A203" t="str">
            <v>2GNALBEK9H1501607</v>
          </cell>
          <cell r="B203">
            <v>2017</v>
          </cell>
          <cell r="C203" t="str">
            <v>CHEVROLET</v>
          </cell>
          <cell r="D203" t="str">
            <v>EQUINOX</v>
          </cell>
          <cell r="E203">
            <v>48466</v>
          </cell>
          <cell r="F203" t="str">
            <v>Grade 1.3</v>
          </cell>
          <cell r="G203" t="str">
            <v>Red Light</v>
          </cell>
          <cell r="H203" t="str">
            <v>No</v>
          </cell>
          <cell r="I203" t="str">
            <v>Yes</v>
          </cell>
          <cell r="J203">
            <v>45538</v>
          </cell>
          <cell r="K203" t="str">
            <v>Yes</v>
          </cell>
          <cell r="L203">
            <v>43612</v>
          </cell>
          <cell r="M203">
            <v>264</v>
          </cell>
          <cell r="N203">
            <v>314</v>
          </cell>
          <cell r="O203">
            <v>3954.761474609375</v>
          </cell>
          <cell r="P203">
            <v>11432.982003552461</v>
          </cell>
          <cell r="Q203">
            <v>3864.642333984375</v>
          </cell>
        </row>
        <row r="204">
          <cell r="A204" t="str">
            <v>2GNALCEK6H1606501</v>
          </cell>
          <cell r="B204">
            <v>2017</v>
          </cell>
          <cell r="C204" t="str">
            <v>CHEVROLET</v>
          </cell>
          <cell r="D204" t="str">
            <v>EQUINOX</v>
          </cell>
          <cell r="E204">
            <v>86896</v>
          </cell>
          <cell r="F204" t="str">
            <v>Grade 1.6</v>
          </cell>
          <cell r="G204" t="str">
            <v>Inoperable</v>
          </cell>
          <cell r="H204" t="str">
            <v>No</v>
          </cell>
          <cell r="I204" t="str">
            <v>Yes</v>
          </cell>
          <cell r="J204">
            <v>45482</v>
          </cell>
          <cell r="K204" t="str">
            <v>Yes</v>
          </cell>
          <cell r="L204">
            <v>43612</v>
          </cell>
          <cell r="M204">
            <v>264</v>
          </cell>
          <cell r="N204">
            <v>314</v>
          </cell>
          <cell r="O204">
            <v>3474.227294921875</v>
          </cell>
          <cell r="P204">
            <v>9471.5738211797725</v>
          </cell>
          <cell r="Q204">
            <v>3523.06982421875</v>
          </cell>
        </row>
        <row r="205">
          <cell r="A205" t="str">
            <v>2GNAXJEV0J6271120</v>
          </cell>
          <cell r="B205">
            <v>2018</v>
          </cell>
          <cell r="C205" t="str">
            <v>CHEVROLET</v>
          </cell>
          <cell r="D205" t="str">
            <v>EQUINOX FWD 4C</v>
          </cell>
          <cell r="E205">
            <v>119679</v>
          </cell>
          <cell r="F205" t="str">
            <v>Grade 2.9</v>
          </cell>
          <cell r="G205" t="str">
            <v>Green Light</v>
          </cell>
          <cell r="H205" t="str">
            <v>Yes</v>
          </cell>
          <cell r="I205" t="str">
            <v>No</v>
          </cell>
          <cell r="J205">
            <v>45729</v>
          </cell>
          <cell r="K205" t="str">
            <v>Yes</v>
          </cell>
          <cell r="L205">
            <v>43612</v>
          </cell>
          <cell r="M205">
            <v>264</v>
          </cell>
          <cell r="N205">
            <v>314</v>
          </cell>
          <cell r="O205">
            <v>4229.3642578125</v>
          </cell>
          <cell r="P205">
            <v>9562.0899408719943</v>
          </cell>
          <cell r="Q205">
            <v>4334.38916015625</v>
          </cell>
        </row>
        <row r="206">
          <cell r="A206" t="str">
            <v>2GNAXJEV1L6115364</v>
          </cell>
          <cell r="B206">
            <v>2020</v>
          </cell>
          <cell r="C206" t="str">
            <v>CHEVROLET</v>
          </cell>
          <cell r="D206" t="str">
            <v>EQUINOX FWD 4C</v>
          </cell>
          <cell r="E206">
            <v>110574</v>
          </cell>
          <cell r="F206" t="str">
            <v>Grade 1.4</v>
          </cell>
          <cell r="G206" t="str">
            <v>Red Light</v>
          </cell>
          <cell r="H206" t="str">
            <v>No</v>
          </cell>
          <cell r="I206" t="str">
            <v>Yes</v>
          </cell>
          <cell r="J206">
            <v>45337</v>
          </cell>
          <cell r="K206" t="str">
            <v>Yes</v>
          </cell>
          <cell r="L206">
            <v>43612</v>
          </cell>
          <cell r="M206">
            <v>264</v>
          </cell>
          <cell r="N206">
            <v>314</v>
          </cell>
          <cell r="O206">
            <v>6331.216796875</v>
          </cell>
          <cell r="P206">
            <v>10672.47019970908</v>
          </cell>
          <cell r="Q206">
            <v>5960.42333984375</v>
          </cell>
        </row>
        <row r="207">
          <cell r="A207" t="str">
            <v>2GNAXUEV5K6106702</v>
          </cell>
          <cell r="B207">
            <v>2019</v>
          </cell>
          <cell r="C207" t="str">
            <v>CHEVROLET</v>
          </cell>
          <cell r="D207" t="str">
            <v>EQUINOX AWD 4C</v>
          </cell>
          <cell r="E207">
            <v>133008</v>
          </cell>
          <cell r="F207" t="str">
            <v>Grade 2.8</v>
          </cell>
          <cell r="G207" t="str">
            <v>Green Light</v>
          </cell>
          <cell r="H207" t="str">
            <v>Yes</v>
          </cell>
          <cell r="I207" t="str">
            <v>No</v>
          </cell>
          <cell r="J207">
            <v>45715</v>
          </cell>
          <cell r="K207" t="str">
            <v>Yes</v>
          </cell>
          <cell r="L207">
            <v>43612</v>
          </cell>
          <cell r="M207">
            <v>264</v>
          </cell>
          <cell r="N207">
            <v>314</v>
          </cell>
          <cell r="O207">
            <v>4693.39306640625</v>
          </cell>
          <cell r="P207">
            <v>9566.3992866075478</v>
          </cell>
          <cell r="Q207">
            <v>4760.8662109375</v>
          </cell>
        </row>
        <row r="208">
          <cell r="A208" t="str">
            <v>2GNFLGEK6H6107990</v>
          </cell>
          <cell r="B208">
            <v>2017</v>
          </cell>
          <cell r="C208" t="str">
            <v>CHEVROLET</v>
          </cell>
          <cell r="D208" t="str">
            <v>EQUINOX AWD 4C</v>
          </cell>
          <cell r="E208">
            <v>76060</v>
          </cell>
          <cell r="F208" t="str">
            <v>Grade 2.7</v>
          </cell>
          <cell r="G208" t="str">
            <v>Green Light</v>
          </cell>
          <cell r="H208" t="str">
            <v>Yes</v>
          </cell>
          <cell r="I208" t="str">
            <v>No</v>
          </cell>
          <cell r="J208">
            <v>45729</v>
          </cell>
          <cell r="K208" t="str">
            <v>Yes</v>
          </cell>
          <cell r="L208">
            <v>43612</v>
          </cell>
          <cell r="M208">
            <v>264</v>
          </cell>
          <cell r="N208">
            <v>314</v>
          </cell>
          <cell r="O208">
            <v>5681.86083984375</v>
          </cell>
          <cell r="P208">
            <v>9621.1668697851819</v>
          </cell>
          <cell r="Q208">
            <v>5713.1025390625</v>
          </cell>
        </row>
        <row r="209">
          <cell r="A209" t="str">
            <v>2LMTJ8LP4GBL29794</v>
          </cell>
          <cell r="B209">
            <v>2016</v>
          </cell>
          <cell r="C209" t="str">
            <v>LINCOLN</v>
          </cell>
          <cell r="D209" t="str">
            <v>MKX</v>
          </cell>
          <cell r="E209">
            <v>76334</v>
          </cell>
          <cell r="F209" t="str">
            <v>Grade 4.0</v>
          </cell>
          <cell r="G209" t="str">
            <v>Red Light</v>
          </cell>
          <cell r="H209" t="str">
            <v>No</v>
          </cell>
          <cell r="I209" t="str">
            <v>Yes</v>
          </cell>
          <cell r="J209">
            <v>45692</v>
          </cell>
          <cell r="K209" t="str">
            <v>Yes</v>
          </cell>
          <cell r="L209">
            <v>43612</v>
          </cell>
          <cell r="M209">
            <v>264</v>
          </cell>
          <cell r="N209">
            <v>314</v>
          </cell>
          <cell r="O209">
            <v>11186.9365234375</v>
          </cell>
          <cell r="P209">
            <v>10170.52434879051</v>
          </cell>
          <cell r="Q209">
            <v>11175.064453125</v>
          </cell>
        </row>
        <row r="210">
          <cell r="A210" t="str">
            <v>3C4NJCBB6JT195013</v>
          </cell>
          <cell r="B210">
            <v>2018</v>
          </cell>
          <cell r="C210" t="str">
            <v>JEEP</v>
          </cell>
          <cell r="D210" t="str">
            <v>COMPASS</v>
          </cell>
          <cell r="E210">
            <v>115674</v>
          </cell>
          <cell r="F210" t="str">
            <v>Grade 1.6</v>
          </cell>
          <cell r="G210" t="str">
            <v>Red Light</v>
          </cell>
          <cell r="H210" t="str">
            <v>No</v>
          </cell>
          <cell r="I210" t="str">
            <v>Yes</v>
          </cell>
          <cell r="J210">
            <v>45608</v>
          </cell>
          <cell r="K210" t="str">
            <v>Yes</v>
          </cell>
          <cell r="L210">
            <v>43612</v>
          </cell>
          <cell r="M210">
            <v>264</v>
          </cell>
          <cell r="N210">
            <v>314</v>
          </cell>
          <cell r="O210">
            <v>3205.460693359375</v>
          </cell>
          <cell r="P210">
            <v>9320.0847501404551</v>
          </cell>
          <cell r="Q210">
            <v>3115.02490234375</v>
          </cell>
        </row>
        <row r="211">
          <cell r="A211" t="str">
            <v>3C4NJCCB6JT358161</v>
          </cell>
          <cell r="B211">
            <v>2018</v>
          </cell>
          <cell r="C211" t="str">
            <v>JEEP</v>
          </cell>
          <cell r="D211" t="str">
            <v>COMPASS</v>
          </cell>
          <cell r="E211">
            <v>102891</v>
          </cell>
          <cell r="F211" t="str">
            <v>Grade 4.3</v>
          </cell>
          <cell r="G211" t="str">
            <v>Certified</v>
          </cell>
          <cell r="H211" t="str">
            <v>Yes</v>
          </cell>
          <cell r="I211" t="str">
            <v>No</v>
          </cell>
          <cell r="J211">
            <v>45664</v>
          </cell>
          <cell r="K211" t="str">
            <v>Yes</v>
          </cell>
          <cell r="L211">
            <v>43612</v>
          </cell>
          <cell r="M211">
            <v>264</v>
          </cell>
          <cell r="N211">
            <v>314</v>
          </cell>
          <cell r="O211">
            <v>9973.7900390625</v>
          </cell>
          <cell r="P211">
            <v>10144.261907711099</v>
          </cell>
          <cell r="Q211">
            <v>9994.708984375</v>
          </cell>
        </row>
        <row r="212">
          <cell r="A212" t="str">
            <v>3C4PDCAB4JT218791</v>
          </cell>
          <cell r="B212">
            <v>2018</v>
          </cell>
          <cell r="C212" t="str">
            <v>DODGE</v>
          </cell>
          <cell r="D212" t="str">
            <v>JOURNEY</v>
          </cell>
          <cell r="E212">
            <v>101633</v>
          </cell>
          <cell r="F212" t="str">
            <v>Grade 4.1</v>
          </cell>
          <cell r="G212" t="str">
            <v>Certified</v>
          </cell>
          <cell r="H212" t="str">
            <v>Yes</v>
          </cell>
          <cell r="I212" t="str">
            <v>No</v>
          </cell>
          <cell r="J212">
            <v>45580</v>
          </cell>
          <cell r="K212" t="str">
            <v>Yes</v>
          </cell>
          <cell r="L212">
            <v>43612</v>
          </cell>
          <cell r="M212">
            <v>264</v>
          </cell>
          <cell r="N212">
            <v>314</v>
          </cell>
          <cell r="O212">
            <v>10923.552734375</v>
          </cell>
          <cell r="P212">
            <v>9802.3877211591243</v>
          </cell>
          <cell r="Q212">
            <v>10914.6064453125</v>
          </cell>
        </row>
        <row r="213">
          <cell r="A213" t="str">
            <v>3C4PDCBB4KT707756</v>
          </cell>
          <cell r="B213">
            <v>2019</v>
          </cell>
          <cell r="C213" t="str">
            <v>DODGE</v>
          </cell>
          <cell r="D213" t="str">
            <v>JOURNEY</v>
          </cell>
          <cell r="E213">
            <v>59097</v>
          </cell>
          <cell r="F213" t="str">
            <v>Grade 3.5</v>
          </cell>
          <cell r="G213" t="str">
            <v>Green Light</v>
          </cell>
          <cell r="H213" t="str">
            <v>Yes</v>
          </cell>
          <cell r="I213" t="str">
            <v>No</v>
          </cell>
          <cell r="J213">
            <v>45664</v>
          </cell>
          <cell r="K213" t="str">
            <v>Yes</v>
          </cell>
          <cell r="L213">
            <v>43612</v>
          </cell>
          <cell r="M213">
            <v>264</v>
          </cell>
          <cell r="N213">
            <v>314</v>
          </cell>
          <cell r="O213">
            <v>14095.5361328125</v>
          </cell>
          <cell r="P213">
            <v>11188.472930352709</v>
          </cell>
          <cell r="Q213">
            <v>14224.16015625</v>
          </cell>
        </row>
        <row r="214">
          <cell r="A214" t="str">
            <v>3C4PDCBG5HT589947</v>
          </cell>
          <cell r="B214">
            <v>2017</v>
          </cell>
          <cell r="C214" t="str">
            <v>DODGE</v>
          </cell>
          <cell r="D214" t="str">
            <v>JOURNEY</v>
          </cell>
          <cell r="E214">
            <v>115238</v>
          </cell>
          <cell r="F214" t="str">
            <v>Grade 2.7</v>
          </cell>
          <cell r="G214" t="str">
            <v>Green/Yellow</v>
          </cell>
          <cell r="H214" t="str">
            <v>Yes</v>
          </cell>
          <cell r="I214" t="str">
            <v>No</v>
          </cell>
          <cell r="J214">
            <v>45314</v>
          </cell>
          <cell r="K214" t="str">
            <v>Yes</v>
          </cell>
          <cell r="L214">
            <v>43612</v>
          </cell>
          <cell r="M214">
            <v>264</v>
          </cell>
          <cell r="N214">
            <v>314</v>
          </cell>
          <cell r="O214">
            <v>4301.5751953125</v>
          </cell>
          <cell r="P214">
            <v>8889.0746219346365</v>
          </cell>
          <cell r="Q214">
            <v>4277.77783203125</v>
          </cell>
        </row>
        <row r="215">
          <cell r="A215" t="str">
            <v>3C4PDDEG2DT519351</v>
          </cell>
          <cell r="B215">
            <v>2013</v>
          </cell>
          <cell r="C215" t="str">
            <v>DODGE</v>
          </cell>
          <cell r="D215" t="str">
            <v>JOURNEY</v>
          </cell>
          <cell r="E215">
            <v>102530</v>
          </cell>
          <cell r="F215" t="str">
            <v>Grade 2.5</v>
          </cell>
          <cell r="G215" t="str">
            <v>Red Light</v>
          </cell>
          <cell r="H215" t="str">
            <v>No</v>
          </cell>
          <cell r="I215" t="str">
            <v>Yes</v>
          </cell>
          <cell r="J215">
            <v>45678</v>
          </cell>
          <cell r="K215" t="str">
            <v>Yes</v>
          </cell>
          <cell r="L215">
            <v>43612</v>
          </cell>
          <cell r="M215">
            <v>264</v>
          </cell>
          <cell r="N215">
            <v>314</v>
          </cell>
          <cell r="O215">
            <v>2467.958740234375</v>
          </cell>
          <cell r="P215">
            <v>8909.5645629093469</v>
          </cell>
          <cell r="Q215">
            <v>2338.3408203125</v>
          </cell>
        </row>
        <row r="216">
          <cell r="A216" t="str">
            <v>3C4PDDEGXKT687848</v>
          </cell>
          <cell r="B216">
            <v>2019</v>
          </cell>
          <cell r="C216" t="str">
            <v>DODGE</v>
          </cell>
          <cell r="D216" t="str">
            <v>JOURNEY</v>
          </cell>
          <cell r="E216">
            <v>61571</v>
          </cell>
          <cell r="F216" t="str">
            <v>Grade 4.4</v>
          </cell>
          <cell r="G216" t="str">
            <v>Certified</v>
          </cell>
          <cell r="H216" t="str">
            <v>Yes</v>
          </cell>
          <cell r="I216" t="str">
            <v>No</v>
          </cell>
          <cell r="J216">
            <v>45468</v>
          </cell>
          <cell r="K216" t="str">
            <v>Yes</v>
          </cell>
          <cell r="L216">
            <v>43612</v>
          </cell>
          <cell r="M216">
            <v>264</v>
          </cell>
          <cell r="N216">
            <v>314</v>
          </cell>
          <cell r="O216">
            <v>14247.73046875</v>
          </cell>
          <cell r="P216">
            <v>11974.74313324745</v>
          </cell>
          <cell r="Q216">
            <v>14373.279296875</v>
          </cell>
        </row>
        <row r="217">
          <cell r="A217" t="str">
            <v>3FA6P0D91JR113770</v>
          </cell>
          <cell r="B217">
            <v>2018</v>
          </cell>
          <cell r="C217" t="str">
            <v>FORD</v>
          </cell>
          <cell r="D217" t="str">
            <v>FUSION AWD 4C</v>
          </cell>
          <cell r="E217">
            <v>91890</v>
          </cell>
          <cell r="F217" t="str">
            <v>Grade 4.4</v>
          </cell>
          <cell r="G217" t="str">
            <v>Green Light</v>
          </cell>
          <cell r="H217" t="str">
            <v>Yes</v>
          </cell>
          <cell r="I217" t="str">
            <v>No</v>
          </cell>
          <cell r="J217">
            <v>45505</v>
          </cell>
          <cell r="K217" t="str">
            <v>Yes</v>
          </cell>
          <cell r="L217">
            <v>43612</v>
          </cell>
          <cell r="M217">
            <v>264</v>
          </cell>
          <cell r="N217">
            <v>314</v>
          </cell>
          <cell r="O217">
            <v>12458.724609375</v>
          </cell>
          <cell r="P217">
            <v>10280.592767932991</v>
          </cell>
          <cell r="Q217">
            <v>12625.42578125</v>
          </cell>
        </row>
        <row r="218">
          <cell r="A218" t="str">
            <v>3FA6P0H75GR225019</v>
          </cell>
          <cell r="B218">
            <v>2016</v>
          </cell>
          <cell r="C218" t="str">
            <v>FORD</v>
          </cell>
          <cell r="D218" t="str">
            <v>FUSION FWD 4C</v>
          </cell>
          <cell r="E218">
            <v>139960</v>
          </cell>
          <cell r="F218" t="str">
            <v>Grade 2.4</v>
          </cell>
          <cell r="G218" t="str">
            <v>Red Light</v>
          </cell>
          <cell r="H218" t="str">
            <v>No</v>
          </cell>
          <cell r="I218" t="str">
            <v>Yes</v>
          </cell>
          <cell r="J218">
            <v>45666</v>
          </cell>
          <cell r="K218" t="str">
            <v>Yes</v>
          </cell>
          <cell r="L218">
            <v>43612</v>
          </cell>
          <cell r="M218">
            <v>264</v>
          </cell>
          <cell r="N218">
            <v>314</v>
          </cell>
          <cell r="O218">
            <v>2529.716796875</v>
          </cell>
          <cell r="P218">
            <v>9219.0735592967721</v>
          </cell>
          <cell r="Q218">
            <v>2345.591796875</v>
          </cell>
        </row>
        <row r="219">
          <cell r="A219" t="str">
            <v>3FA6P0H79HR394378</v>
          </cell>
          <cell r="B219">
            <v>2017</v>
          </cell>
          <cell r="C219" t="str">
            <v>FORD</v>
          </cell>
          <cell r="D219" t="str">
            <v>FUSION FWD 4C</v>
          </cell>
          <cell r="E219">
            <v>82311</v>
          </cell>
          <cell r="F219" t="str">
            <v>Grade 1.9</v>
          </cell>
          <cell r="G219" t="str">
            <v>Red Light</v>
          </cell>
          <cell r="H219" t="str">
            <v>No</v>
          </cell>
          <cell r="I219" t="str">
            <v>Yes</v>
          </cell>
          <cell r="J219">
            <v>45533</v>
          </cell>
          <cell r="K219" t="str">
            <v>Yes</v>
          </cell>
          <cell r="L219">
            <v>43612</v>
          </cell>
          <cell r="M219">
            <v>264</v>
          </cell>
          <cell r="N219">
            <v>314</v>
          </cell>
          <cell r="O219">
            <v>4382.544921875</v>
          </cell>
          <cell r="P219">
            <v>9436.0472504182799</v>
          </cell>
          <cell r="Q219">
            <v>4486.7080078125</v>
          </cell>
        </row>
        <row r="220">
          <cell r="A220" t="str">
            <v>3FA6P0HD5JR153865</v>
          </cell>
          <cell r="B220">
            <v>2018</v>
          </cell>
          <cell r="C220" t="str">
            <v>FORD</v>
          </cell>
          <cell r="D220" t="str">
            <v>FUSION FWD 4C</v>
          </cell>
          <cell r="E220">
            <v>55157</v>
          </cell>
          <cell r="F220" t="str">
            <v>Grade 3.3</v>
          </cell>
          <cell r="G220" t="str">
            <v>Green Light</v>
          </cell>
          <cell r="H220" t="str">
            <v>Yes</v>
          </cell>
          <cell r="I220" t="str">
            <v>No</v>
          </cell>
          <cell r="J220">
            <v>45386</v>
          </cell>
          <cell r="K220" t="str">
            <v>Yes</v>
          </cell>
          <cell r="L220">
            <v>43612</v>
          </cell>
          <cell r="M220">
            <v>264</v>
          </cell>
          <cell r="N220">
            <v>314</v>
          </cell>
          <cell r="O220">
            <v>13887.2177734375</v>
          </cell>
          <cell r="P220">
            <v>11599.289800694811</v>
          </cell>
          <cell r="Q220">
            <v>14069.48828125</v>
          </cell>
        </row>
        <row r="221">
          <cell r="A221" t="str">
            <v>3GKALMEV8JL309229</v>
          </cell>
          <cell r="B221">
            <v>2018</v>
          </cell>
          <cell r="C221" t="str">
            <v>GMC</v>
          </cell>
          <cell r="D221" t="str">
            <v>TERRAIN FWD 4C</v>
          </cell>
          <cell r="E221">
            <v>62994</v>
          </cell>
          <cell r="F221" t="str">
            <v>Grade 2.9</v>
          </cell>
          <cell r="G221" t="str">
            <v>Green Light</v>
          </cell>
          <cell r="H221" t="str">
            <v>Yes</v>
          </cell>
          <cell r="I221" t="str">
            <v>No</v>
          </cell>
          <cell r="J221">
            <v>45575</v>
          </cell>
          <cell r="K221" t="str">
            <v>Yes</v>
          </cell>
          <cell r="L221">
            <v>43612</v>
          </cell>
          <cell r="M221">
            <v>264</v>
          </cell>
          <cell r="N221">
            <v>314</v>
          </cell>
          <cell r="O221">
            <v>10550.685546875</v>
          </cell>
          <cell r="P221">
            <v>12497.627382878591</v>
          </cell>
          <cell r="Q221">
            <v>10445.6982421875</v>
          </cell>
        </row>
        <row r="222">
          <cell r="A222" t="str">
            <v>3GNCJPSB5HL148815</v>
          </cell>
          <cell r="B222">
            <v>2017</v>
          </cell>
          <cell r="C222" t="str">
            <v>CHEVROLET</v>
          </cell>
          <cell r="D222" t="str">
            <v>TRAX</v>
          </cell>
          <cell r="E222">
            <v>84615</v>
          </cell>
          <cell r="F222" t="str">
            <v>Grade 3.5</v>
          </cell>
          <cell r="G222" t="str">
            <v>Certified</v>
          </cell>
          <cell r="H222" t="str">
            <v>Yes</v>
          </cell>
          <cell r="I222" t="str">
            <v>No</v>
          </cell>
          <cell r="J222">
            <v>45580</v>
          </cell>
          <cell r="K222" t="str">
            <v>Yes</v>
          </cell>
          <cell r="L222">
            <v>43612</v>
          </cell>
          <cell r="M222">
            <v>264</v>
          </cell>
          <cell r="N222">
            <v>314</v>
          </cell>
          <cell r="O222">
            <v>7973.7587890625</v>
          </cell>
          <cell r="P222">
            <v>9580.8043685638295</v>
          </cell>
          <cell r="Q222">
            <v>8028.48779296875</v>
          </cell>
        </row>
        <row r="223">
          <cell r="A223" t="str">
            <v>3HGGK5H85FM739520</v>
          </cell>
          <cell r="B223">
            <v>2015</v>
          </cell>
          <cell r="C223" t="str">
            <v>HONDA</v>
          </cell>
          <cell r="D223" t="str">
            <v>FIT</v>
          </cell>
          <cell r="E223">
            <v>51232</v>
          </cell>
          <cell r="F223" t="str">
            <v>Grade 4.4</v>
          </cell>
          <cell r="G223" t="str">
            <v>Certified</v>
          </cell>
          <cell r="H223" t="str">
            <v>Yes</v>
          </cell>
          <cell r="I223" t="str">
            <v>No</v>
          </cell>
          <cell r="J223">
            <v>45398</v>
          </cell>
          <cell r="K223" t="str">
            <v>Yes</v>
          </cell>
          <cell r="L223">
            <v>43612</v>
          </cell>
          <cell r="M223">
            <v>264</v>
          </cell>
          <cell r="N223">
            <v>314</v>
          </cell>
          <cell r="O223">
            <v>14649.6201171875</v>
          </cell>
          <cell r="P223">
            <v>12047.10968442157</v>
          </cell>
          <cell r="Q223">
            <v>14589.0830078125</v>
          </cell>
        </row>
        <row r="224">
          <cell r="A224" t="str">
            <v>3KPF24AD5KE137328</v>
          </cell>
          <cell r="B224">
            <v>2019</v>
          </cell>
          <cell r="C224" t="str">
            <v>KIA</v>
          </cell>
          <cell r="D224" t="str">
            <v>FORTE</v>
          </cell>
          <cell r="E224">
            <v>138660</v>
          </cell>
          <cell r="F224" t="str">
            <v>Grade 2.0</v>
          </cell>
          <cell r="G224" t="str">
            <v>Inoperable</v>
          </cell>
          <cell r="H224" t="str">
            <v>No</v>
          </cell>
          <cell r="I224" t="str">
            <v>Yes</v>
          </cell>
          <cell r="J224">
            <v>45666</v>
          </cell>
          <cell r="K224" t="str">
            <v>Yes</v>
          </cell>
          <cell r="L224">
            <v>43612</v>
          </cell>
          <cell r="M224">
            <v>264</v>
          </cell>
          <cell r="N224">
            <v>314</v>
          </cell>
          <cell r="O224">
            <v>2709.547607421875</v>
          </cell>
          <cell r="P224">
            <v>8615.6511911724028</v>
          </cell>
          <cell r="Q224">
            <v>2538.443359375</v>
          </cell>
        </row>
        <row r="225">
          <cell r="A225" t="str">
            <v>3KPF24AD6KE087362</v>
          </cell>
          <cell r="B225">
            <v>2019</v>
          </cell>
          <cell r="C225" t="str">
            <v>KIA</v>
          </cell>
          <cell r="D225" t="str">
            <v>FORTE</v>
          </cell>
          <cell r="E225">
            <v>77315</v>
          </cell>
          <cell r="F225" t="str">
            <v>Grade 1.9</v>
          </cell>
          <cell r="G225" t="str">
            <v>Green/Yellow</v>
          </cell>
          <cell r="H225" t="str">
            <v>Yes</v>
          </cell>
          <cell r="I225" t="str">
            <v>No</v>
          </cell>
          <cell r="J225">
            <v>45715</v>
          </cell>
          <cell r="K225" t="str">
            <v>Yes</v>
          </cell>
          <cell r="L225">
            <v>43612</v>
          </cell>
          <cell r="M225">
            <v>264</v>
          </cell>
          <cell r="N225">
            <v>314</v>
          </cell>
          <cell r="O225">
            <v>3835.068115234375</v>
          </cell>
          <cell r="P225">
            <v>8913.7840665857202</v>
          </cell>
          <cell r="Q225">
            <v>3739.08154296875</v>
          </cell>
        </row>
        <row r="226">
          <cell r="A226" t="str">
            <v>3KPF24AD6LE162515</v>
          </cell>
          <cell r="B226">
            <v>2020</v>
          </cell>
          <cell r="C226" t="str">
            <v>KIA</v>
          </cell>
          <cell r="D226" t="str">
            <v>FORTE</v>
          </cell>
          <cell r="E226">
            <v>42502</v>
          </cell>
          <cell r="F226" t="str">
            <v>Grade 4.5</v>
          </cell>
          <cell r="G226" t="str">
            <v>Certified</v>
          </cell>
          <cell r="H226" t="str">
            <v>Yes</v>
          </cell>
          <cell r="I226" t="str">
            <v>No</v>
          </cell>
          <cell r="J226">
            <v>45365</v>
          </cell>
          <cell r="K226" t="str">
            <v>Yes</v>
          </cell>
          <cell r="L226">
            <v>43612</v>
          </cell>
          <cell r="M226">
            <v>264</v>
          </cell>
          <cell r="N226">
            <v>314</v>
          </cell>
          <cell r="O226">
            <v>13765.8203125</v>
          </cell>
          <cell r="P226">
            <v>13139.07401066989</v>
          </cell>
          <cell r="Q226">
            <v>13797.9951171875</v>
          </cell>
        </row>
        <row r="227">
          <cell r="A227" t="str">
            <v>3KPF34AD1ME297089</v>
          </cell>
          <cell r="B227">
            <v>2021</v>
          </cell>
          <cell r="C227" t="str">
            <v>KIA</v>
          </cell>
          <cell r="D227" t="str">
            <v>FORTE</v>
          </cell>
          <cell r="E227">
            <v>46713</v>
          </cell>
          <cell r="F227" t="str">
            <v>Grade 4.2</v>
          </cell>
          <cell r="G227" t="str">
            <v>Certified</v>
          </cell>
          <cell r="H227" t="str">
            <v>Yes</v>
          </cell>
          <cell r="I227" t="str">
            <v>No</v>
          </cell>
          <cell r="J227">
            <v>45510</v>
          </cell>
          <cell r="K227" t="str">
            <v>Yes</v>
          </cell>
          <cell r="L227">
            <v>43612</v>
          </cell>
          <cell r="M227">
            <v>264</v>
          </cell>
          <cell r="N227">
            <v>314</v>
          </cell>
          <cell r="O227">
            <v>14841.9833984375</v>
          </cell>
          <cell r="P227">
            <v>14232.68575627807</v>
          </cell>
          <cell r="Q227">
            <v>14991.6455078125</v>
          </cell>
        </row>
        <row r="228">
          <cell r="A228" t="str">
            <v>3KPFK4A71HE087465</v>
          </cell>
          <cell r="B228">
            <v>2017</v>
          </cell>
          <cell r="C228" t="str">
            <v>KIA</v>
          </cell>
          <cell r="D228" t="str">
            <v>FORTE</v>
          </cell>
          <cell r="E228">
            <v>99476</v>
          </cell>
          <cell r="F228" t="str">
            <v>Grade 2.0</v>
          </cell>
          <cell r="G228" t="str">
            <v>Inoperable</v>
          </cell>
          <cell r="H228" t="str">
            <v>No</v>
          </cell>
          <cell r="I228" t="str">
            <v>Yes</v>
          </cell>
          <cell r="J228">
            <v>45512</v>
          </cell>
          <cell r="K228" t="str">
            <v>Yes</v>
          </cell>
          <cell r="L228">
            <v>43612</v>
          </cell>
          <cell r="M228">
            <v>264</v>
          </cell>
          <cell r="N228">
            <v>314</v>
          </cell>
          <cell r="O228">
            <v>2937.392578125</v>
          </cell>
          <cell r="P228">
            <v>8715.5350768906865</v>
          </cell>
          <cell r="Q228">
            <v>2786.861328125</v>
          </cell>
        </row>
        <row r="229">
          <cell r="A229" t="str">
            <v>3LN6L5C97JR611133</v>
          </cell>
          <cell r="B229">
            <v>2018</v>
          </cell>
          <cell r="C229" t="str">
            <v>LINCOLN</v>
          </cell>
          <cell r="D229" t="str">
            <v>MKZ</v>
          </cell>
          <cell r="E229">
            <v>60433</v>
          </cell>
          <cell r="F229" t="str">
            <v>Grade 3.6</v>
          </cell>
          <cell r="G229" t="str">
            <v>Green Light</v>
          </cell>
          <cell r="H229" t="str">
            <v>Yes</v>
          </cell>
          <cell r="I229" t="str">
            <v>No</v>
          </cell>
          <cell r="J229">
            <v>45300</v>
          </cell>
          <cell r="K229" t="str">
            <v>Yes</v>
          </cell>
          <cell r="L229">
            <v>43612</v>
          </cell>
          <cell r="M229">
            <v>264</v>
          </cell>
          <cell r="N229">
            <v>314</v>
          </cell>
          <cell r="O229">
            <v>13574.2998046875</v>
          </cell>
          <cell r="P229">
            <v>12030.459568265809</v>
          </cell>
          <cell r="Q229">
            <v>13496.744140625</v>
          </cell>
        </row>
        <row r="230">
          <cell r="A230" t="str">
            <v>3MYDLBJV5LY700817</v>
          </cell>
          <cell r="B230">
            <v>2020</v>
          </cell>
          <cell r="C230" t="str">
            <v>TOYOTA</v>
          </cell>
          <cell r="D230" t="str">
            <v>YARIS</v>
          </cell>
          <cell r="E230">
            <v>99151</v>
          </cell>
          <cell r="F230" t="str">
            <v>Grade 3.2</v>
          </cell>
          <cell r="G230" t="str">
            <v>Green Light</v>
          </cell>
          <cell r="H230" t="str">
            <v>Yes</v>
          </cell>
          <cell r="I230" t="str">
            <v>No</v>
          </cell>
          <cell r="J230">
            <v>45594</v>
          </cell>
          <cell r="K230" t="str">
            <v>Yes</v>
          </cell>
          <cell r="L230">
            <v>43612</v>
          </cell>
          <cell r="M230">
            <v>264</v>
          </cell>
          <cell r="N230">
            <v>314</v>
          </cell>
          <cell r="O230">
            <v>12775.3603515625</v>
          </cell>
          <cell r="P230">
            <v>10853.64946096104</v>
          </cell>
          <cell r="Q230">
            <v>12976.556640625</v>
          </cell>
        </row>
        <row r="231">
          <cell r="A231" t="str">
            <v>3N1AB7AP0HL640391</v>
          </cell>
          <cell r="B231">
            <v>2017</v>
          </cell>
          <cell r="C231" t="str">
            <v>NISSAN</v>
          </cell>
          <cell r="D231" t="str">
            <v>SENTRA</v>
          </cell>
          <cell r="E231">
            <v>55758</v>
          </cell>
          <cell r="F231" t="str">
            <v>Grade 2.3</v>
          </cell>
          <cell r="G231" t="str">
            <v>Green/Yellow</v>
          </cell>
          <cell r="H231" t="str">
            <v>Yes</v>
          </cell>
          <cell r="I231" t="str">
            <v>No</v>
          </cell>
          <cell r="J231">
            <v>45454</v>
          </cell>
          <cell r="K231" t="str">
            <v>Yes</v>
          </cell>
          <cell r="L231">
            <v>43612</v>
          </cell>
          <cell r="M231">
            <v>264</v>
          </cell>
          <cell r="N231">
            <v>314</v>
          </cell>
          <cell r="O231">
            <v>5333.55615234375</v>
          </cell>
          <cell r="P231">
            <v>10753.26960589083</v>
          </cell>
          <cell r="Q231">
            <v>5027.3564453125</v>
          </cell>
        </row>
        <row r="232">
          <cell r="A232" t="str">
            <v>3N1AB7AP2KY206838</v>
          </cell>
          <cell r="B232">
            <v>2019</v>
          </cell>
          <cell r="C232" t="str">
            <v>NISSAN</v>
          </cell>
          <cell r="D232" t="str">
            <v>SENTRA</v>
          </cell>
          <cell r="E232">
            <v>123863</v>
          </cell>
          <cell r="F232" t="str">
            <v>Grade 2.1</v>
          </cell>
          <cell r="G232" t="str">
            <v>Red Light</v>
          </cell>
          <cell r="H232" t="str">
            <v>No</v>
          </cell>
          <cell r="I232" t="str">
            <v>Yes</v>
          </cell>
          <cell r="J232">
            <v>45365</v>
          </cell>
          <cell r="K232" t="str">
            <v>Yes</v>
          </cell>
          <cell r="L232">
            <v>43612</v>
          </cell>
          <cell r="M232">
            <v>264</v>
          </cell>
          <cell r="N232">
            <v>314</v>
          </cell>
          <cell r="O232">
            <v>4396.8759765625</v>
          </cell>
          <cell r="P232">
            <v>8739.0101084013677</v>
          </cell>
          <cell r="Q232">
            <v>4377.65087890625</v>
          </cell>
        </row>
        <row r="233">
          <cell r="A233" t="str">
            <v>3N1CE2CP2HL376459</v>
          </cell>
          <cell r="B233">
            <v>2017</v>
          </cell>
          <cell r="C233" t="str">
            <v>NISSAN</v>
          </cell>
          <cell r="D233" t="str">
            <v>VERSA NOTE</v>
          </cell>
          <cell r="E233">
            <v>95571</v>
          </cell>
          <cell r="F233" t="str">
            <v>Grade 2.0</v>
          </cell>
          <cell r="G233" t="str">
            <v>Red Light</v>
          </cell>
          <cell r="H233" t="str">
            <v>No</v>
          </cell>
          <cell r="I233" t="str">
            <v>Yes</v>
          </cell>
          <cell r="J233">
            <v>45330</v>
          </cell>
          <cell r="K233" t="str">
            <v>Yes</v>
          </cell>
          <cell r="L233">
            <v>43612</v>
          </cell>
          <cell r="M233">
            <v>264</v>
          </cell>
          <cell r="N233">
            <v>314</v>
          </cell>
          <cell r="O233">
            <v>4348.75341796875</v>
          </cell>
          <cell r="P233">
            <v>8908.4054635651919</v>
          </cell>
          <cell r="Q233">
            <v>4277.77783203125</v>
          </cell>
        </row>
        <row r="234">
          <cell r="A234" t="str">
            <v>3N1CN7AP2KL818762</v>
          </cell>
          <cell r="B234">
            <v>2019</v>
          </cell>
          <cell r="C234" t="str">
            <v>NISSAN</v>
          </cell>
          <cell r="D234" t="str">
            <v>VERSA</v>
          </cell>
          <cell r="E234">
            <v>112273</v>
          </cell>
          <cell r="F234" t="str">
            <v>Grade 2.7</v>
          </cell>
          <cell r="G234" t="str">
            <v>Green Light</v>
          </cell>
          <cell r="H234" t="str">
            <v>Yes</v>
          </cell>
          <cell r="I234" t="str">
            <v>No</v>
          </cell>
          <cell r="J234">
            <v>45678</v>
          </cell>
          <cell r="K234" t="str">
            <v>Yes</v>
          </cell>
          <cell r="L234">
            <v>43612</v>
          </cell>
          <cell r="M234">
            <v>264</v>
          </cell>
          <cell r="N234">
            <v>314</v>
          </cell>
          <cell r="O234">
            <v>3343.63671875</v>
          </cell>
          <cell r="P234">
            <v>8912.1867730471295</v>
          </cell>
          <cell r="Q234">
            <v>3234.11572265625</v>
          </cell>
        </row>
        <row r="235">
          <cell r="A235" t="str">
            <v>3N1CN7AP4JL859196</v>
          </cell>
          <cell r="B235">
            <v>2018</v>
          </cell>
          <cell r="C235" t="str">
            <v>NISSAN</v>
          </cell>
          <cell r="D235" t="str">
            <v>VERSA</v>
          </cell>
          <cell r="E235">
            <v>130420</v>
          </cell>
          <cell r="F235" t="str">
            <v>Grade 2.0</v>
          </cell>
          <cell r="G235" t="str">
            <v>Red Light</v>
          </cell>
          <cell r="H235" t="str">
            <v>No</v>
          </cell>
          <cell r="I235" t="str">
            <v>Yes</v>
          </cell>
          <cell r="J235">
            <v>45351</v>
          </cell>
          <cell r="K235" t="str">
            <v>Yes</v>
          </cell>
          <cell r="L235">
            <v>43612</v>
          </cell>
          <cell r="M235">
            <v>264</v>
          </cell>
          <cell r="N235">
            <v>314</v>
          </cell>
          <cell r="O235">
            <v>3520.397705078125</v>
          </cell>
          <cell r="P235">
            <v>8776.7495628836423</v>
          </cell>
          <cell r="Q235">
            <v>3459.5888671875</v>
          </cell>
        </row>
        <row r="236">
          <cell r="A236" t="str">
            <v>3VW5T7AU6HM068185</v>
          </cell>
          <cell r="B236">
            <v>2017</v>
          </cell>
          <cell r="C236" t="str">
            <v>VOLKSWAGEN</v>
          </cell>
          <cell r="D236" t="str">
            <v>GOLF GTI</v>
          </cell>
          <cell r="E236">
            <v>45469</v>
          </cell>
          <cell r="F236" t="str">
            <v>Grade 3.3</v>
          </cell>
          <cell r="G236" t="str">
            <v>Red Light</v>
          </cell>
          <cell r="H236" t="str">
            <v>No</v>
          </cell>
          <cell r="I236" t="str">
            <v>Yes</v>
          </cell>
          <cell r="J236">
            <v>45594</v>
          </cell>
          <cell r="K236" t="str">
            <v>Yes</v>
          </cell>
          <cell r="L236">
            <v>43612</v>
          </cell>
          <cell r="M236">
            <v>264</v>
          </cell>
          <cell r="N236">
            <v>314</v>
          </cell>
          <cell r="O236">
            <v>12852.3310546875</v>
          </cell>
          <cell r="P236">
            <v>11195.859661829691</v>
          </cell>
          <cell r="Q236">
            <v>12989.7431640625</v>
          </cell>
        </row>
        <row r="237">
          <cell r="A237" t="str">
            <v>5GAKRBKD8FJ114374</v>
          </cell>
          <cell r="B237">
            <v>2015</v>
          </cell>
          <cell r="C237" t="str">
            <v>BUICK</v>
          </cell>
          <cell r="D237" t="str">
            <v>ENCLAVE</v>
          </cell>
          <cell r="E237">
            <v>151130</v>
          </cell>
          <cell r="F237" t="str">
            <v>Grade 2.2</v>
          </cell>
          <cell r="G237" t="str">
            <v>Green/Yellow</v>
          </cell>
          <cell r="H237" t="str">
            <v>Yes</v>
          </cell>
          <cell r="I237" t="str">
            <v>No</v>
          </cell>
          <cell r="J237">
            <v>45412</v>
          </cell>
          <cell r="K237" t="str">
            <v>Yes</v>
          </cell>
          <cell r="L237">
            <v>43612</v>
          </cell>
          <cell r="M237">
            <v>264</v>
          </cell>
          <cell r="N237">
            <v>314</v>
          </cell>
          <cell r="O237">
            <v>1855.89501953125</v>
          </cell>
          <cell r="P237">
            <v>8927.7911515878059</v>
          </cell>
          <cell r="Q237">
            <v>1778.49755859375</v>
          </cell>
        </row>
        <row r="238">
          <cell r="A238" t="str">
            <v>5N1AT2MVXJC757612</v>
          </cell>
          <cell r="B238">
            <v>2018</v>
          </cell>
          <cell r="C238" t="str">
            <v>NISSAN</v>
          </cell>
          <cell r="D238" t="str">
            <v>ROGUE</v>
          </cell>
          <cell r="E238">
            <v>51236</v>
          </cell>
          <cell r="F238" t="str">
            <v>Grade 4.6</v>
          </cell>
          <cell r="G238" t="str">
            <v>Green/Yellow</v>
          </cell>
          <cell r="H238" t="str">
            <v>Yes</v>
          </cell>
          <cell r="I238" t="str">
            <v>No</v>
          </cell>
          <cell r="J238">
            <v>45370</v>
          </cell>
          <cell r="K238" t="str">
            <v>Yes</v>
          </cell>
          <cell r="L238">
            <v>43612</v>
          </cell>
          <cell r="M238">
            <v>264</v>
          </cell>
          <cell r="N238">
            <v>314</v>
          </cell>
          <cell r="O238">
            <v>12985.3056640625</v>
          </cell>
          <cell r="P238">
            <v>11977.432208514019</v>
          </cell>
          <cell r="Q238">
            <v>12968.212890625</v>
          </cell>
        </row>
        <row r="239">
          <cell r="A239" t="str">
            <v>5N1DR2MN7HC674595</v>
          </cell>
          <cell r="B239">
            <v>2017</v>
          </cell>
          <cell r="C239" t="str">
            <v>NISSAN</v>
          </cell>
          <cell r="D239" t="str">
            <v>PATHFINDER</v>
          </cell>
          <cell r="E239">
            <v>76496</v>
          </cell>
          <cell r="F239" t="str">
            <v>Grade 4.0</v>
          </cell>
          <cell r="G239" t="str">
            <v>Certified</v>
          </cell>
          <cell r="H239" t="str">
            <v>Yes</v>
          </cell>
          <cell r="I239" t="str">
            <v>No</v>
          </cell>
          <cell r="J239">
            <v>45300</v>
          </cell>
          <cell r="K239" t="str">
            <v>Yes</v>
          </cell>
          <cell r="L239">
            <v>43612</v>
          </cell>
          <cell r="M239">
            <v>264</v>
          </cell>
          <cell r="N239">
            <v>314</v>
          </cell>
          <cell r="O239">
            <v>11165.5419921875</v>
          </cell>
          <cell r="P239">
            <v>9951.6966278186374</v>
          </cell>
          <cell r="Q239">
            <v>11175.064453125</v>
          </cell>
        </row>
        <row r="240">
          <cell r="A240" t="str">
            <v>5NPD74LF9KH467590</v>
          </cell>
          <cell r="B240">
            <v>2019</v>
          </cell>
          <cell r="C240" t="str">
            <v>HYUNDAI</v>
          </cell>
          <cell r="D240" t="str">
            <v>ELANTRA</v>
          </cell>
          <cell r="E240">
            <v>107913</v>
          </cell>
          <cell r="F240" t="str">
            <v>Grade 1.8</v>
          </cell>
          <cell r="G240" t="str">
            <v>Red Light</v>
          </cell>
          <cell r="H240" t="str">
            <v>No</v>
          </cell>
          <cell r="I240" t="str">
            <v>Yes</v>
          </cell>
          <cell r="J240">
            <v>45344</v>
          </cell>
          <cell r="K240" t="str">
            <v>Yes</v>
          </cell>
          <cell r="L240">
            <v>43612</v>
          </cell>
          <cell r="M240">
            <v>264</v>
          </cell>
          <cell r="N240">
            <v>314</v>
          </cell>
          <cell r="O240">
            <v>4020.2216796875</v>
          </cell>
          <cell r="P240">
            <v>8667.9501258325763</v>
          </cell>
          <cell r="Q240">
            <v>3905.99609375</v>
          </cell>
        </row>
        <row r="241">
          <cell r="A241" t="str">
            <v>5NPD74LFXKH469901</v>
          </cell>
          <cell r="B241">
            <v>2019</v>
          </cell>
          <cell r="C241" t="str">
            <v>HYUNDAI</v>
          </cell>
          <cell r="D241" t="str">
            <v>ELANTRA</v>
          </cell>
          <cell r="E241">
            <v>101533</v>
          </cell>
          <cell r="F241" t="str">
            <v>Grade 1.5</v>
          </cell>
          <cell r="G241" t="str">
            <v>Green/Yellow</v>
          </cell>
          <cell r="H241" t="str">
            <v>Yes</v>
          </cell>
          <cell r="I241" t="str">
            <v>No</v>
          </cell>
          <cell r="J241">
            <v>45561</v>
          </cell>
          <cell r="K241" t="str">
            <v>Yes</v>
          </cell>
          <cell r="L241">
            <v>43612</v>
          </cell>
          <cell r="M241">
            <v>264</v>
          </cell>
          <cell r="N241">
            <v>314</v>
          </cell>
          <cell r="O241">
            <v>3245.767822265625</v>
          </cell>
          <cell r="P241">
            <v>8697.8276980668179</v>
          </cell>
          <cell r="Q241">
            <v>3109.43505859375</v>
          </cell>
        </row>
        <row r="242">
          <cell r="A242" t="str">
            <v>5NPDH4AE5DH175817</v>
          </cell>
          <cell r="B242">
            <v>2013</v>
          </cell>
          <cell r="C242" t="str">
            <v>HYUNDAI</v>
          </cell>
          <cell r="D242" t="str">
            <v>ELANTRA</v>
          </cell>
          <cell r="E242">
            <v>112245</v>
          </cell>
          <cell r="F242" t="str">
            <v>Grade 2.5</v>
          </cell>
          <cell r="G242" t="str">
            <v>Green Light</v>
          </cell>
          <cell r="H242" t="str">
            <v>Yes</v>
          </cell>
          <cell r="I242" t="str">
            <v>No</v>
          </cell>
          <cell r="J242">
            <v>45421</v>
          </cell>
          <cell r="K242" t="str">
            <v>Yes</v>
          </cell>
          <cell r="L242">
            <v>43612</v>
          </cell>
          <cell r="M242">
            <v>264</v>
          </cell>
          <cell r="N242">
            <v>314</v>
          </cell>
          <cell r="O242">
            <v>1500.034057617188</v>
          </cell>
          <cell r="P242">
            <v>8664.8410152885863</v>
          </cell>
          <cell r="Q242">
            <v>1400.44287109375</v>
          </cell>
        </row>
        <row r="243">
          <cell r="A243" t="str">
            <v>5NPE24AF0GH292742</v>
          </cell>
          <cell r="B243">
            <v>2016</v>
          </cell>
          <cell r="C243" t="str">
            <v>HYUNDAI</v>
          </cell>
          <cell r="D243" t="str">
            <v>SONATA</v>
          </cell>
          <cell r="E243">
            <v>133528</v>
          </cell>
          <cell r="F243" t="str">
            <v>Grade 1.9</v>
          </cell>
          <cell r="G243" t="str">
            <v>Green/Yellow</v>
          </cell>
          <cell r="H243" t="str">
            <v>Yes</v>
          </cell>
          <cell r="I243" t="str">
            <v>No</v>
          </cell>
          <cell r="J243">
            <v>45370</v>
          </cell>
          <cell r="K243" t="str">
            <v>Yes</v>
          </cell>
          <cell r="L243">
            <v>43612</v>
          </cell>
          <cell r="M243">
            <v>264</v>
          </cell>
          <cell r="N243">
            <v>314</v>
          </cell>
          <cell r="O243">
            <v>1772.274658203125</v>
          </cell>
          <cell r="P243">
            <v>8528.2249859213134</v>
          </cell>
          <cell r="Q243">
            <v>1744.280029296875</v>
          </cell>
        </row>
        <row r="244">
          <cell r="A244" t="str">
            <v>5NPE34AF9HH496678</v>
          </cell>
          <cell r="B244">
            <v>2017</v>
          </cell>
          <cell r="C244" t="str">
            <v>HYUNDAI</v>
          </cell>
          <cell r="D244" t="str">
            <v>SONATA</v>
          </cell>
          <cell r="E244">
            <v>44317</v>
          </cell>
          <cell r="F244" t="str">
            <v>Grade 4.4</v>
          </cell>
          <cell r="G244" t="str">
            <v>Certified</v>
          </cell>
          <cell r="H244" t="str">
            <v>Yes</v>
          </cell>
          <cell r="I244" t="str">
            <v>No</v>
          </cell>
          <cell r="J244">
            <v>45309</v>
          </cell>
          <cell r="K244" t="str">
            <v>Yes</v>
          </cell>
          <cell r="L244">
            <v>43612</v>
          </cell>
          <cell r="M244">
            <v>264</v>
          </cell>
          <cell r="N244">
            <v>314</v>
          </cell>
          <cell r="O244">
            <v>11005.7236328125</v>
          </cell>
          <cell r="P244">
            <v>11986.78156621352</v>
          </cell>
          <cell r="Q244">
            <v>10897.6533203125</v>
          </cell>
        </row>
        <row r="245">
          <cell r="A245" t="str">
            <v>5NPEB4AC1DH706418</v>
          </cell>
          <cell r="B245">
            <v>2013</v>
          </cell>
          <cell r="C245" t="str">
            <v>HYUNDAI</v>
          </cell>
          <cell r="D245" t="str">
            <v>SONATA</v>
          </cell>
          <cell r="E245">
            <v>93236</v>
          </cell>
          <cell r="F245" t="str">
            <v>Grade 4.6</v>
          </cell>
          <cell r="G245" t="str">
            <v>Certified</v>
          </cell>
          <cell r="H245" t="str">
            <v>Yes</v>
          </cell>
          <cell r="I245" t="str">
            <v>No</v>
          </cell>
          <cell r="J245">
            <v>45393</v>
          </cell>
          <cell r="K245" t="str">
            <v>Yes</v>
          </cell>
          <cell r="L245">
            <v>43612</v>
          </cell>
          <cell r="M245">
            <v>264</v>
          </cell>
          <cell r="N245">
            <v>314</v>
          </cell>
          <cell r="O245">
            <v>5442.64404296875</v>
          </cell>
          <cell r="P245">
            <v>9642.7512849917275</v>
          </cell>
          <cell r="Q245">
            <v>5501.13671875</v>
          </cell>
        </row>
        <row r="246">
          <cell r="A246" t="str">
            <v>5TFRU54108X014060</v>
          </cell>
          <cell r="B246">
            <v>2008</v>
          </cell>
          <cell r="C246" t="str">
            <v>TOYOTA</v>
          </cell>
          <cell r="D246" t="str">
            <v>TUNDRA 4X2 DB</v>
          </cell>
          <cell r="E246">
            <v>120407</v>
          </cell>
          <cell r="F246" t="str">
            <v>Grade 1.1</v>
          </cell>
          <cell r="G246" t="str">
            <v>Inoperable</v>
          </cell>
          <cell r="H246" t="str">
            <v>No</v>
          </cell>
          <cell r="I246" t="str">
            <v>Yes</v>
          </cell>
          <cell r="J246">
            <v>45575</v>
          </cell>
          <cell r="K246" t="str">
            <v>Yes</v>
          </cell>
          <cell r="L246">
            <v>43612</v>
          </cell>
          <cell r="M246">
            <v>264</v>
          </cell>
          <cell r="N246">
            <v>314</v>
          </cell>
          <cell r="O246">
            <v>2254.14990234375</v>
          </cell>
          <cell r="P246">
            <v>9368.1586559201969</v>
          </cell>
          <cell r="Q246">
            <v>2233.980712890625</v>
          </cell>
        </row>
        <row r="247">
          <cell r="A247" t="str">
            <v>5UXKR2C51H0U19602</v>
          </cell>
          <cell r="B247">
            <v>2017</v>
          </cell>
          <cell r="C247" t="str">
            <v>BMW</v>
          </cell>
          <cell r="D247" t="str">
            <v>X5</v>
          </cell>
          <cell r="E247">
            <v>68171</v>
          </cell>
          <cell r="F247" t="str">
            <v>Grade 3.5</v>
          </cell>
          <cell r="G247" t="str">
            <v>Green Light</v>
          </cell>
          <cell r="H247" t="str">
            <v>Yes</v>
          </cell>
          <cell r="I247" t="str">
            <v>No</v>
          </cell>
          <cell r="J247">
            <v>45370</v>
          </cell>
          <cell r="K247" t="str">
            <v>Yes</v>
          </cell>
          <cell r="L247">
            <v>43612</v>
          </cell>
          <cell r="M247">
            <v>264</v>
          </cell>
          <cell r="N247">
            <v>314</v>
          </cell>
          <cell r="O247">
            <v>13165.09765625</v>
          </cell>
          <cell r="P247">
            <v>10028.69286488706</v>
          </cell>
          <cell r="Q247">
            <v>13464.205078125</v>
          </cell>
        </row>
        <row r="248">
          <cell r="A248" t="str">
            <v>5XXGT4L32GG029057</v>
          </cell>
          <cell r="B248">
            <v>2016</v>
          </cell>
          <cell r="C248" t="str">
            <v>KIA</v>
          </cell>
          <cell r="D248" t="str">
            <v>OPTIMA</v>
          </cell>
          <cell r="E248">
            <v>103980</v>
          </cell>
          <cell r="F248" t="str">
            <v>Grade 2.1</v>
          </cell>
          <cell r="G248" t="str">
            <v>Green/Yellow</v>
          </cell>
          <cell r="H248" t="str">
            <v>Yes</v>
          </cell>
          <cell r="I248" t="str">
            <v>No</v>
          </cell>
          <cell r="J248">
            <v>45715</v>
          </cell>
          <cell r="K248" t="str">
            <v>Yes</v>
          </cell>
          <cell r="L248">
            <v>43612</v>
          </cell>
          <cell r="M248">
            <v>264</v>
          </cell>
          <cell r="N248">
            <v>314</v>
          </cell>
          <cell r="O248">
            <v>1915.90380859375</v>
          </cell>
          <cell r="P248">
            <v>8559.3285989029591</v>
          </cell>
          <cell r="Q248">
            <v>1808.7412109375</v>
          </cell>
        </row>
        <row r="249">
          <cell r="A249" t="str">
            <v>5XXGT4L35LG419208</v>
          </cell>
          <cell r="B249">
            <v>2020</v>
          </cell>
          <cell r="C249" t="str">
            <v>KIA</v>
          </cell>
          <cell r="D249" t="str">
            <v>OPTIMA</v>
          </cell>
          <cell r="E249">
            <v>60235</v>
          </cell>
          <cell r="F249" t="str">
            <v>Grade 4.3</v>
          </cell>
          <cell r="G249" t="str">
            <v>Certified</v>
          </cell>
          <cell r="H249" t="str">
            <v>Yes</v>
          </cell>
          <cell r="I249" t="str">
            <v>No</v>
          </cell>
          <cell r="J249">
            <v>45722</v>
          </cell>
          <cell r="K249" t="str">
            <v>Yes</v>
          </cell>
          <cell r="L249">
            <v>43612</v>
          </cell>
          <cell r="M249">
            <v>264</v>
          </cell>
          <cell r="N249">
            <v>314</v>
          </cell>
          <cell r="O249">
            <v>11098.3447265625</v>
          </cell>
          <cell r="P249">
            <v>13130.55302661265</v>
          </cell>
          <cell r="Q249">
            <v>11065.423828125</v>
          </cell>
        </row>
        <row r="250">
          <cell r="A250" t="str">
            <v>5XXGT4L37GG003232</v>
          </cell>
          <cell r="B250">
            <v>2016</v>
          </cell>
          <cell r="C250" t="str">
            <v>KIA</v>
          </cell>
          <cell r="D250" t="str">
            <v>OPTIMA</v>
          </cell>
          <cell r="E250">
            <v>112794</v>
          </cell>
          <cell r="F250" t="str">
            <v>Grade 3.9</v>
          </cell>
          <cell r="G250" t="str">
            <v>Red Light</v>
          </cell>
          <cell r="H250" t="str">
            <v>No</v>
          </cell>
          <cell r="I250" t="str">
            <v>Yes</v>
          </cell>
          <cell r="J250">
            <v>45330</v>
          </cell>
          <cell r="K250" t="str">
            <v>Yes</v>
          </cell>
          <cell r="L250">
            <v>43612</v>
          </cell>
          <cell r="M250">
            <v>264</v>
          </cell>
          <cell r="N250">
            <v>314</v>
          </cell>
          <cell r="O250">
            <v>5143.93115234375</v>
          </cell>
          <cell r="P250">
            <v>9585.3973607468124</v>
          </cell>
          <cell r="Q250">
            <v>5081.0556640625</v>
          </cell>
        </row>
        <row r="251">
          <cell r="A251" t="str">
            <v>5XYKTCA6XEG532068</v>
          </cell>
          <cell r="B251">
            <v>2014</v>
          </cell>
          <cell r="C251" t="str">
            <v>KIA</v>
          </cell>
          <cell r="D251" t="str">
            <v>SORENTO</v>
          </cell>
          <cell r="E251">
            <v>98806</v>
          </cell>
          <cell r="F251" t="str">
            <v>Grade 1.3</v>
          </cell>
          <cell r="G251" t="str">
            <v>Inoperable</v>
          </cell>
          <cell r="H251" t="str">
            <v>No</v>
          </cell>
          <cell r="I251" t="str">
            <v>Yes</v>
          </cell>
          <cell r="J251">
            <v>45384</v>
          </cell>
          <cell r="K251" t="str">
            <v>Yes</v>
          </cell>
          <cell r="L251">
            <v>43612</v>
          </cell>
          <cell r="M251">
            <v>264</v>
          </cell>
          <cell r="N251">
            <v>314</v>
          </cell>
          <cell r="O251">
            <v>1996.314208984375</v>
          </cell>
          <cell r="P251">
            <v>8739.309059658035</v>
          </cell>
          <cell r="Q251">
            <v>1931.272583007812</v>
          </cell>
        </row>
        <row r="252">
          <cell r="A252" t="str">
            <v>5XYPGDA58HG324007</v>
          </cell>
          <cell r="B252">
            <v>2017</v>
          </cell>
          <cell r="C252" t="str">
            <v>KIA</v>
          </cell>
          <cell r="D252" t="str">
            <v>SORENTO</v>
          </cell>
          <cell r="E252">
            <v>116358</v>
          </cell>
          <cell r="F252" t="str">
            <v>Grade 3.7</v>
          </cell>
          <cell r="G252" t="str">
            <v>Certified</v>
          </cell>
          <cell r="H252" t="str">
            <v>Yes</v>
          </cell>
          <cell r="I252" t="str">
            <v>No</v>
          </cell>
          <cell r="J252">
            <v>45370</v>
          </cell>
          <cell r="K252" t="str">
            <v>Yes</v>
          </cell>
          <cell r="L252">
            <v>43612</v>
          </cell>
          <cell r="M252">
            <v>264</v>
          </cell>
          <cell r="N252">
            <v>314</v>
          </cell>
          <cell r="O252">
            <v>5805.85400390625</v>
          </cell>
          <cell r="P252">
            <v>9615.156948233227</v>
          </cell>
          <cell r="Q252">
            <v>5924.63134765625</v>
          </cell>
        </row>
        <row r="253">
          <cell r="A253" t="str">
            <v>5XYZU3LB9FG295175</v>
          </cell>
          <cell r="B253">
            <v>2015</v>
          </cell>
          <cell r="C253" t="str">
            <v>HYUNDAI</v>
          </cell>
          <cell r="D253" t="str">
            <v>SANTA SP FWD 4C</v>
          </cell>
          <cell r="E253">
            <v>161429</v>
          </cell>
          <cell r="F253" t="str">
            <v>Grade 2.6</v>
          </cell>
          <cell r="G253" t="str">
            <v>Red Light</v>
          </cell>
          <cell r="H253" t="str">
            <v>No</v>
          </cell>
          <cell r="I253" t="str">
            <v>Yes</v>
          </cell>
          <cell r="J253">
            <v>45351</v>
          </cell>
          <cell r="K253" t="str">
            <v>Yes</v>
          </cell>
          <cell r="L253">
            <v>43612</v>
          </cell>
          <cell r="M253">
            <v>264</v>
          </cell>
          <cell r="N253">
            <v>314</v>
          </cell>
          <cell r="O253">
            <v>1619.369506835938</v>
          </cell>
          <cell r="P253">
            <v>8746.6526781620123</v>
          </cell>
          <cell r="Q253">
            <v>1545.571166992188</v>
          </cell>
        </row>
        <row r="254">
          <cell r="A254" t="str">
            <v>5XYZUDLA2EG164794</v>
          </cell>
          <cell r="B254">
            <v>2014</v>
          </cell>
          <cell r="C254" t="str">
            <v>HYUNDAI</v>
          </cell>
          <cell r="D254" t="str">
            <v>SANTA SP AWD 4C</v>
          </cell>
          <cell r="E254">
            <v>125970</v>
          </cell>
          <cell r="F254" t="str">
            <v>Grade 2.0</v>
          </cell>
          <cell r="G254" t="str">
            <v>Inoperable</v>
          </cell>
          <cell r="H254" t="str">
            <v>No</v>
          </cell>
          <cell r="I254" t="str">
            <v>Yes</v>
          </cell>
          <cell r="J254">
            <v>45631</v>
          </cell>
          <cell r="K254" t="str">
            <v>Yes</v>
          </cell>
          <cell r="L254">
            <v>43612</v>
          </cell>
          <cell r="M254">
            <v>264</v>
          </cell>
          <cell r="N254">
            <v>314</v>
          </cell>
          <cell r="O254">
            <v>1149.75341796875</v>
          </cell>
          <cell r="P254">
            <v>8676.1219526653676</v>
          </cell>
          <cell r="Q254">
            <v>1281.388061523438</v>
          </cell>
        </row>
        <row r="255">
          <cell r="A255" t="str">
            <v>5YFBU4EE6DP170397</v>
          </cell>
          <cell r="B255">
            <v>2013</v>
          </cell>
          <cell r="C255" t="str">
            <v>TOYOTA</v>
          </cell>
          <cell r="D255" t="str">
            <v>COROLLA</v>
          </cell>
          <cell r="E255">
            <v>74935</v>
          </cell>
          <cell r="F255" t="str">
            <v>Grade 2.8</v>
          </cell>
          <cell r="G255" t="str">
            <v>Green Light</v>
          </cell>
          <cell r="H255" t="str">
            <v>Yes</v>
          </cell>
          <cell r="I255" t="str">
            <v>No</v>
          </cell>
          <cell r="J255">
            <v>45505</v>
          </cell>
          <cell r="K255" t="str">
            <v>Yes</v>
          </cell>
          <cell r="L255">
            <v>43612</v>
          </cell>
          <cell r="M255">
            <v>264</v>
          </cell>
          <cell r="N255">
            <v>314</v>
          </cell>
          <cell r="O255">
            <v>4919.6357421875</v>
          </cell>
          <cell r="P255">
            <v>9639.8172079718715</v>
          </cell>
          <cell r="Q255">
            <v>4913.08251953125</v>
          </cell>
        </row>
        <row r="256">
          <cell r="A256" t="str">
            <v>JA4AD3A36GZ059444</v>
          </cell>
          <cell r="B256">
            <v>2016</v>
          </cell>
          <cell r="C256" t="str">
            <v>MITSUBISHI</v>
          </cell>
          <cell r="D256" t="str">
            <v>OUTLANDER</v>
          </cell>
          <cell r="E256">
            <v>150044</v>
          </cell>
          <cell r="F256" t="str">
            <v>Grade 1.3</v>
          </cell>
          <cell r="G256" t="str">
            <v>Red Light</v>
          </cell>
          <cell r="H256" t="str">
            <v>No</v>
          </cell>
          <cell r="I256" t="str">
            <v>Yes</v>
          </cell>
          <cell r="J256">
            <v>45370</v>
          </cell>
          <cell r="K256" t="str">
            <v>Yes</v>
          </cell>
          <cell r="L256">
            <v>43612</v>
          </cell>
          <cell r="M256">
            <v>264</v>
          </cell>
          <cell r="N256">
            <v>314</v>
          </cell>
          <cell r="O256">
            <v>936.63580322265625</v>
          </cell>
          <cell r="P256">
            <v>9077.8935719803285</v>
          </cell>
          <cell r="Q256">
            <v>1083.871215820312</v>
          </cell>
        </row>
        <row r="257">
          <cell r="A257" t="str">
            <v>JN8AS5MV5CW706422</v>
          </cell>
          <cell r="B257">
            <v>2012</v>
          </cell>
          <cell r="C257" t="str">
            <v>NISSAN</v>
          </cell>
          <cell r="D257" t="str">
            <v>ROGUE</v>
          </cell>
          <cell r="E257">
            <v>115447</v>
          </cell>
          <cell r="F257" t="str">
            <v>Grade 1.7</v>
          </cell>
          <cell r="G257" t="str">
            <v>Inoperable</v>
          </cell>
          <cell r="H257" t="str">
            <v>No</v>
          </cell>
          <cell r="I257" t="str">
            <v>Yes</v>
          </cell>
          <cell r="J257">
            <v>45706</v>
          </cell>
          <cell r="K257" t="str">
            <v>Yes</v>
          </cell>
          <cell r="L257">
            <v>43612</v>
          </cell>
          <cell r="M257">
            <v>264</v>
          </cell>
          <cell r="N257">
            <v>314</v>
          </cell>
          <cell r="O257">
            <v>916.76983642578125</v>
          </cell>
          <cell r="P257">
            <v>8797.9194358895857</v>
          </cell>
          <cell r="Q257">
            <v>1088.946655273438</v>
          </cell>
        </row>
        <row r="258">
          <cell r="A258" t="str">
            <v>KL4CJ1SM2KB726993</v>
          </cell>
          <cell r="B258">
            <v>2019</v>
          </cell>
          <cell r="C258" t="str">
            <v>BUICK</v>
          </cell>
          <cell r="D258" t="str">
            <v>ENCORE</v>
          </cell>
          <cell r="E258">
            <v>104589</v>
          </cell>
          <cell r="F258" t="str">
            <v>Grade 4.4</v>
          </cell>
          <cell r="G258" t="str">
            <v>Certified</v>
          </cell>
          <cell r="H258" t="str">
            <v>Yes</v>
          </cell>
          <cell r="I258" t="str">
            <v>No</v>
          </cell>
          <cell r="J258">
            <v>45720</v>
          </cell>
          <cell r="K258" t="str">
            <v>Yes</v>
          </cell>
          <cell r="L258">
            <v>43612</v>
          </cell>
          <cell r="M258">
            <v>264</v>
          </cell>
          <cell r="N258">
            <v>314</v>
          </cell>
          <cell r="O258">
            <v>8608.0302734375</v>
          </cell>
          <cell r="P258">
            <v>9971.9339258126438</v>
          </cell>
          <cell r="Q258">
            <v>8610.6123046875</v>
          </cell>
        </row>
        <row r="259">
          <cell r="A259" t="str">
            <v>KL4CJASB4FB253571</v>
          </cell>
          <cell r="B259">
            <v>2015</v>
          </cell>
          <cell r="C259" t="str">
            <v>BUICK</v>
          </cell>
          <cell r="D259" t="str">
            <v>ENCORE</v>
          </cell>
          <cell r="E259">
            <v>113643</v>
          </cell>
          <cell r="F259" t="str">
            <v>Grade 1.6</v>
          </cell>
          <cell r="G259" t="str">
            <v>Inoperable</v>
          </cell>
          <cell r="H259" t="str">
            <v>No</v>
          </cell>
          <cell r="I259" t="str">
            <v>Yes</v>
          </cell>
          <cell r="J259">
            <v>45734</v>
          </cell>
          <cell r="K259" t="str">
            <v>Yes</v>
          </cell>
          <cell r="L259">
            <v>43612</v>
          </cell>
          <cell r="M259">
            <v>264</v>
          </cell>
          <cell r="N259">
            <v>314</v>
          </cell>
          <cell r="O259">
            <v>1460.77392578125</v>
          </cell>
          <cell r="P259">
            <v>9053.5661723683843</v>
          </cell>
          <cell r="Q259">
            <v>1395.367431640625</v>
          </cell>
        </row>
        <row r="260">
          <cell r="A260" t="str">
            <v>KL4CJASB6KB708964</v>
          </cell>
          <cell r="B260">
            <v>2019</v>
          </cell>
          <cell r="C260" t="str">
            <v>BUICK</v>
          </cell>
          <cell r="D260" t="str">
            <v>ENCORE</v>
          </cell>
          <cell r="E260">
            <v>94490</v>
          </cell>
          <cell r="F260" t="str">
            <v>Grade 4.3</v>
          </cell>
          <cell r="G260" t="str">
            <v>Certified</v>
          </cell>
          <cell r="H260" t="str">
            <v>Yes</v>
          </cell>
          <cell r="I260" t="str">
            <v>No</v>
          </cell>
          <cell r="J260">
            <v>45692</v>
          </cell>
          <cell r="K260" t="str">
            <v>Yes</v>
          </cell>
          <cell r="L260">
            <v>43612</v>
          </cell>
          <cell r="M260">
            <v>264</v>
          </cell>
          <cell r="N260">
            <v>314</v>
          </cell>
          <cell r="O260">
            <v>9192.6279296875</v>
          </cell>
          <cell r="P260">
            <v>10107.876881296421</v>
          </cell>
          <cell r="Q260">
            <v>9481.7255859375</v>
          </cell>
        </row>
        <row r="261">
          <cell r="A261" t="str">
            <v>KL7CJPSBXJB665847</v>
          </cell>
          <cell r="B261">
            <v>2018</v>
          </cell>
          <cell r="C261" t="str">
            <v>CHEVROLET</v>
          </cell>
          <cell r="D261" t="str">
            <v>TRAX AWD</v>
          </cell>
          <cell r="E261">
            <v>75196</v>
          </cell>
          <cell r="F261" t="str">
            <v>Grade 2.5</v>
          </cell>
          <cell r="G261" t="str">
            <v>Green/Yellow</v>
          </cell>
          <cell r="H261" t="str">
            <v>Yes</v>
          </cell>
          <cell r="I261" t="str">
            <v>No</v>
          </cell>
          <cell r="J261">
            <v>45512</v>
          </cell>
          <cell r="K261" t="str">
            <v>Yes</v>
          </cell>
          <cell r="L261">
            <v>43612</v>
          </cell>
          <cell r="M261">
            <v>264</v>
          </cell>
          <cell r="N261">
            <v>314</v>
          </cell>
          <cell r="O261">
            <v>6876.63720703125</v>
          </cell>
          <cell r="P261">
            <v>9733.0404893265641</v>
          </cell>
          <cell r="Q261">
            <v>6959.8779296875</v>
          </cell>
        </row>
        <row r="262">
          <cell r="A262" t="str">
            <v>KMHTC6AD2HU309218</v>
          </cell>
          <cell r="B262">
            <v>2017</v>
          </cell>
          <cell r="C262" t="str">
            <v>HYUNDAI</v>
          </cell>
          <cell r="D262" t="str">
            <v>VELOSTER</v>
          </cell>
          <cell r="E262">
            <v>103620</v>
          </cell>
          <cell r="F262" t="str">
            <v>Grade 1.9</v>
          </cell>
          <cell r="G262" t="str">
            <v>Inoperable</v>
          </cell>
          <cell r="H262" t="str">
            <v>No</v>
          </cell>
          <cell r="I262" t="str">
            <v>Yes</v>
          </cell>
          <cell r="J262">
            <v>45664</v>
          </cell>
          <cell r="K262" t="str">
            <v>Yes</v>
          </cell>
          <cell r="L262">
            <v>43612</v>
          </cell>
          <cell r="M262">
            <v>264</v>
          </cell>
          <cell r="N262">
            <v>314</v>
          </cell>
          <cell r="O262">
            <v>2378.755615234375</v>
          </cell>
          <cell r="P262">
            <v>8678.450593179783</v>
          </cell>
          <cell r="Q262">
            <v>2319.4345703125</v>
          </cell>
        </row>
        <row r="263">
          <cell r="A263" t="str">
            <v>KMHTC6AE0FU231477</v>
          </cell>
          <cell r="B263">
            <v>2015</v>
          </cell>
          <cell r="C263" t="str">
            <v>HYUNDAI</v>
          </cell>
          <cell r="D263" t="str">
            <v>VELOSTER</v>
          </cell>
          <cell r="E263">
            <v>112014</v>
          </cell>
          <cell r="F263" t="str">
            <v>Grade 3.4</v>
          </cell>
          <cell r="G263" t="str">
            <v>Red Light</v>
          </cell>
          <cell r="H263" t="str">
            <v>No</v>
          </cell>
          <cell r="I263" t="str">
            <v>Yes</v>
          </cell>
          <cell r="J263">
            <v>45729</v>
          </cell>
          <cell r="K263" t="str">
            <v>Yes</v>
          </cell>
          <cell r="L263">
            <v>43612</v>
          </cell>
          <cell r="M263">
            <v>264</v>
          </cell>
          <cell r="N263">
            <v>314</v>
          </cell>
          <cell r="O263">
            <v>4557.71630859375</v>
          </cell>
          <cell r="P263">
            <v>8728.9974677224382</v>
          </cell>
          <cell r="Q263">
            <v>4476.63671875</v>
          </cell>
        </row>
        <row r="264">
          <cell r="A264" t="str">
            <v>KMHTC6AE5DU179020</v>
          </cell>
          <cell r="B264">
            <v>2013</v>
          </cell>
          <cell r="C264" t="str">
            <v>HYUNDAI</v>
          </cell>
          <cell r="D264" t="str">
            <v>VELOSTER</v>
          </cell>
          <cell r="E264">
            <v>115805</v>
          </cell>
          <cell r="F264" t="str">
            <v>Grade 2.0</v>
          </cell>
          <cell r="G264" t="str">
            <v>Red Light</v>
          </cell>
          <cell r="H264" t="str">
            <v>No</v>
          </cell>
          <cell r="I264" t="str">
            <v>Yes</v>
          </cell>
          <cell r="J264">
            <v>45412</v>
          </cell>
          <cell r="K264" t="str">
            <v>Yes</v>
          </cell>
          <cell r="L264">
            <v>43612</v>
          </cell>
          <cell r="M264">
            <v>264</v>
          </cell>
          <cell r="N264">
            <v>314</v>
          </cell>
          <cell r="O264">
            <v>1456.219848632812</v>
          </cell>
          <cell r="P264">
            <v>8629.297319800502</v>
          </cell>
          <cell r="Q264">
            <v>1403.335083007812</v>
          </cell>
        </row>
        <row r="265">
          <cell r="A265" t="str">
            <v>KNAGM4AD8F5079275</v>
          </cell>
          <cell r="B265">
            <v>2015</v>
          </cell>
          <cell r="C265" t="str">
            <v>KIA</v>
          </cell>
          <cell r="D265" t="str">
            <v>OPTIMA</v>
          </cell>
          <cell r="E265">
            <v>183928</v>
          </cell>
          <cell r="F265" t="str">
            <v>Grade 2.0</v>
          </cell>
          <cell r="G265" t="str">
            <v>Inoperable</v>
          </cell>
          <cell r="H265" t="str">
            <v>No</v>
          </cell>
          <cell r="I265" t="str">
            <v>Yes</v>
          </cell>
          <cell r="J265">
            <v>45722</v>
          </cell>
          <cell r="K265" t="str">
            <v>Yes</v>
          </cell>
          <cell r="L265">
            <v>43612</v>
          </cell>
          <cell r="M265">
            <v>264</v>
          </cell>
          <cell r="N265">
            <v>314</v>
          </cell>
          <cell r="O265">
            <v>621.27838134765625</v>
          </cell>
          <cell r="P265">
            <v>8564.631798039858</v>
          </cell>
          <cell r="Q265">
            <v>938.1177978515625</v>
          </cell>
        </row>
        <row r="266">
          <cell r="A266" t="str">
            <v>KNDJ23AU5L7056948</v>
          </cell>
          <cell r="B266">
            <v>2020</v>
          </cell>
          <cell r="C266" t="str">
            <v>KIA</v>
          </cell>
          <cell r="D266" t="str">
            <v>SOUL</v>
          </cell>
          <cell r="E266">
            <v>46183</v>
          </cell>
          <cell r="F266" t="str">
            <v>Grade 2.9</v>
          </cell>
          <cell r="G266" t="str">
            <v>Certified</v>
          </cell>
          <cell r="H266" t="str">
            <v>Yes</v>
          </cell>
          <cell r="I266" t="str">
            <v>No</v>
          </cell>
          <cell r="J266">
            <v>45659</v>
          </cell>
          <cell r="K266" t="str">
            <v>Yes</v>
          </cell>
          <cell r="L266">
            <v>43612</v>
          </cell>
          <cell r="M266">
            <v>264</v>
          </cell>
          <cell r="N266">
            <v>314</v>
          </cell>
          <cell r="O266">
            <v>7855.953125</v>
          </cell>
          <cell r="P266">
            <v>12281.06997360222</v>
          </cell>
          <cell r="Q266">
            <v>8101.36669921875</v>
          </cell>
        </row>
        <row r="267">
          <cell r="A267" t="str">
            <v>KNDJ23AU6L7018628</v>
          </cell>
          <cell r="B267">
            <v>2020</v>
          </cell>
          <cell r="C267" t="str">
            <v>KIA</v>
          </cell>
          <cell r="D267" t="str">
            <v>SOUL</v>
          </cell>
          <cell r="E267">
            <v>95468</v>
          </cell>
          <cell r="F267" t="str">
            <v>Grade 3.7</v>
          </cell>
          <cell r="G267" t="str">
            <v>Green/Yellow</v>
          </cell>
          <cell r="H267" t="str">
            <v>Yes</v>
          </cell>
          <cell r="I267" t="str">
            <v>No</v>
          </cell>
          <cell r="J267">
            <v>45666</v>
          </cell>
          <cell r="K267" t="str">
            <v>Yes</v>
          </cell>
          <cell r="L267">
            <v>43612</v>
          </cell>
          <cell r="M267">
            <v>264</v>
          </cell>
          <cell r="N267">
            <v>314</v>
          </cell>
          <cell r="O267">
            <v>7419.75634765625</v>
          </cell>
          <cell r="P267">
            <v>11153.95981633826</v>
          </cell>
          <cell r="Q267">
            <v>7056.85595703125</v>
          </cell>
        </row>
        <row r="268">
          <cell r="A268" t="str">
            <v>KNDJ23AU7L7057406</v>
          </cell>
          <cell r="B268">
            <v>2020</v>
          </cell>
          <cell r="C268" t="str">
            <v>KIA</v>
          </cell>
          <cell r="D268" t="str">
            <v>SOUL</v>
          </cell>
          <cell r="E268">
            <v>110319</v>
          </cell>
          <cell r="F268" t="str">
            <v>Grade 2.9</v>
          </cell>
          <cell r="G268" t="str">
            <v>Green/Yellow</v>
          </cell>
          <cell r="H268" t="str">
            <v>Yes</v>
          </cell>
          <cell r="I268" t="str">
            <v>No</v>
          </cell>
          <cell r="J268">
            <v>45449</v>
          </cell>
          <cell r="K268" t="str">
            <v>Yes</v>
          </cell>
          <cell r="L268">
            <v>43612</v>
          </cell>
          <cell r="M268">
            <v>264</v>
          </cell>
          <cell r="N268">
            <v>314</v>
          </cell>
          <cell r="O268">
            <v>4927.38427734375</v>
          </cell>
          <cell r="P268">
            <v>10088.068393108349</v>
          </cell>
          <cell r="Q268">
            <v>4723.94921875</v>
          </cell>
        </row>
        <row r="269">
          <cell r="A269" t="str">
            <v>KNDJP3A58G7851718</v>
          </cell>
          <cell r="B269">
            <v>2016</v>
          </cell>
          <cell r="C269" t="str">
            <v>KIA</v>
          </cell>
          <cell r="D269" t="str">
            <v>SOUL</v>
          </cell>
          <cell r="E269">
            <v>108145</v>
          </cell>
          <cell r="F269" t="str">
            <v>Grade 2.7</v>
          </cell>
          <cell r="G269" t="str">
            <v>Red Light</v>
          </cell>
          <cell r="H269" t="str">
            <v>No</v>
          </cell>
          <cell r="I269" t="str">
            <v>Yes</v>
          </cell>
          <cell r="J269">
            <v>45589</v>
          </cell>
          <cell r="K269" t="str">
            <v>Yes</v>
          </cell>
          <cell r="L269">
            <v>43612</v>
          </cell>
          <cell r="M269">
            <v>264</v>
          </cell>
          <cell r="N269">
            <v>314</v>
          </cell>
          <cell r="O269">
            <v>1972.948608398438</v>
          </cell>
          <cell r="P269">
            <v>8680.376535382502</v>
          </cell>
          <cell r="Q269">
            <v>1931.272583007812</v>
          </cell>
        </row>
        <row r="270">
          <cell r="A270" t="str">
            <v>KNDPC3A24D7420798</v>
          </cell>
          <cell r="B270">
            <v>2013</v>
          </cell>
          <cell r="C270" t="str">
            <v>KIA</v>
          </cell>
          <cell r="D270" t="str">
            <v>SPORTAGE</v>
          </cell>
          <cell r="E270">
            <v>110149</v>
          </cell>
          <cell r="F270" t="str">
            <v>Grade 4.4</v>
          </cell>
          <cell r="G270" t="str">
            <v>Certified</v>
          </cell>
          <cell r="H270" t="str">
            <v>Yes</v>
          </cell>
          <cell r="I270" t="str">
            <v>No</v>
          </cell>
          <cell r="J270">
            <v>45538</v>
          </cell>
          <cell r="K270" t="str">
            <v>Yes</v>
          </cell>
          <cell r="L270">
            <v>43612</v>
          </cell>
          <cell r="M270">
            <v>264</v>
          </cell>
          <cell r="N270">
            <v>314</v>
          </cell>
          <cell r="O270">
            <v>4908.703125</v>
          </cell>
          <cell r="P270">
            <v>9600.2473000991413</v>
          </cell>
          <cell r="Q270">
            <v>4901.34814453125</v>
          </cell>
        </row>
        <row r="271">
          <cell r="A271" t="str">
            <v>MAJ3P1VEXJC197171</v>
          </cell>
          <cell r="B271">
            <v>2018</v>
          </cell>
          <cell r="C271" t="str">
            <v>FORD</v>
          </cell>
          <cell r="D271" t="str">
            <v>ECOSPORT</v>
          </cell>
          <cell r="E271">
            <v>78622</v>
          </cell>
          <cell r="F271" t="str">
            <v>Grade 1.7</v>
          </cell>
          <cell r="G271" t="str">
            <v>Red Light</v>
          </cell>
          <cell r="H271" t="str">
            <v>No</v>
          </cell>
          <cell r="I271" t="str">
            <v>Yes</v>
          </cell>
          <cell r="J271">
            <v>45580</v>
          </cell>
          <cell r="K271" t="str">
            <v>Yes</v>
          </cell>
          <cell r="L271">
            <v>43612</v>
          </cell>
          <cell r="M271">
            <v>264</v>
          </cell>
          <cell r="N271">
            <v>314</v>
          </cell>
          <cell r="O271">
            <v>5618.29931640625</v>
          </cell>
          <cell r="P271">
            <v>9510.6532975979917</v>
          </cell>
          <cell r="Q271">
            <v>5701.3681640625</v>
          </cell>
        </row>
        <row r="272">
          <cell r="A272" t="str">
            <v>WAUKMAF46JA160681</v>
          </cell>
          <cell r="B272">
            <v>2018</v>
          </cell>
          <cell r="C272" t="str">
            <v>AUDI</v>
          </cell>
          <cell r="D272" t="str">
            <v>A4</v>
          </cell>
          <cell r="E272">
            <v>74366</v>
          </cell>
          <cell r="F272" t="str">
            <v>Grade 2.6</v>
          </cell>
          <cell r="G272" t="str">
            <v>Red Light</v>
          </cell>
          <cell r="H272" t="str">
            <v>No</v>
          </cell>
          <cell r="I272" t="str">
            <v>Yes</v>
          </cell>
          <cell r="J272">
            <v>45594</v>
          </cell>
          <cell r="K272" t="str">
            <v>Yes</v>
          </cell>
          <cell r="L272">
            <v>43612</v>
          </cell>
          <cell r="M272">
            <v>264</v>
          </cell>
          <cell r="N272">
            <v>314</v>
          </cell>
          <cell r="O272">
            <v>6898.240234375</v>
          </cell>
          <cell r="P272">
            <v>9448.5837605043835</v>
          </cell>
          <cell r="Q272">
            <v>6932.6611328125</v>
          </cell>
        </row>
        <row r="273">
          <cell r="A273" t="str">
            <v>WDDGF4HB4DA797725</v>
          </cell>
          <cell r="B273">
            <v>2013</v>
          </cell>
          <cell r="C273" t="str">
            <v>MERCEDES B</v>
          </cell>
          <cell r="D273" t="str">
            <v>C250W</v>
          </cell>
          <cell r="E273">
            <v>117120</v>
          </cell>
          <cell r="F273" t="str">
            <v>Grade 2.6</v>
          </cell>
          <cell r="G273" t="str">
            <v>Red Light</v>
          </cell>
          <cell r="H273" t="str">
            <v>No</v>
          </cell>
          <cell r="I273" t="str">
            <v>Yes</v>
          </cell>
          <cell r="J273">
            <v>45568</v>
          </cell>
          <cell r="K273" t="str">
            <v>Yes</v>
          </cell>
          <cell r="L273">
            <v>43612</v>
          </cell>
          <cell r="M273">
            <v>264</v>
          </cell>
          <cell r="N273">
            <v>314</v>
          </cell>
          <cell r="O273">
            <v>2097.89599609375</v>
          </cell>
          <cell r="P273">
            <v>9295.3222408439142</v>
          </cell>
          <cell r="Q273">
            <v>2082.649169921875</v>
          </cell>
        </row>
        <row r="274">
          <cell r="A274" t="str">
            <v>WMWZC5C54FWP45274</v>
          </cell>
          <cell r="B274">
            <v>2015</v>
          </cell>
          <cell r="C274" t="str">
            <v>MINI</v>
          </cell>
          <cell r="D274" t="str">
            <v>COUNTRYMAN</v>
          </cell>
          <cell r="E274">
            <v>77532</v>
          </cell>
          <cell r="F274" t="str">
            <v>Grade 2.1</v>
          </cell>
          <cell r="G274" t="str">
            <v>Inoperable</v>
          </cell>
          <cell r="H274" t="str">
            <v>No</v>
          </cell>
          <cell r="I274" t="str">
            <v>Yes</v>
          </cell>
          <cell r="J274">
            <v>45636</v>
          </cell>
          <cell r="K274" t="str">
            <v>Yes</v>
          </cell>
          <cell r="L274">
            <v>43612</v>
          </cell>
          <cell r="M274">
            <v>264</v>
          </cell>
          <cell r="N274">
            <v>314</v>
          </cell>
          <cell r="O274">
            <v>2734.1787109375</v>
          </cell>
          <cell r="P274">
            <v>9000.3996916817196</v>
          </cell>
          <cell r="Q274">
            <v>2601.28369140625</v>
          </cell>
        </row>
        <row r="275">
          <cell r="A275" t="str">
            <v>YV1612TK8F1350893</v>
          </cell>
          <cell r="B275">
            <v>2015</v>
          </cell>
          <cell r="C275" t="str">
            <v>VOLVO</v>
          </cell>
          <cell r="D275" t="str">
            <v>S60</v>
          </cell>
          <cell r="E275">
            <v>138718</v>
          </cell>
          <cell r="F275" t="str">
            <v>Grade 3.8</v>
          </cell>
          <cell r="G275" t="str">
            <v>Green Light</v>
          </cell>
          <cell r="H275" t="str">
            <v>Yes</v>
          </cell>
          <cell r="I275" t="str">
            <v>No</v>
          </cell>
          <cell r="J275">
            <v>45356</v>
          </cell>
          <cell r="K275" t="str">
            <v>Yes</v>
          </cell>
          <cell r="L275">
            <v>43612</v>
          </cell>
          <cell r="M275">
            <v>264</v>
          </cell>
          <cell r="N275">
            <v>314</v>
          </cell>
          <cell r="O275">
            <v>5911.626953125</v>
          </cell>
          <cell r="P275">
            <v>9807.2362540699432</v>
          </cell>
          <cell r="Q275">
            <v>6093.31884765625</v>
          </cell>
        </row>
        <row r="276">
          <cell r="A276" t="str">
            <v>ZACCJBAB5JPJ59000</v>
          </cell>
          <cell r="B276">
            <v>2018</v>
          </cell>
          <cell r="C276" t="str">
            <v>JEEP</v>
          </cell>
          <cell r="D276" t="str">
            <v>RENEGADE 4X4 4C</v>
          </cell>
          <cell r="E276">
            <v>49944</v>
          </cell>
          <cell r="F276" t="str">
            <v>Grade 3.6</v>
          </cell>
          <cell r="G276" t="str">
            <v>Green Light</v>
          </cell>
          <cell r="H276" t="str">
            <v>Yes</v>
          </cell>
          <cell r="I276" t="str">
            <v>No</v>
          </cell>
          <cell r="J276">
            <v>45589</v>
          </cell>
          <cell r="K276" t="str">
            <v>Yes</v>
          </cell>
          <cell r="L276">
            <v>43612</v>
          </cell>
          <cell r="M276">
            <v>264</v>
          </cell>
          <cell r="N276">
            <v>314</v>
          </cell>
          <cell r="O276">
            <v>14081.9853515625</v>
          </cell>
          <cell r="P276">
            <v>12475.69842474186</v>
          </cell>
          <cell r="Q276">
            <v>14068.7763671875</v>
          </cell>
        </row>
        <row r="277">
          <cell r="A277" t="str">
            <v>1FTEX1CB6JFE08246</v>
          </cell>
          <cell r="B277">
            <v>2018</v>
          </cell>
          <cell r="C277" t="str">
            <v>FORD</v>
          </cell>
          <cell r="D277" t="str">
            <v>F150 4X2 EX</v>
          </cell>
          <cell r="E277">
            <v>120576</v>
          </cell>
          <cell r="F277" t="str">
            <v>Grade 3.8</v>
          </cell>
          <cell r="G277" t="str">
            <v>Green/Yellow</v>
          </cell>
          <cell r="H277" t="str">
            <v>Yes</v>
          </cell>
          <cell r="I277" t="str">
            <v>No</v>
          </cell>
          <cell r="J277">
            <v>45680</v>
          </cell>
          <cell r="K277" t="str">
            <v>Yes</v>
          </cell>
          <cell r="L277">
            <v>43617</v>
          </cell>
          <cell r="M277">
            <v>264</v>
          </cell>
          <cell r="N277">
            <v>314</v>
          </cell>
          <cell r="O277">
            <v>8582.150390625</v>
          </cell>
          <cell r="P277">
            <v>10110.30526507749</v>
          </cell>
          <cell r="Q277">
            <v>8541.11328125</v>
          </cell>
        </row>
        <row r="278">
          <cell r="A278" t="str">
            <v>1G1ZD5ST7JF150307</v>
          </cell>
          <cell r="B278">
            <v>2018</v>
          </cell>
          <cell r="C278" t="str">
            <v>CHEVROLET</v>
          </cell>
          <cell r="D278" t="str">
            <v>MALIBU</v>
          </cell>
          <cell r="E278">
            <v>122706</v>
          </cell>
          <cell r="F278" t="str">
            <v>Grade 2.2</v>
          </cell>
          <cell r="G278" t="str">
            <v>Green Light</v>
          </cell>
          <cell r="H278" t="str">
            <v>Yes</v>
          </cell>
          <cell r="I278" t="str">
            <v>No</v>
          </cell>
          <cell r="J278">
            <v>45561</v>
          </cell>
          <cell r="K278" t="str">
            <v>Yes</v>
          </cell>
          <cell r="L278">
            <v>43617</v>
          </cell>
          <cell r="M278">
            <v>264</v>
          </cell>
          <cell r="N278">
            <v>314</v>
          </cell>
          <cell r="O278">
            <v>2978.080322265625</v>
          </cell>
          <cell r="P278">
            <v>9384.8591481717667</v>
          </cell>
          <cell r="Q278">
            <v>2931.65185546875</v>
          </cell>
        </row>
        <row r="279">
          <cell r="A279" t="str">
            <v>3GKALVEV4KL325211</v>
          </cell>
          <cell r="B279">
            <v>2019</v>
          </cell>
          <cell r="C279" t="str">
            <v>GMC TRUCK</v>
          </cell>
          <cell r="D279" t="str">
            <v>TERRAIN AWD 4C</v>
          </cell>
          <cell r="E279">
            <v>144238</v>
          </cell>
          <cell r="F279" t="str">
            <v>Grade 2.7</v>
          </cell>
          <cell r="G279" t="str">
            <v>Green Light</v>
          </cell>
          <cell r="H279" t="str">
            <v>Yes</v>
          </cell>
          <cell r="I279" t="str">
            <v>No</v>
          </cell>
          <cell r="J279">
            <v>45575</v>
          </cell>
          <cell r="K279" t="str">
            <v>Yes</v>
          </cell>
          <cell r="L279">
            <v>43617</v>
          </cell>
          <cell r="M279">
            <v>264</v>
          </cell>
          <cell r="N279">
            <v>314</v>
          </cell>
          <cell r="O279">
            <v>5002.4248046875</v>
          </cell>
          <cell r="P279">
            <v>9397.9987413738145</v>
          </cell>
          <cell r="Q279">
            <v>4920.083984375</v>
          </cell>
        </row>
        <row r="280">
          <cell r="A280" t="str">
            <v>3KPF24AD3LE211959</v>
          </cell>
          <cell r="B280">
            <v>2020</v>
          </cell>
          <cell r="C280" t="str">
            <v>KIA</v>
          </cell>
          <cell r="D280" t="str">
            <v>FORTE</v>
          </cell>
          <cell r="E280">
            <v>56095</v>
          </cell>
          <cell r="F280" t="str">
            <v>Grade 1.9</v>
          </cell>
          <cell r="G280" t="str">
            <v>Certified</v>
          </cell>
          <cell r="H280" t="str">
            <v>Yes</v>
          </cell>
          <cell r="I280" t="str">
            <v>No</v>
          </cell>
          <cell r="J280">
            <v>45631</v>
          </cell>
          <cell r="K280" t="str">
            <v>Yes</v>
          </cell>
          <cell r="L280">
            <v>43617</v>
          </cell>
          <cell r="M280">
            <v>264</v>
          </cell>
          <cell r="N280">
            <v>314</v>
          </cell>
          <cell r="O280">
            <v>5373.763671875</v>
          </cell>
          <cell r="P280">
            <v>12044.13649689476</v>
          </cell>
          <cell r="Q280">
            <v>6765.0439453125</v>
          </cell>
        </row>
        <row r="281">
          <cell r="A281" t="str">
            <v>5NPD74LF1KH494511</v>
          </cell>
          <cell r="B281">
            <v>2019</v>
          </cell>
          <cell r="C281" t="str">
            <v>HYUNDAI</v>
          </cell>
          <cell r="D281" t="str">
            <v>ELANTRA</v>
          </cell>
          <cell r="E281">
            <v>43718</v>
          </cell>
          <cell r="F281" t="str">
            <v>Grade 4.3</v>
          </cell>
          <cell r="G281" t="str">
            <v>Certified</v>
          </cell>
          <cell r="H281" t="str">
            <v>Yes</v>
          </cell>
          <cell r="I281" t="str">
            <v>No</v>
          </cell>
          <cell r="J281">
            <v>45505</v>
          </cell>
          <cell r="K281" t="str">
            <v>Yes</v>
          </cell>
          <cell r="L281">
            <v>43617</v>
          </cell>
          <cell r="M281">
            <v>264</v>
          </cell>
          <cell r="N281">
            <v>314</v>
          </cell>
          <cell r="O281">
            <v>11367.59765625</v>
          </cell>
          <cell r="P281">
            <v>11908.022748659831</v>
          </cell>
          <cell r="Q281">
            <v>11245.876953125</v>
          </cell>
        </row>
        <row r="282">
          <cell r="A282" t="str">
            <v>5NPD84LF7LH580355</v>
          </cell>
          <cell r="B282">
            <v>2020</v>
          </cell>
          <cell r="C282" t="str">
            <v>HYUNDAI</v>
          </cell>
          <cell r="D282" t="str">
            <v>ELANTRA</v>
          </cell>
          <cell r="E282">
            <v>82878</v>
          </cell>
          <cell r="F282" t="str">
            <v>Grade 2.8</v>
          </cell>
          <cell r="G282" t="str">
            <v>Green Light</v>
          </cell>
          <cell r="H282" t="str">
            <v>Yes</v>
          </cell>
          <cell r="I282" t="str">
            <v>No</v>
          </cell>
          <cell r="J282">
            <v>45372</v>
          </cell>
          <cell r="K282" t="str">
            <v>Yes</v>
          </cell>
          <cell r="L282">
            <v>43617</v>
          </cell>
          <cell r="M282">
            <v>264</v>
          </cell>
          <cell r="N282">
            <v>314</v>
          </cell>
          <cell r="O282">
            <v>5719.0634765625</v>
          </cell>
          <cell r="P282">
            <v>10152.07781037116</v>
          </cell>
          <cell r="Q282">
            <v>5443.36279296875</v>
          </cell>
        </row>
        <row r="283">
          <cell r="A283" t="str">
            <v>JN1BJ1CP6KW529895</v>
          </cell>
          <cell r="B283">
            <v>2019</v>
          </cell>
          <cell r="C283" t="str">
            <v>NISSAN</v>
          </cell>
          <cell r="D283" t="str">
            <v>ROGUE SPORT FWD</v>
          </cell>
          <cell r="E283">
            <v>95840</v>
          </cell>
          <cell r="F283" t="str">
            <v>Grade 2.1</v>
          </cell>
          <cell r="G283" t="str">
            <v>Green Light</v>
          </cell>
          <cell r="H283" t="str">
            <v>No</v>
          </cell>
          <cell r="I283" t="str">
            <v>No</v>
          </cell>
          <cell r="J283">
            <v>45400</v>
          </cell>
          <cell r="K283" t="str">
            <v>Yes</v>
          </cell>
          <cell r="L283">
            <v>43617</v>
          </cell>
          <cell r="M283">
            <v>264</v>
          </cell>
          <cell r="N283">
            <v>314</v>
          </cell>
          <cell r="O283">
            <v>4401.55029296875</v>
          </cell>
          <cell r="P283">
            <v>9075.6383109403778</v>
          </cell>
          <cell r="Q283">
            <v>4356.724609375</v>
          </cell>
        </row>
        <row r="284">
          <cell r="A284" t="str">
            <v>KNDJ23AU8L7735712</v>
          </cell>
          <cell r="B284">
            <v>2020</v>
          </cell>
          <cell r="C284" t="str">
            <v>KIA</v>
          </cell>
          <cell r="D284" t="str">
            <v>SOUL</v>
          </cell>
          <cell r="E284">
            <v>51404</v>
          </cell>
          <cell r="F284" t="str">
            <v>Grade 4.4</v>
          </cell>
          <cell r="G284" t="str">
            <v>Certified</v>
          </cell>
          <cell r="H284" t="str">
            <v>No</v>
          </cell>
          <cell r="I284" t="str">
            <v>No</v>
          </cell>
          <cell r="J284">
            <v>45428</v>
          </cell>
          <cell r="K284" t="str">
            <v>Yes</v>
          </cell>
          <cell r="L284">
            <v>43617</v>
          </cell>
          <cell r="M284">
            <v>264</v>
          </cell>
          <cell r="N284">
            <v>314</v>
          </cell>
          <cell r="O284">
            <v>13801.84765625</v>
          </cell>
          <cell r="P284">
            <v>13024.708671764231</v>
          </cell>
          <cell r="Q284">
            <v>13797.9951171875</v>
          </cell>
        </row>
        <row r="285">
          <cell r="A285" t="str">
            <v>KNMAT2MV6JP584992</v>
          </cell>
          <cell r="B285">
            <v>2018</v>
          </cell>
          <cell r="C285" t="str">
            <v>NISSAN</v>
          </cell>
          <cell r="D285" t="str">
            <v>ROGUE AWD</v>
          </cell>
          <cell r="E285">
            <v>142824</v>
          </cell>
          <cell r="F285" t="str">
            <v>Grade 1.7</v>
          </cell>
          <cell r="G285" t="str">
            <v>Red Light</v>
          </cell>
          <cell r="H285" t="str">
            <v>No</v>
          </cell>
          <cell r="I285" t="str">
            <v>Yes</v>
          </cell>
          <cell r="J285">
            <v>45680</v>
          </cell>
          <cell r="K285" t="str">
            <v>Yes</v>
          </cell>
          <cell r="L285">
            <v>43617</v>
          </cell>
          <cell r="M285">
            <v>264</v>
          </cell>
          <cell r="N285">
            <v>314</v>
          </cell>
          <cell r="O285">
            <v>1717.989379882812</v>
          </cell>
          <cell r="P285">
            <v>8898.5303700392651</v>
          </cell>
          <cell r="Q285">
            <v>1672.987060546875</v>
          </cell>
        </row>
        <row r="286">
          <cell r="A286" t="str">
            <v>1C4PJLCB8EW126458</v>
          </cell>
          <cell r="B286">
            <v>2014</v>
          </cell>
          <cell r="C286" t="str">
            <v>JEEP</v>
          </cell>
          <cell r="D286" t="str">
            <v>CHEROKEE</v>
          </cell>
          <cell r="E286">
            <v>128271</v>
          </cell>
          <cell r="F286" t="str">
            <v>Grade 2.7</v>
          </cell>
          <cell r="G286" t="str">
            <v>Red Light</v>
          </cell>
          <cell r="H286" t="str">
            <v>No</v>
          </cell>
          <cell r="I286" t="str">
            <v>Yes</v>
          </cell>
          <cell r="J286">
            <v>45370</v>
          </cell>
          <cell r="K286" t="str">
            <v>Yes</v>
          </cell>
          <cell r="L286">
            <v>43725</v>
          </cell>
          <cell r="M286">
            <v>222</v>
          </cell>
          <cell r="N286">
            <v>272</v>
          </cell>
          <cell r="O286">
            <v>2640.079833984375</v>
          </cell>
          <cell r="P286">
            <v>9259.2818294889603</v>
          </cell>
          <cell r="Q286">
            <v>2542.6708984375</v>
          </cell>
        </row>
        <row r="287">
          <cell r="A287" t="str">
            <v>1VWAS7A35FC083333</v>
          </cell>
          <cell r="B287">
            <v>2015</v>
          </cell>
          <cell r="C287" t="str">
            <v>VOLKSWAGEN</v>
          </cell>
          <cell r="D287" t="str">
            <v>PASSAT 4C</v>
          </cell>
          <cell r="E287">
            <v>86149</v>
          </cell>
          <cell r="F287" t="str">
            <v>Grade 1.7</v>
          </cell>
          <cell r="G287" t="str">
            <v>Green/Yellow</v>
          </cell>
          <cell r="H287" t="str">
            <v>Yes</v>
          </cell>
          <cell r="I287" t="str">
            <v>No</v>
          </cell>
          <cell r="J287">
            <v>45407</v>
          </cell>
          <cell r="K287" t="str">
            <v>Yes</v>
          </cell>
          <cell r="L287">
            <v>43725</v>
          </cell>
          <cell r="M287">
            <v>222</v>
          </cell>
          <cell r="N287">
            <v>272</v>
          </cell>
          <cell r="O287">
            <v>1860.487060546875</v>
          </cell>
          <cell r="P287">
            <v>8995.2929262002035</v>
          </cell>
          <cell r="Q287">
            <v>1778.49755859375</v>
          </cell>
        </row>
        <row r="288">
          <cell r="A288" t="str">
            <v>JN8AF5MV0FT550915</v>
          </cell>
          <cell r="B288">
            <v>2015</v>
          </cell>
          <cell r="C288" t="str">
            <v>NISSAN</v>
          </cell>
          <cell r="D288" t="str">
            <v>JUKE</v>
          </cell>
          <cell r="E288">
            <v>80934</v>
          </cell>
          <cell r="F288" t="str">
            <v>Grade 2.8</v>
          </cell>
          <cell r="G288" t="str">
            <v>Red Light</v>
          </cell>
          <cell r="H288" t="str">
            <v>No</v>
          </cell>
          <cell r="I288" t="str">
            <v>Yes</v>
          </cell>
          <cell r="J288">
            <v>45706</v>
          </cell>
          <cell r="K288" t="str">
            <v>Yes</v>
          </cell>
          <cell r="L288">
            <v>43725</v>
          </cell>
          <cell r="M288">
            <v>222</v>
          </cell>
          <cell r="N288">
            <v>272</v>
          </cell>
          <cell r="O288">
            <v>2850.756591796875</v>
          </cell>
          <cell r="P288">
            <v>8657.8172417765145</v>
          </cell>
          <cell r="Q288">
            <v>2672.38134765625</v>
          </cell>
        </row>
        <row r="289">
          <cell r="A289" t="str">
            <v>KNAGM4A75F5653079</v>
          </cell>
          <cell r="B289">
            <v>2015</v>
          </cell>
          <cell r="C289" t="str">
            <v>KIA</v>
          </cell>
          <cell r="D289" t="str">
            <v>OPTIMA</v>
          </cell>
          <cell r="E289">
            <v>127276</v>
          </cell>
          <cell r="F289" t="str">
            <v>Grade 1.0</v>
          </cell>
          <cell r="G289" t="str">
            <v>Inoperable</v>
          </cell>
          <cell r="H289" t="str">
            <v>No</v>
          </cell>
          <cell r="I289" t="str">
            <v>Yes</v>
          </cell>
          <cell r="J289">
            <v>45407</v>
          </cell>
          <cell r="K289" t="str">
            <v>Yes</v>
          </cell>
          <cell r="L289">
            <v>43725</v>
          </cell>
          <cell r="M289">
            <v>222</v>
          </cell>
          <cell r="N289">
            <v>272</v>
          </cell>
          <cell r="O289">
            <v>1553.954467773438</v>
          </cell>
          <cell r="P289">
            <v>8556.8909724002478</v>
          </cell>
          <cell r="Q289">
            <v>1549.440307617188</v>
          </cell>
        </row>
        <row r="290">
          <cell r="A290" t="str">
            <v>1GKKRPKD2EJ310132</v>
          </cell>
          <cell r="B290">
            <v>2014</v>
          </cell>
          <cell r="C290" t="str">
            <v>GMC</v>
          </cell>
          <cell r="D290" t="str">
            <v>ACADIA</v>
          </cell>
          <cell r="E290">
            <v>107053</v>
          </cell>
          <cell r="F290" t="str">
            <v>Grade 3.2</v>
          </cell>
          <cell r="G290" t="str">
            <v>Green/Yellow</v>
          </cell>
          <cell r="H290" t="str">
            <v>Yes</v>
          </cell>
          <cell r="I290" t="str">
            <v>No</v>
          </cell>
          <cell r="J290">
            <v>45664</v>
          </cell>
          <cell r="K290" t="str">
            <v>Yes</v>
          </cell>
          <cell r="L290">
            <v>43777</v>
          </cell>
          <cell r="M290">
            <v>90</v>
          </cell>
          <cell r="N290">
            <v>120</v>
          </cell>
          <cell r="O290">
            <v>6783.84619140625</v>
          </cell>
          <cell r="P290">
            <v>10095.127449552099</v>
          </cell>
          <cell r="Q290">
            <v>6756.60546875</v>
          </cell>
        </row>
        <row r="291">
          <cell r="A291" t="str">
            <v>5XYPG4A32HG229733</v>
          </cell>
          <cell r="B291">
            <v>2017</v>
          </cell>
          <cell r="C291" t="str">
            <v>KIA</v>
          </cell>
          <cell r="D291" t="str">
            <v>SORENTO FWD 4C</v>
          </cell>
          <cell r="E291">
            <v>40980</v>
          </cell>
          <cell r="F291" t="str">
            <v>Grade 1.0</v>
          </cell>
          <cell r="G291" t="str">
            <v>Inoperable</v>
          </cell>
          <cell r="H291" t="str">
            <v>No</v>
          </cell>
          <cell r="I291" t="str">
            <v>Yes</v>
          </cell>
          <cell r="J291">
            <v>45708</v>
          </cell>
          <cell r="K291" t="str">
            <v>Yes</v>
          </cell>
          <cell r="L291">
            <v>43777</v>
          </cell>
          <cell r="M291">
            <v>90</v>
          </cell>
          <cell r="N291">
            <v>120</v>
          </cell>
          <cell r="O291">
            <v>3155.638427734375</v>
          </cell>
          <cell r="P291">
            <v>10882.29735471974</v>
          </cell>
          <cell r="Q291">
            <v>2932.7333984375</v>
          </cell>
        </row>
        <row r="292">
          <cell r="A292" t="str">
            <v>JM1BL1SG1A1298912</v>
          </cell>
          <cell r="B292">
            <v>2010</v>
          </cell>
          <cell r="C292" t="str">
            <v>MAZDA</v>
          </cell>
          <cell r="D292" t="str">
            <v>MAZDA3</v>
          </cell>
          <cell r="E292">
            <v>126711</v>
          </cell>
          <cell r="F292" t="str">
            <v>Grade 4.2</v>
          </cell>
          <cell r="G292" t="str">
            <v>Red Light</v>
          </cell>
          <cell r="H292" t="str">
            <v>No</v>
          </cell>
          <cell r="I292" t="str">
            <v>Yes</v>
          </cell>
          <cell r="J292">
            <v>45706</v>
          </cell>
          <cell r="K292" t="str">
            <v>Yes</v>
          </cell>
          <cell r="L292">
            <v>43777</v>
          </cell>
          <cell r="M292">
            <v>90</v>
          </cell>
          <cell r="N292">
            <v>120</v>
          </cell>
          <cell r="O292">
            <v>3441.100830078125</v>
          </cell>
          <cell r="P292">
            <v>9831.9471429163441</v>
          </cell>
          <cell r="Q292">
            <v>3493.63818359375</v>
          </cell>
        </row>
        <row r="293">
          <cell r="A293" t="str">
            <v>1C4NJDEB3CD537821</v>
          </cell>
          <cell r="B293">
            <v>2012</v>
          </cell>
          <cell r="C293" t="str">
            <v>JEEP</v>
          </cell>
          <cell r="D293" t="str">
            <v>COMPASS 4X4 4C</v>
          </cell>
          <cell r="E293">
            <v>141957</v>
          </cell>
          <cell r="F293" t="str">
            <v>Grade 2.0</v>
          </cell>
          <cell r="G293" t="str">
            <v>Red Light</v>
          </cell>
          <cell r="H293" t="str">
            <v>No</v>
          </cell>
          <cell r="I293" t="str">
            <v>Yes</v>
          </cell>
          <cell r="J293">
            <v>45491</v>
          </cell>
          <cell r="K293" t="str">
            <v>Yes</v>
          </cell>
          <cell r="L293">
            <v>43935</v>
          </cell>
          <cell r="M293">
            <v>222</v>
          </cell>
          <cell r="N293">
            <v>272</v>
          </cell>
          <cell r="O293">
            <v>1759.522338867188</v>
          </cell>
          <cell r="P293">
            <v>9200.5106415071186</v>
          </cell>
          <cell r="Q293">
            <v>1717.7763671875</v>
          </cell>
        </row>
        <row r="294">
          <cell r="A294" t="str">
            <v>1C4NJDEBXED622285</v>
          </cell>
          <cell r="B294">
            <v>2014</v>
          </cell>
          <cell r="C294" t="str">
            <v>JEEP</v>
          </cell>
          <cell r="D294" t="str">
            <v>COMPASS 4X4 4C</v>
          </cell>
          <cell r="E294">
            <v>110361</v>
          </cell>
          <cell r="F294" t="str">
            <v>Grade 4.4</v>
          </cell>
          <cell r="G294" t="str">
            <v>Red Light</v>
          </cell>
          <cell r="H294" t="str">
            <v>No</v>
          </cell>
          <cell r="I294" t="str">
            <v>Yes</v>
          </cell>
          <cell r="J294">
            <v>45449</v>
          </cell>
          <cell r="K294" t="str">
            <v>Yes</v>
          </cell>
          <cell r="L294">
            <v>43935</v>
          </cell>
          <cell r="M294">
            <v>222</v>
          </cell>
          <cell r="N294">
            <v>272</v>
          </cell>
          <cell r="O294">
            <v>7680.6943359375</v>
          </cell>
          <cell r="P294">
            <v>10085.54026365238</v>
          </cell>
          <cell r="Q294">
            <v>7566.962890625</v>
          </cell>
        </row>
        <row r="295">
          <cell r="A295" t="str">
            <v>1C4NJPFA6HD158679</v>
          </cell>
          <cell r="B295">
            <v>2017</v>
          </cell>
          <cell r="C295" t="str">
            <v>JEEP</v>
          </cell>
          <cell r="D295" t="str">
            <v>PATRIOT FWD 4C</v>
          </cell>
          <cell r="E295">
            <v>89170</v>
          </cell>
          <cell r="F295" t="str">
            <v>Grade 2.7</v>
          </cell>
          <cell r="G295" t="str">
            <v>Green/Yellow</v>
          </cell>
          <cell r="H295" t="str">
            <v>Yes</v>
          </cell>
          <cell r="I295" t="str">
            <v>No</v>
          </cell>
          <cell r="J295">
            <v>45722</v>
          </cell>
          <cell r="K295" t="str">
            <v>Yes</v>
          </cell>
          <cell r="L295">
            <v>43935</v>
          </cell>
          <cell r="M295">
            <v>222</v>
          </cell>
          <cell r="N295">
            <v>272</v>
          </cell>
          <cell r="O295">
            <v>5000.39794921875</v>
          </cell>
          <cell r="P295">
            <v>9431.3595788650073</v>
          </cell>
          <cell r="Q295">
            <v>4997.07080078125</v>
          </cell>
        </row>
        <row r="296">
          <cell r="A296" t="str">
            <v>1C4NJRFB3FD155367</v>
          </cell>
          <cell r="B296">
            <v>2015</v>
          </cell>
          <cell r="C296" t="str">
            <v>JEEP</v>
          </cell>
          <cell r="D296" t="str">
            <v>PATRIOT 4X4 4C</v>
          </cell>
          <cell r="E296">
            <v>119115</v>
          </cell>
          <cell r="F296" t="str">
            <v>Grade 2.4</v>
          </cell>
          <cell r="G296" t="str">
            <v>Green/Yellow</v>
          </cell>
          <cell r="H296" t="str">
            <v>Yes</v>
          </cell>
          <cell r="I296" t="str">
            <v>No</v>
          </cell>
          <cell r="J296">
            <v>45449</v>
          </cell>
          <cell r="K296" t="str">
            <v>Yes</v>
          </cell>
          <cell r="L296">
            <v>43935</v>
          </cell>
          <cell r="M296">
            <v>222</v>
          </cell>
          <cell r="N296">
            <v>272</v>
          </cell>
          <cell r="O296">
            <v>3075.113037109375</v>
          </cell>
          <cell r="P296">
            <v>9191.1668985480974</v>
          </cell>
          <cell r="Q296">
            <v>2903.33935546875</v>
          </cell>
        </row>
        <row r="297">
          <cell r="A297" t="str">
            <v>1C4RDJDG5DC692222</v>
          </cell>
          <cell r="B297">
            <v>2013</v>
          </cell>
          <cell r="C297" t="str">
            <v>DODGE</v>
          </cell>
          <cell r="D297" t="str">
            <v>DURANGO</v>
          </cell>
          <cell r="E297">
            <v>121281</v>
          </cell>
          <cell r="F297" t="str">
            <v>Grade 1.7</v>
          </cell>
          <cell r="G297" t="str">
            <v>Red Light</v>
          </cell>
          <cell r="H297" t="str">
            <v>No</v>
          </cell>
          <cell r="I297" t="str">
            <v>Yes</v>
          </cell>
          <cell r="J297">
            <v>45664</v>
          </cell>
          <cell r="K297" t="str">
            <v>Yes</v>
          </cell>
          <cell r="L297">
            <v>43935</v>
          </cell>
          <cell r="M297">
            <v>222</v>
          </cell>
          <cell r="N297">
            <v>272</v>
          </cell>
          <cell r="O297">
            <v>1843.963989257812</v>
          </cell>
          <cell r="P297">
            <v>8907.1483718595173</v>
          </cell>
          <cell r="Q297">
            <v>1778.49755859375</v>
          </cell>
        </row>
        <row r="298">
          <cell r="A298" t="str">
            <v>1C4RJEAG7KC811440</v>
          </cell>
          <cell r="B298">
            <v>2019</v>
          </cell>
          <cell r="C298" t="str">
            <v>JEEP</v>
          </cell>
          <cell r="D298" t="str">
            <v>GRAND CHEROKEE</v>
          </cell>
          <cell r="E298">
            <v>75399</v>
          </cell>
          <cell r="F298" t="str">
            <v>Grade 4.2</v>
          </cell>
          <cell r="G298" t="str">
            <v>Certified</v>
          </cell>
          <cell r="H298" t="str">
            <v>Yes</v>
          </cell>
          <cell r="I298" t="str">
            <v>No</v>
          </cell>
          <cell r="J298">
            <v>45734</v>
          </cell>
          <cell r="K298" t="str">
            <v>Yes</v>
          </cell>
          <cell r="L298">
            <v>43935</v>
          </cell>
          <cell r="M298">
            <v>222</v>
          </cell>
          <cell r="N298">
            <v>272</v>
          </cell>
          <cell r="O298">
            <v>13074.607421875</v>
          </cell>
          <cell r="P298">
            <v>10307.77869329796</v>
          </cell>
          <cell r="Q298">
            <v>13098.421875</v>
          </cell>
        </row>
        <row r="299">
          <cell r="A299" t="str">
            <v>1FADP3F26EL223193</v>
          </cell>
          <cell r="B299">
            <v>2014</v>
          </cell>
          <cell r="C299" t="str">
            <v>FORD</v>
          </cell>
          <cell r="D299" t="str">
            <v>FOCUS</v>
          </cell>
          <cell r="E299">
            <v>102250</v>
          </cell>
          <cell r="F299" t="str">
            <v>Grade 1.3</v>
          </cell>
          <cell r="G299" t="str">
            <v>Red Light</v>
          </cell>
          <cell r="H299" t="str">
            <v>No</v>
          </cell>
          <cell r="I299" t="str">
            <v>Yes</v>
          </cell>
          <cell r="J299">
            <v>45384</v>
          </cell>
          <cell r="K299" t="str">
            <v>Yes</v>
          </cell>
          <cell r="L299">
            <v>43935</v>
          </cell>
          <cell r="M299">
            <v>222</v>
          </cell>
          <cell r="N299">
            <v>272</v>
          </cell>
          <cell r="O299">
            <v>3075.237548828125</v>
          </cell>
          <cell r="P299">
            <v>9082.0234135495684</v>
          </cell>
          <cell r="Q299">
            <v>2896.08837890625</v>
          </cell>
        </row>
        <row r="300">
          <cell r="A300" t="str">
            <v>1FMCU0GD9KUA33127</v>
          </cell>
          <cell r="B300">
            <v>2019</v>
          </cell>
          <cell r="C300" t="str">
            <v>FORD</v>
          </cell>
          <cell r="D300" t="str">
            <v>ESCAPE FWD 4C</v>
          </cell>
          <cell r="E300">
            <v>68151</v>
          </cell>
          <cell r="F300" t="str">
            <v>Grade 4.3</v>
          </cell>
          <cell r="G300" t="str">
            <v>Certified</v>
          </cell>
          <cell r="H300" t="str">
            <v>Yes</v>
          </cell>
          <cell r="I300" t="str">
            <v>No</v>
          </cell>
          <cell r="J300">
            <v>45512</v>
          </cell>
          <cell r="K300" t="str">
            <v>Yes</v>
          </cell>
          <cell r="L300">
            <v>43935</v>
          </cell>
          <cell r="M300">
            <v>222</v>
          </cell>
          <cell r="N300">
            <v>272</v>
          </cell>
          <cell r="O300">
            <v>13794.06640625</v>
          </cell>
          <cell r="P300">
            <v>10552.17128995305</v>
          </cell>
          <cell r="Q300">
            <v>13906.603515625</v>
          </cell>
        </row>
        <row r="301">
          <cell r="A301" t="str">
            <v>1FMCU0JD7HUE00091</v>
          </cell>
          <cell r="B301">
            <v>2017</v>
          </cell>
          <cell r="C301" t="str">
            <v>FORD</v>
          </cell>
          <cell r="D301" t="str">
            <v>ESCAPE FWD 4C</v>
          </cell>
          <cell r="E301">
            <v>106815</v>
          </cell>
          <cell r="F301" t="str">
            <v>Grade 3.0</v>
          </cell>
          <cell r="G301" t="str">
            <v>Red Light</v>
          </cell>
          <cell r="H301" t="str">
            <v>No</v>
          </cell>
          <cell r="I301" t="str">
            <v>Yes</v>
          </cell>
          <cell r="J301">
            <v>45456</v>
          </cell>
          <cell r="K301" t="str">
            <v>Yes</v>
          </cell>
          <cell r="L301">
            <v>43935</v>
          </cell>
          <cell r="M301">
            <v>222</v>
          </cell>
          <cell r="N301">
            <v>272</v>
          </cell>
          <cell r="O301">
            <v>9187.9853515625</v>
          </cell>
          <cell r="P301">
            <v>9333.2986627555219</v>
          </cell>
          <cell r="Q301">
            <v>9488.697265625</v>
          </cell>
        </row>
        <row r="302">
          <cell r="A302" t="str">
            <v>1FMCU9GXXGUA24961</v>
          </cell>
          <cell r="B302">
            <v>2016</v>
          </cell>
          <cell r="C302" t="str">
            <v>FORD</v>
          </cell>
          <cell r="D302" t="str">
            <v>ESCAPE 4X4 4C</v>
          </cell>
          <cell r="E302">
            <v>136149</v>
          </cell>
          <cell r="F302" t="str">
            <v>Grade 2.0</v>
          </cell>
          <cell r="G302" t="str">
            <v>Inoperable</v>
          </cell>
          <cell r="H302" t="str">
            <v>No</v>
          </cell>
          <cell r="I302" t="str">
            <v>Yes</v>
          </cell>
          <cell r="J302">
            <v>45295</v>
          </cell>
          <cell r="K302" t="str">
            <v>Yes</v>
          </cell>
          <cell r="L302">
            <v>43935</v>
          </cell>
          <cell r="M302">
            <v>222</v>
          </cell>
          <cell r="N302">
            <v>272</v>
          </cell>
          <cell r="O302">
            <v>3285.192626953125</v>
          </cell>
          <cell r="P302">
            <v>9244.7031987398877</v>
          </cell>
          <cell r="Q302">
            <v>3241.23095703125</v>
          </cell>
        </row>
        <row r="303">
          <cell r="A303" t="str">
            <v>1G1FA1RS2H0189188</v>
          </cell>
          <cell r="B303">
            <v>2017</v>
          </cell>
          <cell r="C303" t="str">
            <v>CHEVROLET</v>
          </cell>
          <cell r="D303" t="str">
            <v>CAMARO</v>
          </cell>
          <cell r="E303">
            <v>47125</v>
          </cell>
          <cell r="F303" t="str">
            <v>Grade 4.7</v>
          </cell>
          <cell r="G303" t="str">
            <v>Certified</v>
          </cell>
          <cell r="H303" t="str">
            <v>Yes</v>
          </cell>
          <cell r="I303" t="str">
            <v>No</v>
          </cell>
          <cell r="J303">
            <v>45300</v>
          </cell>
          <cell r="K303" t="str">
            <v>Yes</v>
          </cell>
          <cell r="L303">
            <v>43935</v>
          </cell>
          <cell r="M303">
            <v>222</v>
          </cell>
          <cell r="N303">
            <v>272</v>
          </cell>
          <cell r="O303">
            <v>16066.2607421875</v>
          </cell>
          <cell r="P303">
            <v>13321.079141912751</v>
          </cell>
          <cell r="Q303">
            <v>16006.7294921875</v>
          </cell>
        </row>
        <row r="304">
          <cell r="A304" t="str">
            <v>1G1ZD5ST6JF109599</v>
          </cell>
          <cell r="B304">
            <v>2018</v>
          </cell>
          <cell r="C304" t="str">
            <v>CHEVROLET</v>
          </cell>
          <cell r="D304" t="str">
            <v>MALIBU</v>
          </cell>
          <cell r="E304">
            <v>71628</v>
          </cell>
          <cell r="F304" t="str">
            <v>Grade 2.7</v>
          </cell>
          <cell r="G304" t="str">
            <v>Green Light</v>
          </cell>
          <cell r="H304" t="str">
            <v>Yes</v>
          </cell>
          <cell r="I304" t="str">
            <v>No</v>
          </cell>
          <cell r="J304">
            <v>45594</v>
          </cell>
          <cell r="K304" t="str">
            <v>Yes</v>
          </cell>
          <cell r="L304">
            <v>43935</v>
          </cell>
          <cell r="M304">
            <v>222</v>
          </cell>
          <cell r="N304">
            <v>272</v>
          </cell>
          <cell r="O304">
            <v>5328.97509765625</v>
          </cell>
          <cell r="P304">
            <v>9802.6429926713081</v>
          </cell>
          <cell r="Q304">
            <v>5435.9052734375</v>
          </cell>
        </row>
        <row r="305">
          <cell r="A305" t="str">
            <v>1G1ZD5ST8MF012764</v>
          </cell>
          <cell r="B305">
            <v>2021</v>
          </cell>
          <cell r="C305" t="str">
            <v>CHEVROLET</v>
          </cell>
          <cell r="D305" t="str">
            <v>MALIBU</v>
          </cell>
          <cell r="E305">
            <v>67081</v>
          </cell>
          <cell r="F305" t="str">
            <v>Grade 2.4</v>
          </cell>
          <cell r="G305" t="str">
            <v>Green Light</v>
          </cell>
          <cell r="H305" t="str">
            <v>Yes</v>
          </cell>
          <cell r="I305" t="str">
            <v>No</v>
          </cell>
          <cell r="J305">
            <v>45554</v>
          </cell>
          <cell r="K305" t="str">
            <v>Yes</v>
          </cell>
          <cell r="L305">
            <v>43935</v>
          </cell>
          <cell r="M305">
            <v>222</v>
          </cell>
          <cell r="N305">
            <v>272</v>
          </cell>
          <cell r="O305">
            <v>6780.97998046875</v>
          </cell>
          <cell r="P305">
            <v>12694.496433276779</v>
          </cell>
          <cell r="Q305">
            <v>7009.42431640625</v>
          </cell>
        </row>
        <row r="306">
          <cell r="A306" t="str">
            <v>1N4AL3AP4JC161997</v>
          </cell>
          <cell r="B306">
            <v>2018</v>
          </cell>
          <cell r="C306" t="str">
            <v>NISSAN</v>
          </cell>
          <cell r="D306" t="str">
            <v>ALTIMA 4C</v>
          </cell>
          <cell r="E306">
            <v>87768</v>
          </cell>
          <cell r="F306" t="str">
            <v>Grade 4.0</v>
          </cell>
          <cell r="G306" t="str">
            <v>Green/Yellow</v>
          </cell>
          <cell r="H306" t="str">
            <v>Yes</v>
          </cell>
          <cell r="I306" t="str">
            <v>No</v>
          </cell>
          <cell r="J306">
            <v>45722</v>
          </cell>
          <cell r="K306" t="str">
            <v>Yes</v>
          </cell>
          <cell r="L306">
            <v>43935</v>
          </cell>
          <cell r="M306">
            <v>222</v>
          </cell>
          <cell r="N306">
            <v>272</v>
          </cell>
          <cell r="O306">
            <v>9548.529296875</v>
          </cell>
          <cell r="P306">
            <v>9927.7532445303732</v>
          </cell>
          <cell r="Q306">
            <v>9579.330078125</v>
          </cell>
        </row>
        <row r="307">
          <cell r="A307" t="str">
            <v>2CNFLEEC0B6460332</v>
          </cell>
          <cell r="B307">
            <v>2011</v>
          </cell>
          <cell r="C307" t="str">
            <v>CHEVROLET</v>
          </cell>
          <cell r="D307" t="str">
            <v>EQUINOX AWD 4C</v>
          </cell>
          <cell r="E307">
            <v>165613</v>
          </cell>
          <cell r="F307" t="str">
            <v>Grade 2.1</v>
          </cell>
          <cell r="G307" t="str">
            <v>Inoperable</v>
          </cell>
          <cell r="H307" t="str">
            <v>No</v>
          </cell>
          <cell r="I307" t="str">
            <v>Yes</v>
          </cell>
          <cell r="J307">
            <v>45568</v>
          </cell>
          <cell r="K307" t="str">
            <v>Yes</v>
          </cell>
          <cell r="L307">
            <v>43935</v>
          </cell>
          <cell r="M307">
            <v>222</v>
          </cell>
          <cell r="N307">
            <v>272</v>
          </cell>
          <cell r="O307">
            <v>1260.847045898438</v>
          </cell>
          <cell r="P307">
            <v>9312.8227798539483</v>
          </cell>
          <cell r="Q307">
            <v>1360.102416992188</v>
          </cell>
        </row>
        <row r="308">
          <cell r="A308" t="str">
            <v>2FMDK3JC3EBA02624</v>
          </cell>
          <cell r="B308">
            <v>2014</v>
          </cell>
          <cell r="C308" t="str">
            <v>FORD</v>
          </cell>
          <cell r="D308" t="str">
            <v>EDGE FWD SUV</v>
          </cell>
          <cell r="E308">
            <v>157369</v>
          </cell>
          <cell r="F308" t="str">
            <v>Grade 3.9</v>
          </cell>
          <cell r="G308" t="str">
            <v>Red Light</v>
          </cell>
          <cell r="H308" t="str">
            <v>No</v>
          </cell>
          <cell r="I308" t="str">
            <v>Yes</v>
          </cell>
          <cell r="J308">
            <v>45596</v>
          </cell>
          <cell r="K308" t="str">
            <v>Yes</v>
          </cell>
          <cell r="L308">
            <v>43935</v>
          </cell>
          <cell r="M308">
            <v>222</v>
          </cell>
          <cell r="N308">
            <v>272</v>
          </cell>
          <cell r="O308">
            <v>4171.794921875</v>
          </cell>
          <cell r="P308">
            <v>10021.726334401899</v>
          </cell>
          <cell r="Q308">
            <v>3976.552978515625</v>
          </cell>
        </row>
        <row r="309">
          <cell r="A309" t="str">
            <v>2G1FA1E30C9197805</v>
          </cell>
          <cell r="B309">
            <v>2012</v>
          </cell>
          <cell r="C309" t="str">
            <v>CHEVROLET</v>
          </cell>
          <cell r="D309" t="str">
            <v>CAMARO</v>
          </cell>
          <cell r="E309">
            <v>110585</v>
          </cell>
          <cell r="F309" t="str">
            <v>Grade 2.5</v>
          </cell>
          <cell r="G309" t="str">
            <v>Red Light</v>
          </cell>
          <cell r="H309" t="str">
            <v>No</v>
          </cell>
          <cell r="I309" t="str">
            <v>Yes</v>
          </cell>
          <cell r="J309">
            <v>45454</v>
          </cell>
          <cell r="K309" t="str">
            <v>Yes</v>
          </cell>
          <cell r="L309">
            <v>43935</v>
          </cell>
          <cell r="M309">
            <v>222</v>
          </cell>
          <cell r="N309">
            <v>272</v>
          </cell>
          <cell r="O309">
            <v>2533.16357421875</v>
          </cell>
          <cell r="P309">
            <v>9464.6078593731709</v>
          </cell>
          <cell r="Q309">
            <v>2422.48779296875</v>
          </cell>
        </row>
        <row r="310">
          <cell r="A310" t="str">
            <v>3GYFNBE31GS534275</v>
          </cell>
          <cell r="B310">
            <v>2016</v>
          </cell>
          <cell r="C310" t="str">
            <v>CADILLAC</v>
          </cell>
          <cell r="D310" t="str">
            <v>SRX</v>
          </cell>
          <cell r="E310">
            <v>127608</v>
          </cell>
          <cell r="F310" t="str">
            <v>Grade 1.3</v>
          </cell>
          <cell r="G310" t="str">
            <v>Red Light</v>
          </cell>
          <cell r="H310" t="str">
            <v>No</v>
          </cell>
          <cell r="I310" t="str">
            <v>Yes</v>
          </cell>
          <cell r="J310">
            <v>45482</v>
          </cell>
          <cell r="K310" t="str">
            <v>Yes</v>
          </cell>
          <cell r="L310">
            <v>43935</v>
          </cell>
          <cell r="M310">
            <v>222</v>
          </cell>
          <cell r="N310">
            <v>272</v>
          </cell>
          <cell r="O310">
            <v>2888.47314453125</v>
          </cell>
          <cell r="P310">
            <v>9033.7260485984116</v>
          </cell>
          <cell r="Q310">
            <v>2692.84326171875</v>
          </cell>
        </row>
        <row r="311">
          <cell r="A311" t="str">
            <v>3KPF34AD1KE065816</v>
          </cell>
          <cell r="B311">
            <v>2019</v>
          </cell>
          <cell r="C311" t="str">
            <v>KIA</v>
          </cell>
          <cell r="D311" t="str">
            <v>FORTE</v>
          </cell>
          <cell r="E311">
            <v>101593</v>
          </cell>
          <cell r="F311" t="str">
            <v>Grade 1.3</v>
          </cell>
          <cell r="G311" t="str">
            <v>Inoperable</v>
          </cell>
          <cell r="H311" t="str">
            <v>No</v>
          </cell>
          <cell r="I311" t="str">
            <v>Yes</v>
          </cell>
          <cell r="J311">
            <v>45734</v>
          </cell>
          <cell r="K311" t="str">
            <v>Yes</v>
          </cell>
          <cell r="L311">
            <v>43935</v>
          </cell>
          <cell r="M311">
            <v>222</v>
          </cell>
          <cell r="N311">
            <v>272</v>
          </cell>
          <cell r="O311">
            <v>2764.109130859375</v>
          </cell>
          <cell r="P311">
            <v>8720.7978185643751</v>
          </cell>
          <cell r="Q311">
            <v>2606.359375</v>
          </cell>
        </row>
        <row r="312">
          <cell r="A312" t="str">
            <v>5FNYF5H34LB024482</v>
          </cell>
          <cell r="B312">
            <v>2020</v>
          </cell>
          <cell r="C312" t="str">
            <v>HONDA</v>
          </cell>
          <cell r="D312" t="str">
            <v>PILOT</v>
          </cell>
          <cell r="E312">
            <v>85366</v>
          </cell>
          <cell r="F312" t="str">
            <v>Grade 3.8</v>
          </cell>
          <cell r="G312" t="str">
            <v>Green Light</v>
          </cell>
          <cell r="H312" t="str">
            <v>Yes</v>
          </cell>
          <cell r="I312" t="str">
            <v>No</v>
          </cell>
          <cell r="J312">
            <v>45622</v>
          </cell>
          <cell r="K312" t="str">
            <v>Yes</v>
          </cell>
          <cell r="L312">
            <v>43935</v>
          </cell>
          <cell r="M312">
            <v>222</v>
          </cell>
          <cell r="N312">
            <v>272</v>
          </cell>
          <cell r="O312">
            <v>13129.58984375</v>
          </cell>
          <cell r="P312">
            <v>11434.599889281621</v>
          </cell>
          <cell r="Q312">
            <v>13321.9248046875</v>
          </cell>
        </row>
        <row r="313">
          <cell r="A313" t="str">
            <v>5N1AT2MV0EC844358</v>
          </cell>
          <cell r="B313">
            <v>2014</v>
          </cell>
          <cell r="C313" t="str">
            <v>NISSAN</v>
          </cell>
          <cell r="D313" t="str">
            <v>ROGUE</v>
          </cell>
          <cell r="E313">
            <v>83232</v>
          </cell>
          <cell r="F313" t="str">
            <v>Grade 4.2</v>
          </cell>
          <cell r="G313" t="str">
            <v>Certified</v>
          </cell>
          <cell r="H313" t="str">
            <v>Yes</v>
          </cell>
          <cell r="I313" t="str">
            <v>No</v>
          </cell>
          <cell r="J313">
            <v>45300</v>
          </cell>
          <cell r="K313" t="str">
            <v>Yes</v>
          </cell>
          <cell r="L313">
            <v>43935</v>
          </cell>
          <cell r="M313">
            <v>222</v>
          </cell>
          <cell r="N313">
            <v>272</v>
          </cell>
          <cell r="O313">
            <v>7644.65625</v>
          </cell>
          <cell r="P313">
            <v>9815.0376074678061</v>
          </cell>
          <cell r="Q313">
            <v>7710.37646484375</v>
          </cell>
        </row>
        <row r="314">
          <cell r="A314" t="str">
            <v>5NPD84LF7LH630476</v>
          </cell>
          <cell r="B314">
            <v>2020</v>
          </cell>
          <cell r="C314" t="str">
            <v>HYUNDAI</v>
          </cell>
          <cell r="D314" t="str">
            <v>ELANTRA</v>
          </cell>
          <cell r="E314">
            <v>76353</v>
          </cell>
          <cell r="F314" t="str">
            <v>Grade 2.4</v>
          </cell>
          <cell r="G314" t="str">
            <v>Green Light</v>
          </cell>
          <cell r="H314" t="str">
            <v>Yes</v>
          </cell>
          <cell r="I314" t="str">
            <v>No</v>
          </cell>
          <cell r="J314">
            <v>45603</v>
          </cell>
          <cell r="K314" t="str">
            <v>Yes</v>
          </cell>
          <cell r="L314">
            <v>43935</v>
          </cell>
          <cell r="M314">
            <v>222</v>
          </cell>
          <cell r="N314">
            <v>272</v>
          </cell>
          <cell r="O314">
            <v>5677.29736328125</v>
          </cell>
          <cell r="P314">
            <v>10122.902232347709</v>
          </cell>
          <cell r="Q314">
            <v>5443.36279296875</v>
          </cell>
        </row>
        <row r="315">
          <cell r="A315" t="str">
            <v>5XYPGDA51JG359798</v>
          </cell>
          <cell r="B315">
            <v>2018</v>
          </cell>
          <cell r="C315" t="str">
            <v>KIA</v>
          </cell>
          <cell r="D315" t="str">
            <v>SORENTO</v>
          </cell>
          <cell r="E315">
            <v>175311</v>
          </cell>
          <cell r="F315" t="str">
            <v>Grade 3.7</v>
          </cell>
          <cell r="G315" t="str">
            <v>Red Light</v>
          </cell>
          <cell r="H315" t="str">
            <v>No</v>
          </cell>
          <cell r="I315" t="str">
            <v>Yes</v>
          </cell>
          <cell r="J315">
            <v>45608</v>
          </cell>
          <cell r="K315" t="str">
            <v>Yes</v>
          </cell>
          <cell r="L315">
            <v>43935</v>
          </cell>
          <cell r="M315">
            <v>222</v>
          </cell>
          <cell r="N315">
            <v>272</v>
          </cell>
          <cell r="O315">
            <v>3082.037841796875</v>
          </cell>
          <cell r="P315">
            <v>9709.7248263136753</v>
          </cell>
          <cell r="Q315">
            <v>3090.05078125</v>
          </cell>
        </row>
        <row r="316">
          <cell r="A316" t="str">
            <v>5XYZU3LA3EG219814</v>
          </cell>
          <cell r="B316">
            <v>2014</v>
          </cell>
          <cell r="C316" t="str">
            <v>HYUNDAI</v>
          </cell>
          <cell r="D316" t="str">
            <v>SANTA SP FWD 4C</v>
          </cell>
          <cell r="E316">
            <v>126887</v>
          </cell>
          <cell r="F316" t="str">
            <v>Grade 2.0</v>
          </cell>
          <cell r="G316" t="str">
            <v>Red Light</v>
          </cell>
          <cell r="H316" t="str">
            <v>No</v>
          </cell>
          <cell r="I316" t="str">
            <v>Yes</v>
          </cell>
          <cell r="J316">
            <v>45484</v>
          </cell>
          <cell r="K316" t="str">
            <v>Yes</v>
          </cell>
          <cell r="L316">
            <v>43935</v>
          </cell>
          <cell r="M316">
            <v>222</v>
          </cell>
          <cell r="N316">
            <v>272</v>
          </cell>
          <cell r="O316">
            <v>1240.900512695312</v>
          </cell>
          <cell r="P316">
            <v>8676.1219526653676</v>
          </cell>
          <cell r="Q316">
            <v>1330.663208007812</v>
          </cell>
        </row>
        <row r="317">
          <cell r="A317" t="str">
            <v>5YFBURHE3FP217834</v>
          </cell>
          <cell r="B317">
            <v>2015</v>
          </cell>
          <cell r="C317" t="str">
            <v>TOYOTA</v>
          </cell>
          <cell r="D317" t="str">
            <v>COROLLA</v>
          </cell>
          <cell r="E317">
            <v>124690</v>
          </cell>
          <cell r="F317" t="str">
            <v>Grade 4.1</v>
          </cell>
          <cell r="G317" t="str">
            <v>Green Light</v>
          </cell>
          <cell r="H317" t="str">
            <v>Yes</v>
          </cell>
          <cell r="I317" t="str">
            <v>No</v>
          </cell>
          <cell r="J317">
            <v>45323</v>
          </cell>
          <cell r="K317" t="str">
            <v>Yes</v>
          </cell>
          <cell r="L317">
            <v>43935</v>
          </cell>
          <cell r="M317">
            <v>222</v>
          </cell>
          <cell r="N317">
            <v>272</v>
          </cell>
          <cell r="O317">
            <v>8780.4638671875</v>
          </cell>
          <cell r="P317">
            <v>10219.9287556529</v>
          </cell>
          <cell r="Q317">
            <v>8609.5517578125</v>
          </cell>
        </row>
        <row r="318">
          <cell r="A318" t="str">
            <v>JN8AS5MV7CW394037</v>
          </cell>
          <cell r="B318">
            <v>2012</v>
          </cell>
          <cell r="C318" t="str">
            <v>NISSAN</v>
          </cell>
          <cell r="D318" t="str">
            <v>ROGUE AWD</v>
          </cell>
          <cell r="E318">
            <v>140148</v>
          </cell>
          <cell r="F318" t="str">
            <v>Grade 3.2</v>
          </cell>
          <cell r="G318" t="str">
            <v>Red Light</v>
          </cell>
          <cell r="H318" t="str">
            <v>No</v>
          </cell>
          <cell r="I318" t="str">
            <v>Yes</v>
          </cell>
          <cell r="J318">
            <v>45309</v>
          </cell>
          <cell r="K318" t="str">
            <v>Yes</v>
          </cell>
          <cell r="L318">
            <v>43935</v>
          </cell>
          <cell r="M318">
            <v>222</v>
          </cell>
          <cell r="N318">
            <v>272</v>
          </cell>
          <cell r="O318">
            <v>3402.3369140625</v>
          </cell>
          <cell r="P318">
            <v>8867.5776217742387</v>
          </cell>
          <cell r="Q318">
            <v>3291.81689453125</v>
          </cell>
        </row>
        <row r="319">
          <cell r="A319" t="str">
            <v>JTKJF5C71E3088564</v>
          </cell>
          <cell r="B319">
            <v>2014</v>
          </cell>
          <cell r="C319" t="str">
            <v>SCION</v>
          </cell>
          <cell r="D319" t="str">
            <v>TC</v>
          </cell>
          <cell r="E319">
            <v>105473</v>
          </cell>
          <cell r="F319" t="str">
            <v>Grade 1.3</v>
          </cell>
          <cell r="G319" t="str">
            <v>Green/Yellow</v>
          </cell>
          <cell r="H319" t="str">
            <v>Yes</v>
          </cell>
          <cell r="I319" t="str">
            <v>No</v>
          </cell>
          <cell r="J319">
            <v>45594</v>
          </cell>
          <cell r="K319" t="str">
            <v>Yes</v>
          </cell>
          <cell r="L319">
            <v>43935</v>
          </cell>
          <cell r="M319">
            <v>222</v>
          </cell>
          <cell r="N319">
            <v>272</v>
          </cell>
          <cell r="O319">
            <v>2521.322998046875</v>
          </cell>
          <cell r="P319">
            <v>8826.2532926442764</v>
          </cell>
          <cell r="Q319">
            <v>2343.41650390625</v>
          </cell>
        </row>
        <row r="320">
          <cell r="A320" t="str">
            <v>KL7CJKSB6JB575923</v>
          </cell>
          <cell r="B320">
            <v>2018</v>
          </cell>
          <cell r="C320" t="str">
            <v>CHEVROLET</v>
          </cell>
          <cell r="D320" t="str">
            <v>TRAX</v>
          </cell>
          <cell r="E320">
            <v>145866</v>
          </cell>
          <cell r="F320" t="str">
            <v>Grade 2.5</v>
          </cell>
          <cell r="G320" t="str">
            <v>Red Light</v>
          </cell>
          <cell r="H320" t="str">
            <v>No</v>
          </cell>
          <cell r="I320" t="str">
            <v>Yes</v>
          </cell>
          <cell r="J320">
            <v>45622</v>
          </cell>
          <cell r="K320" t="str">
            <v>Yes</v>
          </cell>
          <cell r="L320">
            <v>43935</v>
          </cell>
          <cell r="M320">
            <v>222</v>
          </cell>
          <cell r="N320">
            <v>272</v>
          </cell>
          <cell r="O320">
            <v>2374.367919921875</v>
          </cell>
          <cell r="P320">
            <v>9521.72743965064</v>
          </cell>
          <cell r="Q320">
            <v>2398.505859375</v>
          </cell>
        </row>
        <row r="321">
          <cell r="A321" t="str">
            <v>KMHCT4AE3GU058169</v>
          </cell>
          <cell r="B321">
            <v>2016</v>
          </cell>
          <cell r="C321" t="str">
            <v>HYUNDAI</v>
          </cell>
          <cell r="D321" t="str">
            <v>ACCENT</v>
          </cell>
          <cell r="E321">
            <v>92480</v>
          </cell>
          <cell r="F321" t="str">
            <v>Grade 2.8</v>
          </cell>
          <cell r="G321" t="str">
            <v>Green Light</v>
          </cell>
          <cell r="H321" t="str">
            <v>Yes</v>
          </cell>
          <cell r="I321" t="str">
            <v>No</v>
          </cell>
          <cell r="J321">
            <v>45356</v>
          </cell>
          <cell r="K321" t="str">
            <v>Yes</v>
          </cell>
          <cell r="L321">
            <v>43935</v>
          </cell>
          <cell r="M321">
            <v>222</v>
          </cell>
          <cell r="N321">
            <v>272</v>
          </cell>
          <cell r="O321">
            <v>3429.3828125</v>
          </cell>
          <cell r="P321">
            <v>8923.0246962469409</v>
          </cell>
          <cell r="Q321">
            <v>3351.8466796875</v>
          </cell>
        </row>
        <row r="322">
          <cell r="A322" t="str">
            <v>KMHDH4AE3DU612005</v>
          </cell>
          <cell r="B322">
            <v>2013</v>
          </cell>
          <cell r="C322" t="str">
            <v>HYUNDAI</v>
          </cell>
          <cell r="D322" t="str">
            <v>ELANTRA</v>
          </cell>
          <cell r="E322">
            <v>114887</v>
          </cell>
          <cell r="F322" t="str">
            <v>Grade 1.5</v>
          </cell>
          <cell r="G322" t="str">
            <v>Green/Yellow</v>
          </cell>
          <cell r="H322" t="str">
            <v>Yes</v>
          </cell>
          <cell r="I322" t="str">
            <v>No</v>
          </cell>
          <cell r="J322">
            <v>45678</v>
          </cell>
          <cell r="K322" t="str">
            <v>Yes</v>
          </cell>
          <cell r="L322">
            <v>43935</v>
          </cell>
          <cell r="M322">
            <v>222</v>
          </cell>
          <cell r="N322">
            <v>272</v>
          </cell>
          <cell r="O322">
            <v>930.87908935546875</v>
          </cell>
          <cell r="P322">
            <v>8564.0321684423925</v>
          </cell>
          <cell r="Q322">
            <v>1094.4677734375</v>
          </cell>
        </row>
        <row r="323">
          <cell r="A323" t="str">
            <v>WP1AB2A59LLB32471</v>
          </cell>
          <cell r="B323">
            <v>2020</v>
          </cell>
          <cell r="C323" t="str">
            <v>PORSCHE</v>
          </cell>
          <cell r="D323" t="str">
            <v>MACAN</v>
          </cell>
          <cell r="E323">
            <v>39723</v>
          </cell>
          <cell r="F323" t="str">
            <v>Grade 4.2</v>
          </cell>
          <cell r="G323" t="str">
            <v>Certified</v>
          </cell>
          <cell r="H323" t="str">
            <v>Yes</v>
          </cell>
          <cell r="I323" t="str">
            <v>No</v>
          </cell>
          <cell r="J323">
            <v>45636</v>
          </cell>
          <cell r="K323" t="str">
            <v>Yes</v>
          </cell>
          <cell r="L323">
            <v>43935</v>
          </cell>
          <cell r="M323">
            <v>222</v>
          </cell>
          <cell r="N323">
            <v>272</v>
          </cell>
          <cell r="O323">
            <v>50617.75390625</v>
          </cell>
          <cell r="P323">
            <v>17006.842050223881</v>
          </cell>
          <cell r="Q323">
            <v>52229.671875</v>
          </cell>
        </row>
        <row r="324">
          <cell r="A324" t="str">
            <v>WVGBV3AX1DW598623</v>
          </cell>
          <cell r="B324">
            <v>2013</v>
          </cell>
          <cell r="C324" t="str">
            <v>VOLKSWAGEN</v>
          </cell>
          <cell r="D324" t="str">
            <v>TIGUAN</v>
          </cell>
          <cell r="E324">
            <v>94096</v>
          </cell>
          <cell r="F324" t="str">
            <v>Grade 3.9</v>
          </cell>
          <cell r="G324" t="str">
            <v>Red Light</v>
          </cell>
          <cell r="H324" t="str">
            <v>No</v>
          </cell>
          <cell r="I324" t="str">
            <v>Yes</v>
          </cell>
          <cell r="J324">
            <v>45664</v>
          </cell>
          <cell r="K324" t="str">
            <v>Yes</v>
          </cell>
          <cell r="L324">
            <v>43935</v>
          </cell>
          <cell r="M324">
            <v>222</v>
          </cell>
          <cell r="N324">
            <v>272</v>
          </cell>
          <cell r="O324">
            <v>4156.36083984375</v>
          </cell>
          <cell r="P324">
            <v>9829.5335764666215</v>
          </cell>
          <cell r="Q324">
            <v>4173.43603515625</v>
          </cell>
        </row>
        <row r="325">
          <cell r="A325" t="str">
            <v>ZACCJBCT3FPB42616</v>
          </cell>
          <cell r="B325">
            <v>2015</v>
          </cell>
          <cell r="C325" t="str">
            <v>JEEP</v>
          </cell>
          <cell r="D325" t="str">
            <v>RENEGADE</v>
          </cell>
          <cell r="E325">
            <v>137702</v>
          </cell>
          <cell r="F325" t="str">
            <v>Grade 2.9</v>
          </cell>
          <cell r="G325" t="str">
            <v>Red Light</v>
          </cell>
          <cell r="H325" t="str">
            <v>No</v>
          </cell>
          <cell r="I325" t="str">
            <v>Yes</v>
          </cell>
          <cell r="J325">
            <v>45622</v>
          </cell>
          <cell r="K325" t="str">
            <v>Yes</v>
          </cell>
          <cell r="L325">
            <v>43935</v>
          </cell>
          <cell r="M325">
            <v>222</v>
          </cell>
          <cell r="N325">
            <v>272</v>
          </cell>
          <cell r="O325">
            <v>2408.747314453125</v>
          </cell>
          <cell r="P325">
            <v>9192.435941932963</v>
          </cell>
          <cell r="Q325">
            <v>2321.60986328125</v>
          </cell>
        </row>
        <row r="326">
          <cell r="A326" t="str">
            <v>1C4PJLCS9HW613446</v>
          </cell>
          <cell r="B326">
            <v>2017</v>
          </cell>
          <cell r="C326" t="str">
            <v>JEEP</v>
          </cell>
          <cell r="D326" t="str">
            <v>CHEROKEE</v>
          </cell>
          <cell r="E326">
            <v>162171</v>
          </cell>
          <cell r="F326" t="str">
            <v>Grade 1.6</v>
          </cell>
          <cell r="G326" t="str">
            <v>Red Light</v>
          </cell>
          <cell r="H326" t="str">
            <v>No</v>
          </cell>
          <cell r="I326" t="str">
            <v>Yes</v>
          </cell>
          <cell r="J326">
            <v>45580</v>
          </cell>
          <cell r="K326" t="str">
            <v>Yes</v>
          </cell>
          <cell r="L326">
            <v>43950</v>
          </cell>
          <cell r="M326">
            <v>264</v>
          </cell>
          <cell r="N326">
            <v>314</v>
          </cell>
          <cell r="O326">
            <v>2421.65185546875</v>
          </cell>
          <cell r="P326">
            <v>9208.4688923253671</v>
          </cell>
          <cell r="Q326">
            <v>2321.60986328125</v>
          </cell>
        </row>
        <row r="327">
          <cell r="A327" t="str">
            <v>1C4PJLDB2GW149090</v>
          </cell>
          <cell r="B327">
            <v>2016</v>
          </cell>
          <cell r="C327" t="str">
            <v>JEEP</v>
          </cell>
          <cell r="D327" t="str">
            <v>CHEROKEE FWD 4C</v>
          </cell>
          <cell r="E327">
            <v>66775</v>
          </cell>
          <cell r="F327" t="str">
            <v>Grade 3.0</v>
          </cell>
          <cell r="G327" t="str">
            <v>Inoperable</v>
          </cell>
          <cell r="H327" t="str">
            <v>No</v>
          </cell>
          <cell r="I327" t="str">
            <v>Yes</v>
          </cell>
          <cell r="J327">
            <v>45449</v>
          </cell>
          <cell r="K327" t="str">
            <v>Yes</v>
          </cell>
          <cell r="L327">
            <v>43950</v>
          </cell>
          <cell r="M327">
            <v>264</v>
          </cell>
          <cell r="N327">
            <v>314</v>
          </cell>
          <cell r="O327">
            <v>11412.541015625</v>
          </cell>
          <cell r="P327">
            <v>10618.95387546255</v>
          </cell>
          <cell r="Q327">
            <v>11462.9462890625</v>
          </cell>
        </row>
        <row r="328">
          <cell r="A328" t="str">
            <v>1C4PJMBX4KD431806</v>
          </cell>
          <cell r="B328">
            <v>2019</v>
          </cell>
          <cell r="C328" t="str">
            <v>JEEP</v>
          </cell>
          <cell r="D328" t="str">
            <v>CHEROKEE</v>
          </cell>
          <cell r="E328">
            <v>39638</v>
          </cell>
          <cell r="F328" t="str">
            <v>Grade 4.4</v>
          </cell>
          <cell r="G328" t="str">
            <v>Certified</v>
          </cell>
          <cell r="H328" t="str">
            <v>Yes</v>
          </cell>
          <cell r="I328" t="str">
            <v>No</v>
          </cell>
          <cell r="J328">
            <v>45412</v>
          </cell>
          <cell r="K328" t="str">
            <v>Yes</v>
          </cell>
          <cell r="L328">
            <v>43950</v>
          </cell>
          <cell r="M328">
            <v>264</v>
          </cell>
          <cell r="N328">
            <v>314</v>
          </cell>
          <cell r="O328">
            <v>17195.4609375</v>
          </cell>
          <cell r="P328">
            <v>12481.835815410141</v>
          </cell>
          <cell r="Q328">
            <v>17339.583984375</v>
          </cell>
        </row>
        <row r="329">
          <cell r="A329" t="str">
            <v>1FA6P8TH3K5176543</v>
          </cell>
          <cell r="B329">
            <v>2019</v>
          </cell>
          <cell r="C329" t="str">
            <v>FORD</v>
          </cell>
          <cell r="D329" t="str">
            <v>MUSTANG</v>
          </cell>
          <cell r="E329">
            <v>31170</v>
          </cell>
          <cell r="F329" t="str">
            <v>Grade 4.3</v>
          </cell>
          <cell r="G329" t="str">
            <v>Certified</v>
          </cell>
          <cell r="H329" t="str">
            <v>Yes</v>
          </cell>
          <cell r="I329" t="str">
            <v>No</v>
          </cell>
          <cell r="J329">
            <v>45314</v>
          </cell>
          <cell r="K329" t="str">
            <v>Yes</v>
          </cell>
          <cell r="L329">
            <v>43950</v>
          </cell>
          <cell r="M329">
            <v>264</v>
          </cell>
          <cell r="N329">
            <v>314</v>
          </cell>
          <cell r="O329">
            <v>19463.19921875</v>
          </cell>
          <cell r="P329">
            <v>14031.344764126119</v>
          </cell>
          <cell r="Q329">
            <v>19301.79296875</v>
          </cell>
        </row>
        <row r="330">
          <cell r="A330" t="str">
            <v>1FMCU0F78JUC78902</v>
          </cell>
          <cell r="B330">
            <v>2018</v>
          </cell>
          <cell r="C330" t="str">
            <v>FORD</v>
          </cell>
          <cell r="D330" t="str">
            <v>ESCAPE</v>
          </cell>
          <cell r="E330">
            <v>98070</v>
          </cell>
          <cell r="F330" t="str">
            <v>Grade 2.2</v>
          </cell>
          <cell r="G330" t="str">
            <v>Green/Yellow</v>
          </cell>
          <cell r="H330" t="str">
            <v>Yes</v>
          </cell>
          <cell r="I330" t="str">
            <v>No</v>
          </cell>
          <cell r="J330">
            <v>45524</v>
          </cell>
          <cell r="K330" t="str">
            <v>Yes</v>
          </cell>
          <cell r="L330">
            <v>43950</v>
          </cell>
          <cell r="M330">
            <v>264</v>
          </cell>
          <cell r="N330">
            <v>314</v>
          </cell>
          <cell r="O330">
            <v>4162.70751953125</v>
          </cell>
          <cell r="P330">
            <v>9450.5691415221845</v>
          </cell>
          <cell r="Q330">
            <v>4161.70166015625</v>
          </cell>
        </row>
        <row r="331">
          <cell r="A331" t="str">
            <v>1FMCU0GX8GUC13782</v>
          </cell>
          <cell r="B331">
            <v>2016</v>
          </cell>
          <cell r="C331" t="str">
            <v>FORD</v>
          </cell>
          <cell r="D331" t="str">
            <v>ESCAPE FWD 4C</v>
          </cell>
          <cell r="E331">
            <v>107159</v>
          </cell>
          <cell r="F331" t="str">
            <v>Grade 1.9</v>
          </cell>
          <cell r="G331" t="str">
            <v>Red Light</v>
          </cell>
          <cell r="H331" t="str">
            <v>No</v>
          </cell>
          <cell r="I331" t="str">
            <v>Yes</v>
          </cell>
          <cell r="J331">
            <v>45386</v>
          </cell>
          <cell r="K331" t="str">
            <v>Yes</v>
          </cell>
          <cell r="L331">
            <v>43950</v>
          </cell>
          <cell r="M331">
            <v>264</v>
          </cell>
          <cell r="N331">
            <v>314</v>
          </cell>
          <cell r="O331">
            <v>3436.276123046875</v>
          </cell>
          <cell r="P331">
            <v>9199.7120787487675</v>
          </cell>
          <cell r="Q331">
            <v>3359.09765625</v>
          </cell>
        </row>
        <row r="332">
          <cell r="A332" t="str">
            <v>1FMCU0H98DUD52368</v>
          </cell>
          <cell r="B332">
            <v>2013</v>
          </cell>
          <cell r="C332" t="str">
            <v>FORD</v>
          </cell>
          <cell r="D332" t="str">
            <v>ESCAPE FWD 4C</v>
          </cell>
          <cell r="E332">
            <v>149711</v>
          </cell>
          <cell r="F332" t="str">
            <v>Grade 4.0</v>
          </cell>
          <cell r="G332" t="str">
            <v>Inoperable</v>
          </cell>
          <cell r="H332" t="str">
            <v>No</v>
          </cell>
          <cell r="I332" t="str">
            <v>Yes</v>
          </cell>
          <cell r="J332">
            <v>45561</v>
          </cell>
          <cell r="K332" t="str">
            <v>Yes</v>
          </cell>
          <cell r="L332">
            <v>43950</v>
          </cell>
          <cell r="M332">
            <v>264</v>
          </cell>
          <cell r="N332">
            <v>314</v>
          </cell>
          <cell r="O332">
            <v>4515.95556640625</v>
          </cell>
          <cell r="P332">
            <v>10021.726334401899</v>
          </cell>
          <cell r="Q332">
            <v>4386.20361328125</v>
          </cell>
        </row>
        <row r="333">
          <cell r="A333" t="str">
            <v>1FMCU9J93EUD91126</v>
          </cell>
          <cell r="B333">
            <v>2014</v>
          </cell>
          <cell r="C333" t="str">
            <v>FORD</v>
          </cell>
          <cell r="D333" t="str">
            <v>ESCAPE 4X4 4C</v>
          </cell>
          <cell r="E333">
            <v>133169</v>
          </cell>
          <cell r="F333" t="str">
            <v>Grade 2.8</v>
          </cell>
          <cell r="G333" t="str">
            <v>Red Light</v>
          </cell>
          <cell r="H333" t="str">
            <v>No</v>
          </cell>
          <cell r="I333" t="str">
            <v>Yes</v>
          </cell>
          <cell r="J333">
            <v>45295</v>
          </cell>
          <cell r="K333" t="str">
            <v>Yes</v>
          </cell>
          <cell r="L333">
            <v>43950</v>
          </cell>
          <cell r="M333">
            <v>264</v>
          </cell>
          <cell r="N333">
            <v>314</v>
          </cell>
          <cell r="O333">
            <v>2594.343505859375</v>
          </cell>
          <cell r="P333">
            <v>9308.7974481585225</v>
          </cell>
          <cell r="Q333">
            <v>2440.115234375</v>
          </cell>
        </row>
        <row r="334">
          <cell r="A334" t="str">
            <v>1G1PA5SH9F7141850</v>
          </cell>
          <cell r="B334">
            <v>2015</v>
          </cell>
          <cell r="C334" t="str">
            <v>CHEVROLET</v>
          </cell>
          <cell r="D334" t="str">
            <v>CRUZE</v>
          </cell>
          <cell r="E334">
            <v>99363</v>
          </cell>
          <cell r="F334" t="str">
            <v>Grade 2.8</v>
          </cell>
          <cell r="G334" t="str">
            <v>Green Light</v>
          </cell>
          <cell r="H334" t="str">
            <v>Yes</v>
          </cell>
          <cell r="I334" t="str">
            <v>No</v>
          </cell>
          <cell r="J334">
            <v>45426</v>
          </cell>
          <cell r="K334" t="str">
            <v>Yes</v>
          </cell>
          <cell r="L334">
            <v>43950</v>
          </cell>
          <cell r="M334">
            <v>264</v>
          </cell>
          <cell r="N334">
            <v>314</v>
          </cell>
          <cell r="O334">
            <v>3607.496337890625</v>
          </cell>
          <cell r="P334">
            <v>9465.3625501710667</v>
          </cell>
          <cell r="Q334">
            <v>3639.544921875</v>
          </cell>
        </row>
        <row r="335">
          <cell r="A335" t="str">
            <v>1G1PE5SBXE7159160</v>
          </cell>
          <cell r="B335">
            <v>2014</v>
          </cell>
          <cell r="C335" t="str">
            <v>CHEVROLET</v>
          </cell>
          <cell r="D335" t="str">
            <v>CRUZE</v>
          </cell>
          <cell r="E335">
            <v>123520</v>
          </cell>
          <cell r="F335" t="str">
            <v>Grade 2.2</v>
          </cell>
          <cell r="G335" t="str">
            <v>Red Light</v>
          </cell>
          <cell r="H335" t="str">
            <v>No</v>
          </cell>
          <cell r="I335" t="str">
            <v>Yes</v>
          </cell>
          <cell r="J335">
            <v>45538</v>
          </cell>
          <cell r="K335" t="str">
            <v>Yes</v>
          </cell>
          <cell r="L335">
            <v>43950</v>
          </cell>
          <cell r="M335">
            <v>264</v>
          </cell>
          <cell r="N335">
            <v>314</v>
          </cell>
          <cell r="O335">
            <v>2192.34765625</v>
          </cell>
          <cell r="P335">
            <v>9187.3075229074075</v>
          </cell>
          <cell r="Q335">
            <v>2105.391845703125</v>
          </cell>
        </row>
        <row r="336">
          <cell r="A336" t="str">
            <v>1HGCR2F53FA006431</v>
          </cell>
          <cell r="B336">
            <v>2015</v>
          </cell>
          <cell r="C336" t="str">
            <v>HONDA</v>
          </cell>
          <cell r="D336" t="str">
            <v>ACCORD 4C</v>
          </cell>
          <cell r="E336">
            <v>105737</v>
          </cell>
          <cell r="F336" t="str">
            <v>Grade 3.7</v>
          </cell>
          <cell r="G336" t="str">
            <v>Red Light</v>
          </cell>
          <cell r="H336" t="str">
            <v>No</v>
          </cell>
          <cell r="I336" t="str">
            <v>Yes</v>
          </cell>
          <cell r="J336">
            <v>45421</v>
          </cell>
          <cell r="K336" t="str">
            <v>Yes</v>
          </cell>
          <cell r="L336">
            <v>43950</v>
          </cell>
          <cell r="M336">
            <v>264</v>
          </cell>
          <cell r="N336">
            <v>314</v>
          </cell>
          <cell r="O336">
            <v>8418.458984375</v>
          </cell>
          <cell r="P336">
            <v>9884.8098016040349</v>
          </cell>
          <cell r="Q336">
            <v>8503.9990234375</v>
          </cell>
        </row>
        <row r="337">
          <cell r="A337" t="str">
            <v>2C4RDGEGXKR631356</v>
          </cell>
          <cell r="B337">
            <v>2019</v>
          </cell>
          <cell r="C337" t="str">
            <v>DODGE</v>
          </cell>
          <cell r="D337" t="str">
            <v>GRAND CARAVAN</v>
          </cell>
          <cell r="E337">
            <v>99870</v>
          </cell>
          <cell r="F337" t="str">
            <v>Grade 3.0</v>
          </cell>
          <cell r="G337" t="str">
            <v>Green Light</v>
          </cell>
          <cell r="H337" t="str">
            <v>Yes</v>
          </cell>
          <cell r="I337" t="str">
            <v>No</v>
          </cell>
          <cell r="J337">
            <v>45454</v>
          </cell>
          <cell r="K337" t="str">
            <v>Yes</v>
          </cell>
          <cell r="L337">
            <v>43950</v>
          </cell>
          <cell r="M337">
            <v>264</v>
          </cell>
          <cell r="N337">
            <v>314</v>
          </cell>
          <cell r="O337">
            <v>10884.8515625</v>
          </cell>
          <cell r="P337">
            <v>9227.3594776494865</v>
          </cell>
          <cell r="Q337">
            <v>10826.7060546875</v>
          </cell>
        </row>
        <row r="338">
          <cell r="A338" t="str">
            <v>2FMDK4JC0BBA62278</v>
          </cell>
          <cell r="B338">
            <v>2011</v>
          </cell>
          <cell r="C338" t="str">
            <v>FORD</v>
          </cell>
          <cell r="D338" t="str">
            <v>EDGE AWD V6</v>
          </cell>
          <cell r="E338">
            <v>139030</v>
          </cell>
          <cell r="F338" t="str">
            <v>Grade 3.7</v>
          </cell>
          <cell r="G338" t="str">
            <v>Green Light</v>
          </cell>
          <cell r="H338" t="str">
            <v>Yes</v>
          </cell>
          <cell r="I338" t="str">
            <v>No</v>
          </cell>
          <cell r="J338">
            <v>45589</v>
          </cell>
          <cell r="K338" t="str">
            <v>Yes</v>
          </cell>
          <cell r="L338">
            <v>43950</v>
          </cell>
          <cell r="M338">
            <v>264</v>
          </cell>
          <cell r="N338">
            <v>314</v>
          </cell>
          <cell r="O338">
            <v>3763.01953125</v>
          </cell>
          <cell r="P338">
            <v>10021.726334401899</v>
          </cell>
          <cell r="Q338">
            <v>3616.418701171875</v>
          </cell>
        </row>
        <row r="339">
          <cell r="A339" t="str">
            <v>2FMGK5B82EBD37800</v>
          </cell>
          <cell r="B339">
            <v>2014</v>
          </cell>
          <cell r="C339" t="str">
            <v>FORD</v>
          </cell>
          <cell r="D339" t="str">
            <v>FLEX</v>
          </cell>
          <cell r="E339">
            <v>123805</v>
          </cell>
          <cell r="F339" t="str">
            <v>Grade 3.5</v>
          </cell>
          <cell r="G339" t="str">
            <v>Green/Yellow</v>
          </cell>
          <cell r="H339" t="str">
            <v>Yes</v>
          </cell>
          <cell r="I339" t="str">
            <v>No</v>
          </cell>
          <cell r="J339">
            <v>45314</v>
          </cell>
          <cell r="K339" t="str">
            <v>Yes</v>
          </cell>
          <cell r="L339">
            <v>43950</v>
          </cell>
          <cell r="M339">
            <v>264</v>
          </cell>
          <cell r="N339">
            <v>314</v>
          </cell>
          <cell r="O339">
            <v>5428.11376953125</v>
          </cell>
          <cell r="P339">
            <v>9264.9944136759386</v>
          </cell>
          <cell r="Q339">
            <v>5436.36328125</v>
          </cell>
        </row>
        <row r="340">
          <cell r="A340" t="str">
            <v>2FMPK3G97LBA71693</v>
          </cell>
          <cell r="B340">
            <v>2020</v>
          </cell>
          <cell r="C340" t="str">
            <v>FORD</v>
          </cell>
          <cell r="D340" t="str">
            <v>EDGE</v>
          </cell>
          <cell r="E340">
            <v>71652</v>
          </cell>
          <cell r="F340" t="str">
            <v>Grade 4.5</v>
          </cell>
          <cell r="G340" t="str">
            <v>Certified</v>
          </cell>
          <cell r="H340" t="str">
            <v>Yes</v>
          </cell>
          <cell r="I340" t="str">
            <v>No</v>
          </cell>
          <cell r="J340">
            <v>45622</v>
          </cell>
          <cell r="K340" t="str">
            <v>Yes</v>
          </cell>
          <cell r="L340">
            <v>43950</v>
          </cell>
          <cell r="M340">
            <v>264</v>
          </cell>
          <cell r="N340">
            <v>314</v>
          </cell>
          <cell r="O340">
            <v>14322.4697265625</v>
          </cell>
          <cell r="P340">
            <v>11584.836942813859</v>
          </cell>
          <cell r="Q340">
            <v>14535.298828125</v>
          </cell>
        </row>
        <row r="341">
          <cell r="A341" t="str">
            <v>2G1FK1EJ1A9139002</v>
          </cell>
          <cell r="B341">
            <v>2010</v>
          </cell>
          <cell r="C341" t="str">
            <v>CHEVROLET</v>
          </cell>
          <cell r="D341" t="str">
            <v>CAMARO</v>
          </cell>
          <cell r="E341">
            <v>67929</v>
          </cell>
          <cell r="F341" t="str">
            <v>Grade 2.7</v>
          </cell>
          <cell r="G341" t="str">
            <v>Green Light</v>
          </cell>
          <cell r="H341" t="str">
            <v>Yes</v>
          </cell>
          <cell r="I341" t="str">
            <v>No</v>
          </cell>
          <cell r="J341">
            <v>45300</v>
          </cell>
          <cell r="K341" t="str">
            <v>Yes</v>
          </cell>
          <cell r="L341">
            <v>43950</v>
          </cell>
          <cell r="M341">
            <v>264</v>
          </cell>
          <cell r="N341">
            <v>314</v>
          </cell>
          <cell r="O341">
            <v>4776.39990234375</v>
          </cell>
          <cell r="P341">
            <v>9994.1638734635526</v>
          </cell>
          <cell r="Q341">
            <v>4617.4833984375</v>
          </cell>
        </row>
        <row r="342">
          <cell r="A342" t="str">
            <v>2GNALBEK7D6225599</v>
          </cell>
          <cell r="B342">
            <v>2013</v>
          </cell>
          <cell r="C342" t="str">
            <v>CHEVROLET</v>
          </cell>
          <cell r="D342" t="str">
            <v>EQUINOX</v>
          </cell>
          <cell r="E342">
            <v>82534</v>
          </cell>
          <cell r="F342" t="str">
            <v>Grade 3.1</v>
          </cell>
          <cell r="G342" t="str">
            <v>Inoperable</v>
          </cell>
          <cell r="H342" t="str">
            <v>No</v>
          </cell>
          <cell r="I342" t="str">
            <v>Yes</v>
          </cell>
          <cell r="J342">
            <v>45426</v>
          </cell>
          <cell r="K342" t="str">
            <v>Yes</v>
          </cell>
          <cell r="L342">
            <v>43950</v>
          </cell>
          <cell r="M342">
            <v>264</v>
          </cell>
          <cell r="N342">
            <v>314</v>
          </cell>
          <cell r="O342">
            <v>6457.5361328125</v>
          </cell>
          <cell r="P342">
            <v>9498.8374922316325</v>
          </cell>
          <cell r="Q342">
            <v>6522.1337890625</v>
          </cell>
        </row>
        <row r="343">
          <cell r="A343" t="str">
            <v>2GNALBEK8D6329969</v>
          </cell>
          <cell r="B343">
            <v>2013</v>
          </cell>
          <cell r="C343" t="str">
            <v>CHEVROLET</v>
          </cell>
          <cell r="D343" t="str">
            <v>EQUINOX FWD 4C</v>
          </cell>
          <cell r="E343">
            <v>104784</v>
          </cell>
          <cell r="F343" t="str">
            <v>Grade 2.0</v>
          </cell>
          <cell r="G343" t="str">
            <v>Inoperable</v>
          </cell>
          <cell r="H343" t="str">
            <v>No</v>
          </cell>
          <cell r="I343" t="str">
            <v>Yes</v>
          </cell>
          <cell r="J343">
            <v>45386</v>
          </cell>
          <cell r="K343" t="str">
            <v>Yes</v>
          </cell>
          <cell r="L343">
            <v>43950</v>
          </cell>
          <cell r="M343">
            <v>264</v>
          </cell>
          <cell r="N343">
            <v>314</v>
          </cell>
          <cell r="O343">
            <v>2745.574951171875</v>
          </cell>
          <cell r="P343">
            <v>9328.788988028884</v>
          </cell>
          <cell r="Q343">
            <v>2645.82568359375</v>
          </cell>
        </row>
        <row r="344">
          <cell r="A344" t="str">
            <v>2GNALPEKXD6345300</v>
          </cell>
          <cell r="B344">
            <v>2013</v>
          </cell>
          <cell r="C344" t="str">
            <v>CHEVROLET</v>
          </cell>
          <cell r="D344" t="str">
            <v>EQUINOX FWD 4C</v>
          </cell>
          <cell r="E344">
            <v>143649</v>
          </cell>
          <cell r="F344" t="str">
            <v>Grade 2.0</v>
          </cell>
          <cell r="G344" t="str">
            <v>Inoperable</v>
          </cell>
          <cell r="H344" t="str">
            <v>No</v>
          </cell>
          <cell r="I344" t="str">
            <v>Yes</v>
          </cell>
          <cell r="J344">
            <v>45680</v>
          </cell>
          <cell r="K344" t="str">
            <v>Yes</v>
          </cell>
          <cell r="L344">
            <v>43950</v>
          </cell>
          <cell r="M344">
            <v>264</v>
          </cell>
          <cell r="N344">
            <v>314</v>
          </cell>
          <cell r="O344">
            <v>1490.528564453125</v>
          </cell>
          <cell r="P344">
            <v>9331.0664918475941</v>
          </cell>
          <cell r="Q344">
            <v>1429.882080078125</v>
          </cell>
        </row>
        <row r="345">
          <cell r="A345" t="str">
            <v>2GNFLNEK8D6173276</v>
          </cell>
          <cell r="B345">
            <v>2013</v>
          </cell>
          <cell r="C345" t="str">
            <v>CHEVROLET</v>
          </cell>
          <cell r="D345" t="str">
            <v>EQUINOX</v>
          </cell>
          <cell r="E345">
            <v>122574</v>
          </cell>
          <cell r="F345" t="str">
            <v>Grade 1.6</v>
          </cell>
          <cell r="G345" t="str">
            <v>Inoperable</v>
          </cell>
          <cell r="H345" t="str">
            <v>No</v>
          </cell>
          <cell r="I345" t="str">
            <v>Yes</v>
          </cell>
          <cell r="J345">
            <v>45342</v>
          </cell>
          <cell r="K345" t="str">
            <v>Yes</v>
          </cell>
          <cell r="L345">
            <v>43950</v>
          </cell>
          <cell r="M345">
            <v>264</v>
          </cell>
          <cell r="N345">
            <v>314</v>
          </cell>
          <cell r="O345">
            <v>1677.634887695312</v>
          </cell>
          <cell r="P345">
            <v>9223.2539426401854</v>
          </cell>
          <cell r="Q345">
            <v>1608.424194335938</v>
          </cell>
        </row>
        <row r="346">
          <cell r="A346" t="str">
            <v>2T1BURHE9JC109663</v>
          </cell>
          <cell r="B346">
            <v>2018</v>
          </cell>
          <cell r="C346" t="str">
            <v>TOYOTA</v>
          </cell>
          <cell r="D346" t="str">
            <v>COROLLA</v>
          </cell>
          <cell r="E346">
            <v>62751</v>
          </cell>
          <cell r="F346" t="str">
            <v>Grade 3.5</v>
          </cell>
          <cell r="G346" t="str">
            <v>Green Light</v>
          </cell>
          <cell r="H346" t="str">
            <v>Yes</v>
          </cell>
          <cell r="I346" t="str">
            <v>No</v>
          </cell>
          <cell r="J346">
            <v>45608</v>
          </cell>
          <cell r="K346" t="str">
            <v>Yes</v>
          </cell>
          <cell r="L346">
            <v>43950</v>
          </cell>
          <cell r="M346">
            <v>264</v>
          </cell>
          <cell r="N346">
            <v>314</v>
          </cell>
          <cell r="O346">
            <v>12846.2197265625</v>
          </cell>
          <cell r="P346">
            <v>11545.98943372179</v>
          </cell>
          <cell r="Q346">
            <v>12910.5859375</v>
          </cell>
        </row>
        <row r="347">
          <cell r="A347" t="str">
            <v>3FA6P0HD1HR140587</v>
          </cell>
          <cell r="B347">
            <v>2017</v>
          </cell>
          <cell r="C347" t="str">
            <v>FORD</v>
          </cell>
          <cell r="D347" t="str">
            <v>FUSION</v>
          </cell>
          <cell r="E347">
            <v>152410</v>
          </cell>
          <cell r="F347" t="str">
            <v>Grade 1.3</v>
          </cell>
          <cell r="G347" t="str">
            <v>Red Light</v>
          </cell>
          <cell r="H347" t="str">
            <v>No</v>
          </cell>
          <cell r="I347" t="str">
            <v>Yes</v>
          </cell>
          <cell r="J347">
            <v>45594</v>
          </cell>
          <cell r="K347" t="str">
            <v>Yes</v>
          </cell>
          <cell r="L347">
            <v>43950</v>
          </cell>
          <cell r="M347">
            <v>264</v>
          </cell>
          <cell r="N347">
            <v>314</v>
          </cell>
          <cell r="O347">
            <v>2488.33154296875</v>
          </cell>
          <cell r="P347">
            <v>9097.0208163310035</v>
          </cell>
          <cell r="Q347">
            <v>2338.3408203125</v>
          </cell>
        </row>
        <row r="348">
          <cell r="A348" t="str">
            <v>3FA6P0HD2JR208045</v>
          </cell>
          <cell r="B348">
            <v>2018</v>
          </cell>
          <cell r="C348" t="str">
            <v>FORD</v>
          </cell>
          <cell r="D348" t="str">
            <v>FUSION FWD 4C</v>
          </cell>
          <cell r="E348">
            <v>71348</v>
          </cell>
          <cell r="F348" t="str">
            <v>Grade 3.7</v>
          </cell>
          <cell r="G348" t="str">
            <v>Red Light</v>
          </cell>
          <cell r="H348" t="str">
            <v>No</v>
          </cell>
          <cell r="I348" t="str">
            <v>Yes</v>
          </cell>
          <cell r="J348">
            <v>45330</v>
          </cell>
          <cell r="K348" t="str">
            <v>Yes</v>
          </cell>
          <cell r="L348">
            <v>43950</v>
          </cell>
          <cell r="M348">
            <v>264</v>
          </cell>
          <cell r="N348">
            <v>314</v>
          </cell>
          <cell r="O348">
            <v>12570.6240234375</v>
          </cell>
          <cell r="P348">
            <v>10333.878250932819</v>
          </cell>
          <cell r="Q348">
            <v>12728.0908203125</v>
          </cell>
        </row>
        <row r="349">
          <cell r="A349" t="str">
            <v>3FA6P0HD9HR183185</v>
          </cell>
          <cell r="B349">
            <v>2017</v>
          </cell>
          <cell r="C349" t="str">
            <v>FORD</v>
          </cell>
          <cell r="D349" t="str">
            <v>FUSION FWD 4C</v>
          </cell>
          <cell r="E349">
            <v>177147</v>
          </cell>
          <cell r="F349" t="str">
            <v>Grade 2.6</v>
          </cell>
          <cell r="G349" t="str">
            <v>Red Light</v>
          </cell>
          <cell r="H349" t="str">
            <v>No</v>
          </cell>
          <cell r="I349" t="str">
            <v>Yes</v>
          </cell>
          <cell r="J349">
            <v>45666</v>
          </cell>
          <cell r="K349" t="str">
            <v>Yes</v>
          </cell>
          <cell r="L349">
            <v>43950</v>
          </cell>
          <cell r="M349">
            <v>264</v>
          </cell>
          <cell r="N349">
            <v>314</v>
          </cell>
          <cell r="O349">
            <v>2723.431640625</v>
          </cell>
          <cell r="P349">
            <v>9329.2772548248558</v>
          </cell>
          <cell r="Q349">
            <v>2556.26416015625</v>
          </cell>
        </row>
        <row r="350">
          <cell r="A350" t="str">
            <v>3N1AB7AP2HY344324</v>
          </cell>
          <cell r="B350">
            <v>2017</v>
          </cell>
          <cell r="C350" t="str">
            <v>NISSAN</v>
          </cell>
          <cell r="D350" t="str">
            <v>SENTRA</v>
          </cell>
          <cell r="E350">
            <v>104056</v>
          </cell>
          <cell r="F350" t="str">
            <v>Grade 1.4</v>
          </cell>
          <cell r="G350" t="str">
            <v>Red Light</v>
          </cell>
          <cell r="H350" t="str">
            <v>No</v>
          </cell>
          <cell r="I350" t="str">
            <v>Yes</v>
          </cell>
          <cell r="J350">
            <v>45344</v>
          </cell>
          <cell r="K350" t="str">
            <v>Yes</v>
          </cell>
          <cell r="L350">
            <v>43950</v>
          </cell>
          <cell r="M350">
            <v>264</v>
          </cell>
          <cell r="N350">
            <v>314</v>
          </cell>
          <cell r="O350">
            <v>2955.115478515625</v>
          </cell>
          <cell r="P350">
            <v>8626.0044908671971</v>
          </cell>
          <cell r="Q350">
            <v>2792.935546875</v>
          </cell>
        </row>
        <row r="351">
          <cell r="A351" t="str">
            <v>3N1CN7AP2KL832757</v>
          </cell>
          <cell r="B351">
            <v>2019</v>
          </cell>
          <cell r="C351" t="str">
            <v>NISSAN</v>
          </cell>
          <cell r="D351" t="str">
            <v>VERSA</v>
          </cell>
          <cell r="E351">
            <v>108195</v>
          </cell>
          <cell r="F351" t="str">
            <v>Grade 2.5</v>
          </cell>
          <cell r="G351" t="str">
            <v>Red Light</v>
          </cell>
          <cell r="H351" t="str">
            <v>No</v>
          </cell>
          <cell r="I351" t="str">
            <v>Yes</v>
          </cell>
          <cell r="J351">
            <v>45407</v>
          </cell>
          <cell r="K351" t="str">
            <v>Yes</v>
          </cell>
          <cell r="L351">
            <v>43950</v>
          </cell>
          <cell r="M351">
            <v>264</v>
          </cell>
          <cell r="N351">
            <v>314</v>
          </cell>
          <cell r="O351">
            <v>4260.74560546875</v>
          </cell>
          <cell r="P351">
            <v>8913.3658703720757</v>
          </cell>
          <cell r="Q351">
            <v>4192.12744140625</v>
          </cell>
        </row>
        <row r="352">
          <cell r="A352" t="str">
            <v>3VWPL7AJ0EM610455</v>
          </cell>
          <cell r="B352">
            <v>2014</v>
          </cell>
          <cell r="C352" t="str">
            <v>VOLKSWAGEN</v>
          </cell>
          <cell r="D352" t="str">
            <v>JETTA SPORTWAGEN</v>
          </cell>
          <cell r="E352">
            <v>112929</v>
          </cell>
          <cell r="F352" t="str">
            <v>Grade 3.0</v>
          </cell>
          <cell r="G352" t="str">
            <v>Green Light</v>
          </cell>
          <cell r="H352" t="str">
            <v>Yes</v>
          </cell>
          <cell r="I352" t="str">
            <v>No</v>
          </cell>
          <cell r="J352">
            <v>45440</v>
          </cell>
          <cell r="K352" t="str">
            <v>Yes</v>
          </cell>
          <cell r="L352">
            <v>43950</v>
          </cell>
          <cell r="M352">
            <v>264</v>
          </cell>
          <cell r="N352">
            <v>314</v>
          </cell>
          <cell r="O352">
            <v>4628.9755859375</v>
          </cell>
          <cell r="P352">
            <v>8938.4336035545875</v>
          </cell>
          <cell r="Q352">
            <v>4484.4765625</v>
          </cell>
        </row>
        <row r="353">
          <cell r="A353" t="str">
            <v>4S4WMABD1K3405317</v>
          </cell>
          <cell r="B353">
            <v>2019</v>
          </cell>
          <cell r="C353" t="str">
            <v>SUBARU</v>
          </cell>
          <cell r="D353" t="str">
            <v>ASCENT</v>
          </cell>
          <cell r="E353">
            <v>45551</v>
          </cell>
          <cell r="F353" t="str">
            <v>Grade 3.0</v>
          </cell>
          <cell r="G353" t="str">
            <v>Green Light</v>
          </cell>
          <cell r="H353" t="str">
            <v>Yes</v>
          </cell>
          <cell r="I353" t="str">
            <v>No</v>
          </cell>
          <cell r="J353">
            <v>45664</v>
          </cell>
          <cell r="K353" t="str">
            <v>Yes</v>
          </cell>
          <cell r="L353">
            <v>43950</v>
          </cell>
          <cell r="M353">
            <v>264</v>
          </cell>
          <cell r="N353">
            <v>314</v>
          </cell>
          <cell r="O353">
            <v>15084.3720703125</v>
          </cell>
          <cell r="P353">
            <v>12124.954626359789</v>
          </cell>
          <cell r="Q353">
            <v>15301.8544921875</v>
          </cell>
        </row>
        <row r="354">
          <cell r="A354" t="str">
            <v>5NMS3CAD8LH289636</v>
          </cell>
          <cell r="B354">
            <v>2020</v>
          </cell>
          <cell r="C354" t="str">
            <v>HYUNDAI</v>
          </cell>
          <cell r="D354" t="str">
            <v>SANTA FE</v>
          </cell>
          <cell r="E354">
            <v>87973</v>
          </cell>
          <cell r="F354" t="str">
            <v>Grade 4.5</v>
          </cell>
          <cell r="G354" t="str">
            <v>Red Light</v>
          </cell>
          <cell r="H354" t="str">
            <v>No</v>
          </cell>
          <cell r="I354" t="str">
            <v>Yes</v>
          </cell>
          <cell r="J354">
            <v>45720</v>
          </cell>
          <cell r="K354" t="str">
            <v>Yes</v>
          </cell>
          <cell r="L354">
            <v>43950</v>
          </cell>
          <cell r="M354">
            <v>264</v>
          </cell>
          <cell r="N354">
            <v>314</v>
          </cell>
          <cell r="O354">
            <v>9995.51171875</v>
          </cell>
          <cell r="P354">
            <v>11111.21369036636</v>
          </cell>
          <cell r="Q354">
            <v>9754.384765625</v>
          </cell>
        </row>
        <row r="355">
          <cell r="A355" t="str">
            <v>5NPD84LF4KH437863</v>
          </cell>
          <cell r="B355">
            <v>2019</v>
          </cell>
          <cell r="C355" t="str">
            <v>HYUNDAI</v>
          </cell>
          <cell r="D355" t="str">
            <v>ELANTRA</v>
          </cell>
          <cell r="E355">
            <v>77684</v>
          </cell>
          <cell r="F355" t="str">
            <v>Grade 4.4</v>
          </cell>
          <cell r="G355" t="str">
            <v>Certified</v>
          </cell>
          <cell r="H355" t="str">
            <v>Yes</v>
          </cell>
          <cell r="I355" t="str">
            <v>No</v>
          </cell>
          <cell r="J355">
            <v>45421</v>
          </cell>
          <cell r="K355" t="str">
            <v>Yes</v>
          </cell>
          <cell r="L355">
            <v>43950</v>
          </cell>
          <cell r="M355">
            <v>264</v>
          </cell>
          <cell r="N355">
            <v>314</v>
          </cell>
          <cell r="O355">
            <v>10154.4853515625</v>
          </cell>
          <cell r="P355">
            <v>9697.0478644736086</v>
          </cell>
          <cell r="Q355">
            <v>10375.912109375</v>
          </cell>
        </row>
        <row r="356">
          <cell r="A356" t="str">
            <v>5XXGN4A76EG332565</v>
          </cell>
          <cell r="B356">
            <v>2014</v>
          </cell>
          <cell r="C356" t="str">
            <v>KIA</v>
          </cell>
          <cell r="D356" t="str">
            <v>OPTIMA</v>
          </cell>
          <cell r="E356">
            <v>150642</v>
          </cell>
          <cell r="F356" t="str">
            <v>Grade 1.7</v>
          </cell>
          <cell r="G356" t="str">
            <v>Red Light</v>
          </cell>
          <cell r="H356" t="str">
            <v>No</v>
          </cell>
          <cell r="I356" t="str">
            <v>Yes</v>
          </cell>
          <cell r="J356">
            <v>45566</v>
          </cell>
          <cell r="K356" t="str">
            <v>Yes</v>
          </cell>
          <cell r="L356">
            <v>43950</v>
          </cell>
          <cell r="M356">
            <v>264</v>
          </cell>
          <cell r="N356">
            <v>314</v>
          </cell>
          <cell r="O356">
            <v>552.16729736328125</v>
          </cell>
          <cell r="P356">
            <v>8547.4042835727287</v>
          </cell>
          <cell r="Q356">
            <v>933.41363525390625</v>
          </cell>
        </row>
        <row r="357">
          <cell r="A357" t="str">
            <v>5YFBU4EE8CP058022</v>
          </cell>
          <cell r="B357">
            <v>2012</v>
          </cell>
          <cell r="C357" t="str">
            <v>TOYOTA</v>
          </cell>
          <cell r="D357" t="str">
            <v>COROLLA</v>
          </cell>
          <cell r="E357">
            <v>87113</v>
          </cell>
          <cell r="F357" t="str">
            <v>Grade 2.2</v>
          </cell>
          <cell r="G357" t="str">
            <v>Green Light</v>
          </cell>
          <cell r="H357" t="str">
            <v>Yes</v>
          </cell>
          <cell r="I357" t="str">
            <v>No</v>
          </cell>
          <cell r="J357">
            <v>45687</v>
          </cell>
          <cell r="K357" t="str">
            <v>Yes</v>
          </cell>
          <cell r="L357">
            <v>43950</v>
          </cell>
          <cell r="M357">
            <v>264</v>
          </cell>
          <cell r="N357">
            <v>314</v>
          </cell>
          <cell r="O357">
            <v>4613.83837890625</v>
          </cell>
          <cell r="P357">
            <v>9552.8548370460794</v>
          </cell>
          <cell r="Q357">
            <v>4599.1796875</v>
          </cell>
        </row>
        <row r="358">
          <cell r="A358" t="str">
            <v>5YJYGDEE8MF108707</v>
          </cell>
          <cell r="B358">
            <v>2021</v>
          </cell>
          <cell r="C358" t="str">
            <v>TESLA</v>
          </cell>
          <cell r="D358" t="str">
            <v>MODEL Y</v>
          </cell>
          <cell r="E358">
            <v>37826</v>
          </cell>
          <cell r="F358" t="str">
            <v>Grade 4.6</v>
          </cell>
          <cell r="G358" t="str">
            <v>Green/Yellow</v>
          </cell>
          <cell r="H358" t="str">
            <v>Yes</v>
          </cell>
          <cell r="I358" t="str">
            <v>No</v>
          </cell>
          <cell r="J358">
            <v>45566</v>
          </cell>
          <cell r="K358" t="str">
            <v>Yes</v>
          </cell>
          <cell r="L358">
            <v>43950</v>
          </cell>
          <cell r="M358">
            <v>264</v>
          </cell>
          <cell r="N358">
            <v>314</v>
          </cell>
          <cell r="O358">
            <v>22106.580078125</v>
          </cell>
          <cell r="P358">
            <v>15841.90076185675</v>
          </cell>
          <cell r="Q358">
            <v>21554.8671875</v>
          </cell>
        </row>
        <row r="359">
          <cell r="A359" t="str">
            <v>JF1GPAL65E8309008</v>
          </cell>
          <cell r="B359">
            <v>2014</v>
          </cell>
          <cell r="C359" t="str">
            <v>SUBARU</v>
          </cell>
          <cell r="D359" t="str">
            <v>IMPREZA</v>
          </cell>
          <cell r="E359">
            <v>96631</v>
          </cell>
          <cell r="F359" t="str">
            <v>Grade 1.3</v>
          </cell>
          <cell r="G359" t="str">
            <v>Red Light</v>
          </cell>
          <cell r="H359" t="str">
            <v>No</v>
          </cell>
          <cell r="I359" t="str">
            <v>Yes</v>
          </cell>
          <cell r="J359">
            <v>45365</v>
          </cell>
          <cell r="K359" t="str">
            <v>Yes</v>
          </cell>
          <cell r="L359">
            <v>43950</v>
          </cell>
          <cell r="M359">
            <v>264</v>
          </cell>
          <cell r="N359">
            <v>314</v>
          </cell>
          <cell r="O359">
            <v>3077.371826171875</v>
          </cell>
          <cell r="P359">
            <v>9230.0384318859506</v>
          </cell>
          <cell r="Q359">
            <v>2984.02783203125</v>
          </cell>
        </row>
        <row r="360">
          <cell r="A360" t="str">
            <v>JF1ZCAC16D1609771</v>
          </cell>
          <cell r="B360">
            <v>2013</v>
          </cell>
          <cell r="C360" t="str">
            <v>SUBARU</v>
          </cell>
          <cell r="D360" t="str">
            <v>BRZ</v>
          </cell>
          <cell r="E360">
            <v>122642</v>
          </cell>
          <cell r="F360" t="str">
            <v>Grade 1.8</v>
          </cell>
          <cell r="G360" t="str">
            <v>Red Light</v>
          </cell>
          <cell r="H360" t="str">
            <v>No</v>
          </cell>
          <cell r="I360" t="str">
            <v>Yes</v>
          </cell>
          <cell r="J360">
            <v>45706</v>
          </cell>
          <cell r="K360" t="str">
            <v>Yes</v>
          </cell>
          <cell r="L360">
            <v>43950</v>
          </cell>
          <cell r="M360">
            <v>264</v>
          </cell>
          <cell r="N360">
            <v>314</v>
          </cell>
          <cell r="O360">
            <v>1580.005249023438</v>
          </cell>
          <cell r="P360">
            <v>9008.4884332796046</v>
          </cell>
          <cell r="Q360">
            <v>1540.495727539062</v>
          </cell>
        </row>
        <row r="361">
          <cell r="A361" t="str">
            <v>KMHCT5AE9DU119333</v>
          </cell>
          <cell r="B361">
            <v>2013</v>
          </cell>
          <cell r="C361" t="str">
            <v>HYUNDAI</v>
          </cell>
          <cell r="D361" t="str">
            <v>ACCENT</v>
          </cell>
          <cell r="E361">
            <v>102660</v>
          </cell>
          <cell r="F361" t="str">
            <v>Grade 4.1</v>
          </cell>
          <cell r="G361" t="str">
            <v>Certified</v>
          </cell>
          <cell r="H361" t="str">
            <v>Yes</v>
          </cell>
          <cell r="I361" t="str">
            <v>No</v>
          </cell>
          <cell r="J361">
            <v>45538</v>
          </cell>
          <cell r="K361" t="str">
            <v>Yes</v>
          </cell>
          <cell r="L361">
            <v>43950</v>
          </cell>
          <cell r="M361">
            <v>264</v>
          </cell>
          <cell r="N361">
            <v>314</v>
          </cell>
          <cell r="O361">
            <v>5406.5068359375</v>
          </cell>
          <cell r="P361">
            <v>9451.9884134774311</v>
          </cell>
          <cell r="Q361">
            <v>5482.1513671875</v>
          </cell>
        </row>
        <row r="362">
          <cell r="A362" t="str">
            <v>KMHDH4AEXDU551770</v>
          </cell>
          <cell r="B362">
            <v>2013</v>
          </cell>
          <cell r="C362" t="str">
            <v>HYUNDAI</v>
          </cell>
          <cell r="D362" t="str">
            <v>ELANTRA</v>
          </cell>
          <cell r="E362">
            <v>151906</v>
          </cell>
          <cell r="F362" t="str">
            <v>Grade 2.0</v>
          </cell>
          <cell r="G362" t="str">
            <v>Red Light</v>
          </cell>
          <cell r="H362" t="str">
            <v>No</v>
          </cell>
          <cell r="I362" t="str">
            <v>Yes</v>
          </cell>
          <cell r="J362">
            <v>45400</v>
          </cell>
          <cell r="K362" t="str">
            <v>Yes</v>
          </cell>
          <cell r="L362">
            <v>43950</v>
          </cell>
          <cell r="M362">
            <v>264</v>
          </cell>
          <cell r="N362">
            <v>314</v>
          </cell>
          <cell r="O362">
            <v>978.019775390625</v>
          </cell>
          <cell r="P362">
            <v>8535.7814547759262</v>
          </cell>
          <cell r="Q362">
            <v>1175.75244140625</v>
          </cell>
        </row>
        <row r="363">
          <cell r="A363" t="str">
            <v>KMHTC6AD0GU251429</v>
          </cell>
          <cell r="B363">
            <v>2016</v>
          </cell>
          <cell r="C363" t="str">
            <v>HYUNDAI</v>
          </cell>
          <cell r="D363" t="str">
            <v>VELOSTER</v>
          </cell>
          <cell r="E363">
            <v>101779</v>
          </cell>
          <cell r="F363" t="str">
            <v>Grade 4.0</v>
          </cell>
          <cell r="G363" t="str">
            <v>Red Light</v>
          </cell>
          <cell r="H363" t="str">
            <v>No</v>
          </cell>
          <cell r="I363" t="str">
            <v>Yes</v>
          </cell>
          <cell r="J363">
            <v>45617</v>
          </cell>
          <cell r="K363" t="str">
            <v>Yes</v>
          </cell>
          <cell r="L363">
            <v>43950</v>
          </cell>
          <cell r="M363">
            <v>264</v>
          </cell>
          <cell r="N363">
            <v>314</v>
          </cell>
          <cell r="O363">
            <v>6815.501953125</v>
          </cell>
          <cell r="P363">
            <v>9441.2867542341337</v>
          </cell>
          <cell r="Q363">
            <v>6816.08837890625</v>
          </cell>
        </row>
        <row r="364">
          <cell r="A364" t="str">
            <v>KNADM4A33G6676386</v>
          </cell>
          <cell r="B364">
            <v>2016</v>
          </cell>
          <cell r="C364" t="str">
            <v>KIA</v>
          </cell>
          <cell r="D364" t="str">
            <v>RIO</v>
          </cell>
          <cell r="E364">
            <v>126097</v>
          </cell>
          <cell r="F364" t="str">
            <v>Grade 1.4</v>
          </cell>
          <cell r="G364" t="str">
            <v>Red Light</v>
          </cell>
          <cell r="H364" t="str">
            <v>No</v>
          </cell>
          <cell r="I364" t="str">
            <v>Yes</v>
          </cell>
          <cell r="J364">
            <v>45538</v>
          </cell>
          <cell r="K364" t="str">
            <v>Yes</v>
          </cell>
          <cell r="L364">
            <v>43950</v>
          </cell>
          <cell r="M364">
            <v>264</v>
          </cell>
          <cell r="N364">
            <v>314</v>
          </cell>
          <cell r="O364">
            <v>1707.659790039062</v>
          </cell>
          <cell r="P364">
            <v>8577.9302011553991</v>
          </cell>
          <cell r="Q364">
            <v>1683.583618164062</v>
          </cell>
        </row>
        <row r="365">
          <cell r="A365" t="str">
            <v>KNADM4A39D6318740</v>
          </cell>
          <cell r="B365">
            <v>2013</v>
          </cell>
          <cell r="C365" t="str">
            <v>KIA</v>
          </cell>
          <cell r="D365" t="str">
            <v>RIO</v>
          </cell>
          <cell r="E365">
            <v>86224</v>
          </cell>
          <cell r="F365" t="str">
            <v>Grade 3.3</v>
          </cell>
          <cell r="G365" t="str">
            <v>Red Light</v>
          </cell>
          <cell r="H365" t="str">
            <v>No</v>
          </cell>
          <cell r="I365" t="str">
            <v>Yes</v>
          </cell>
          <cell r="J365">
            <v>45566</v>
          </cell>
          <cell r="K365" t="str">
            <v>Yes</v>
          </cell>
          <cell r="L365">
            <v>43950</v>
          </cell>
          <cell r="M365">
            <v>264</v>
          </cell>
          <cell r="N365">
            <v>314</v>
          </cell>
          <cell r="O365">
            <v>4696.97509765625</v>
          </cell>
          <cell r="P365">
            <v>8880.3548404950579</v>
          </cell>
          <cell r="Q365">
            <v>4655.07080078125</v>
          </cell>
        </row>
        <row r="366">
          <cell r="A366" t="str">
            <v>KNDJN2A25G7245752</v>
          </cell>
          <cell r="B366">
            <v>2016</v>
          </cell>
          <cell r="C366" t="str">
            <v>KIA</v>
          </cell>
          <cell r="D366" t="str">
            <v>SOUL</v>
          </cell>
          <cell r="E366">
            <v>87431</v>
          </cell>
          <cell r="F366" t="str">
            <v>Grade 2.3</v>
          </cell>
          <cell r="G366" t="str">
            <v>Green/Yellow</v>
          </cell>
          <cell r="H366" t="str">
            <v>Yes</v>
          </cell>
          <cell r="I366" t="str">
            <v>No</v>
          </cell>
          <cell r="J366">
            <v>45426</v>
          </cell>
          <cell r="K366" t="str">
            <v>Yes</v>
          </cell>
          <cell r="L366">
            <v>43950</v>
          </cell>
          <cell r="M366">
            <v>264</v>
          </cell>
          <cell r="N366">
            <v>314</v>
          </cell>
          <cell r="O366">
            <v>3359.357177734375</v>
          </cell>
          <cell r="P366">
            <v>8746.5052581882082</v>
          </cell>
          <cell r="Q366">
            <v>3296.892578125</v>
          </cell>
        </row>
        <row r="367">
          <cell r="A367" t="str">
            <v>KNDJN2A27H7458462</v>
          </cell>
          <cell r="B367">
            <v>2017</v>
          </cell>
          <cell r="C367" t="str">
            <v>KIA</v>
          </cell>
          <cell r="D367" t="str">
            <v>SOUL</v>
          </cell>
          <cell r="E367">
            <v>121558</v>
          </cell>
          <cell r="F367" t="str">
            <v>Grade 2.9</v>
          </cell>
          <cell r="G367" t="str">
            <v>Green Light</v>
          </cell>
          <cell r="H367" t="str">
            <v>Yes</v>
          </cell>
          <cell r="I367" t="str">
            <v>No</v>
          </cell>
          <cell r="J367">
            <v>45386</v>
          </cell>
          <cell r="K367" t="str">
            <v>Yes</v>
          </cell>
          <cell r="L367">
            <v>43950</v>
          </cell>
          <cell r="M367">
            <v>264</v>
          </cell>
          <cell r="N367">
            <v>314</v>
          </cell>
          <cell r="O367">
            <v>2886.047119140625</v>
          </cell>
          <cell r="P367">
            <v>8681.0929151599812</v>
          </cell>
          <cell r="Q367">
            <v>2697.9189453125</v>
          </cell>
        </row>
        <row r="368">
          <cell r="A368" t="str">
            <v>KNDJP3A5XF7765387</v>
          </cell>
          <cell r="B368">
            <v>2015</v>
          </cell>
          <cell r="C368" t="str">
            <v>KIA</v>
          </cell>
          <cell r="D368" t="str">
            <v>SOUL</v>
          </cell>
          <cell r="E368">
            <v>97029</v>
          </cell>
          <cell r="F368" t="str">
            <v>Grade 3.7</v>
          </cell>
          <cell r="G368" t="str">
            <v>Green/Yellow</v>
          </cell>
          <cell r="H368" t="str">
            <v>Yes</v>
          </cell>
          <cell r="I368" t="str">
            <v>No</v>
          </cell>
          <cell r="J368">
            <v>45645</v>
          </cell>
          <cell r="K368" t="str">
            <v>Yes</v>
          </cell>
          <cell r="L368">
            <v>43950</v>
          </cell>
          <cell r="M368">
            <v>264</v>
          </cell>
          <cell r="N368">
            <v>314</v>
          </cell>
          <cell r="O368">
            <v>5119.0302734375</v>
          </cell>
          <cell r="P368">
            <v>9721.1526386102068</v>
          </cell>
          <cell r="Q368">
            <v>5092.7900390625</v>
          </cell>
        </row>
        <row r="369">
          <cell r="A369" t="str">
            <v>SAJBD4BV6GCY08909</v>
          </cell>
          <cell r="B369">
            <v>2016</v>
          </cell>
          <cell r="C369" t="str">
            <v>JAGUAR</v>
          </cell>
          <cell r="D369" t="str">
            <v>XF</v>
          </cell>
          <cell r="E369">
            <v>54355</v>
          </cell>
          <cell r="F369" t="str">
            <v>Grade 4.8</v>
          </cell>
          <cell r="G369" t="str">
            <v>Certified</v>
          </cell>
          <cell r="H369" t="str">
            <v>Yes</v>
          </cell>
          <cell r="I369" t="str">
            <v>No</v>
          </cell>
          <cell r="J369">
            <v>45706</v>
          </cell>
          <cell r="K369" t="str">
            <v>Yes</v>
          </cell>
          <cell r="L369">
            <v>43950</v>
          </cell>
          <cell r="M369">
            <v>264</v>
          </cell>
          <cell r="N369">
            <v>314</v>
          </cell>
          <cell r="O369">
            <v>14379.7607421875</v>
          </cell>
          <cell r="P369">
            <v>12311.65240147811</v>
          </cell>
          <cell r="Q369">
            <v>14464.45703125</v>
          </cell>
        </row>
        <row r="370">
          <cell r="A370" t="str">
            <v>WBA3B3C51EJ982605</v>
          </cell>
          <cell r="B370">
            <v>2014</v>
          </cell>
          <cell r="C370" t="str">
            <v>BMW</v>
          </cell>
          <cell r="D370" t="str">
            <v>328I</v>
          </cell>
          <cell r="E370">
            <v>131765</v>
          </cell>
          <cell r="F370" t="str">
            <v>Grade 2.9</v>
          </cell>
          <cell r="G370" t="str">
            <v>Red Light</v>
          </cell>
          <cell r="H370" t="str">
            <v>No</v>
          </cell>
          <cell r="I370" t="str">
            <v>Yes</v>
          </cell>
          <cell r="J370">
            <v>45664</v>
          </cell>
          <cell r="K370" t="str">
            <v>Yes</v>
          </cell>
          <cell r="L370">
            <v>43950</v>
          </cell>
          <cell r="M370">
            <v>264</v>
          </cell>
          <cell r="N370">
            <v>314</v>
          </cell>
          <cell r="O370">
            <v>1958.910034179688</v>
          </cell>
          <cell r="P370">
            <v>9479.2094196117996</v>
          </cell>
          <cell r="Q370">
            <v>1951.2666015625</v>
          </cell>
        </row>
        <row r="371">
          <cell r="A371" t="str">
            <v>WMWSU3C51DT370798</v>
          </cell>
          <cell r="B371">
            <v>2013</v>
          </cell>
          <cell r="C371" t="str">
            <v>MINI</v>
          </cell>
          <cell r="D371" t="str">
            <v>HARDTOP</v>
          </cell>
          <cell r="E371">
            <v>121206</v>
          </cell>
          <cell r="F371" t="str">
            <v>Grade 1.3</v>
          </cell>
          <cell r="G371" t="str">
            <v>Red Light</v>
          </cell>
          <cell r="H371" t="str">
            <v>No</v>
          </cell>
          <cell r="I371" t="str">
            <v>Yes</v>
          </cell>
          <cell r="J371">
            <v>45314</v>
          </cell>
          <cell r="K371" t="str">
            <v>Yes</v>
          </cell>
          <cell r="L371">
            <v>43950</v>
          </cell>
          <cell r="M371">
            <v>264</v>
          </cell>
          <cell r="N371">
            <v>314</v>
          </cell>
          <cell r="O371">
            <v>1331.694213867188</v>
          </cell>
          <cell r="P371">
            <v>8753.9815974218163</v>
          </cell>
          <cell r="Q371">
            <v>1330.663208007812</v>
          </cell>
        </row>
        <row r="372">
          <cell r="A372" t="str">
            <v>1C4PJMDX1KD444817</v>
          </cell>
          <cell r="B372">
            <v>2019</v>
          </cell>
          <cell r="C372" t="str">
            <v>JEEP</v>
          </cell>
          <cell r="D372" t="str">
            <v>CHEROKEE</v>
          </cell>
          <cell r="E372">
            <v>69683</v>
          </cell>
          <cell r="F372" t="str">
            <v>Grade 4.1</v>
          </cell>
          <cell r="G372" t="str">
            <v>Certified</v>
          </cell>
          <cell r="H372" t="str">
            <v>Yes</v>
          </cell>
          <cell r="I372" t="str">
            <v>No</v>
          </cell>
          <cell r="J372">
            <v>45664</v>
          </cell>
          <cell r="K372" t="str">
            <v>Yes</v>
          </cell>
          <cell r="L372">
            <v>43952</v>
          </cell>
          <cell r="M372">
            <v>222</v>
          </cell>
          <cell r="N372">
            <v>272</v>
          </cell>
          <cell r="O372">
            <v>13401.3896484375</v>
          </cell>
          <cell r="P372">
            <v>10669.456248883591</v>
          </cell>
          <cell r="Q372">
            <v>13325.6220703125</v>
          </cell>
        </row>
        <row r="373">
          <cell r="A373" t="str">
            <v>1GNALBEK6EZ137987</v>
          </cell>
          <cell r="B373">
            <v>2014</v>
          </cell>
          <cell r="C373" t="str">
            <v>CHEVROLET</v>
          </cell>
          <cell r="D373" t="str">
            <v>EQUINOX</v>
          </cell>
          <cell r="E373">
            <v>125254</v>
          </cell>
          <cell r="F373" t="str">
            <v>Grade 2.0</v>
          </cell>
          <cell r="G373" t="str">
            <v>Inoperable</v>
          </cell>
          <cell r="H373" t="str">
            <v>No</v>
          </cell>
          <cell r="I373" t="str">
            <v>Yes</v>
          </cell>
          <cell r="J373">
            <v>45734</v>
          </cell>
          <cell r="K373" t="str">
            <v>Yes</v>
          </cell>
          <cell r="L373">
            <v>43952</v>
          </cell>
          <cell r="M373">
            <v>222</v>
          </cell>
          <cell r="N373">
            <v>272</v>
          </cell>
          <cell r="O373">
            <v>1673.55615234375</v>
          </cell>
          <cell r="P373">
            <v>9283.440361963123</v>
          </cell>
          <cell r="Q373">
            <v>1635.687866210938</v>
          </cell>
        </row>
        <row r="374">
          <cell r="A374" t="str">
            <v>1FADP3N25GL301645</v>
          </cell>
          <cell r="B374">
            <v>2016</v>
          </cell>
          <cell r="C374" t="str">
            <v>FORD</v>
          </cell>
          <cell r="D374" t="str">
            <v>FOCUS</v>
          </cell>
          <cell r="E374">
            <v>110751</v>
          </cell>
          <cell r="F374" t="str">
            <v>Grade 3.9</v>
          </cell>
          <cell r="G374" t="str">
            <v>Red Light</v>
          </cell>
          <cell r="H374" t="str">
            <v>No</v>
          </cell>
          <cell r="I374" t="str">
            <v>Yes</v>
          </cell>
          <cell r="J374">
            <v>45720</v>
          </cell>
          <cell r="K374" t="str">
            <v>Yes</v>
          </cell>
          <cell r="L374">
            <v>43977</v>
          </cell>
          <cell r="M374">
            <v>179</v>
          </cell>
          <cell r="N374">
            <v>229</v>
          </cell>
          <cell r="O374">
            <v>6939.77490234375</v>
          </cell>
          <cell r="P374">
            <v>9963.3375967243701</v>
          </cell>
          <cell r="Q374">
            <v>6987.63525390625</v>
          </cell>
        </row>
        <row r="375">
          <cell r="A375" t="str">
            <v>1GNEVGKW4PJ143434</v>
          </cell>
          <cell r="B375">
            <v>2023</v>
          </cell>
          <cell r="C375" t="str">
            <v>CHEVROLET</v>
          </cell>
          <cell r="D375" t="str">
            <v>TRAVERSE</v>
          </cell>
          <cell r="E375">
            <v>46411</v>
          </cell>
          <cell r="F375" t="str">
            <v>Grade 4.2</v>
          </cell>
          <cell r="G375" t="str">
            <v>Certified</v>
          </cell>
          <cell r="H375" t="str">
            <v>Yes</v>
          </cell>
          <cell r="I375" t="str">
            <v>No</v>
          </cell>
          <cell r="J375">
            <v>45720</v>
          </cell>
          <cell r="K375" t="str">
            <v>Yes</v>
          </cell>
          <cell r="L375">
            <v>43977</v>
          </cell>
          <cell r="M375">
            <v>179</v>
          </cell>
          <cell r="N375">
            <v>229</v>
          </cell>
          <cell r="O375">
            <v>25144.517578125</v>
          </cell>
          <cell r="P375">
            <v>15180.004564103931</v>
          </cell>
          <cell r="Q375">
            <v>24671.4375</v>
          </cell>
        </row>
        <row r="376">
          <cell r="A376" t="str">
            <v>2GNALCEK1H1595889</v>
          </cell>
          <cell r="B376">
            <v>2017</v>
          </cell>
          <cell r="C376" t="str">
            <v>CHEVROLET</v>
          </cell>
          <cell r="D376" t="str">
            <v>EQUINOX FWD 4C</v>
          </cell>
          <cell r="E376">
            <v>166031</v>
          </cell>
          <cell r="F376" t="str">
            <v>Grade 2.7</v>
          </cell>
          <cell r="G376" t="str">
            <v>Red Light</v>
          </cell>
          <cell r="H376" t="str">
            <v>No</v>
          </cell>
          <cell r="I376" t="str">
            <v>Yes</v>
          </cell>
          <cell r="J376">
            <v>45736</v>
          </cell>
          <cell r="K376" t="str">
            <v>Yes</v>
          </cell>
          <cell r="L376">
            <v>43977</v>
          </cell>
          <cell r="M376">
            <v>179</v>
          </cell>
          <cell r="N376">
            <v>229</v>
          </cell>
          <cell r="O376">
            <v>2506.43408203125</v>
          </cell>
          <cell r="P376">
            <v>9474.6923515300259</v>
          </cell>
          <cell r="Q376">
            <v>2422.48779296875</v>
          </cell>
        </row>
        <row r="377">
          <cell r="A377" t="str">
            <v>3C3CFFBR8DT591976</v>
          </cell>
          <cell r="B377">
            <v>2013</v>
          </cell>
          <cell r="C377" t="str">
            <v>FIAT</v>
          </cell>
          <cell r="D377">
            <v>500</v>
          </cell>
          <cell r="E377">
            <v>89118</v>
          </cell>
          <cell r="F377" t="str">
            <v>Grade 3.0</v>
          </cell>
          <cell r="G377" t="str">
            <v>Inoperable</v>
          </cell>
          <cell r="H377" t="str">
            <v>No</v>
          </cell>
          <cell r="I377" t="str">
            <v>Yes</v>
          </cell>
          <cell r="J377">
            <v>45720</v>
          </cell>
          <cell r="K377" t="str">
            <v>Yes</v>
          </cell>
          <cell r="L377">
            <v>43977</v>
          </cell>
          <cell r="M377">
            <v>179</v>
          </cell>
          <cell r="N377">
            <v>229</v>
          </cell>
          <cell r="O377">
            <v>4174.8291015625</v>
          </cell>
          <cell r="P377">
            <v>9270.9687229989177</v>
          </cell>
          <cell r="Q377">
            <v>4019.3056640625</v>
          </cell>
        </row>
        <row r="378">
          <cell r="A378" t="str">
            <v>WDDSJ4EB6FN262095</v>
          </cell>
          <cell r="B378">
            <v>2015</v>
          </cell>
          <cell r="C378" t="str">
            <v>MERCEDES B</v>
          </cell>
          <cell r="D378" t="str">
            <v>CLA250C</v>
          </cell>
          <cell r="E378">
            <v>86848</v>
          </cell>
          <cell r="F378" t="str">
            <v>Grade 2.9</v>
          </cell>
          <cell r="G378" t="str">
            <v>Green/Yellow</v>
          </cell>
          <cell r="H378" t="str">
            <v>Yes</v>
          </cell>
          <cell r="I378" t="str">
            <v>No</v>
          </cell>
          <cell r="J378">
            <v>45603</v>
          </cell>
          <cell r="K378" t="str">
            <v>Yes</v>
          </cell>
          <cell r="L378">
            <v>44017</v>
          </cell>
          <cell r="M378">
            <v>222</v>
          </cell>
          <cell r="N378">
            <v>272</v>
          </cell>
          <cell r="O378">
            <v>3963.1708984375</v>
          </cell>
          <cell r="P378">
            <v>9485.0331994324679</v>
          </cell>
          <cell r="Q378">
            <v>4058.1806640625</v>
          </cell>
        </row>
        <row r="379">
          <cell r="A379" t="str">
            <v>1C3CCCDG4GN123170</v>
          </cell>
          <cell r="B379">
            <v>2016</v>
          </cell>
          <cell r="C379" t="str">
            <v>CHRYSLER</v>
          </cell>
          <cell r="D379">
            <v>200</v>
          </cell>
          <cell r="E379">
            <v>64127</v>
          </cell>
          <cell r="F379" t="str">
            <v>Grade 2.5</v>
          </cell>
          <cell r="G379" t="str">
            <v>Green/Yellow</v>
          </cell>
          <cell r="H379" t="str">
            <v>Yes</v>
          </cell>
          <cell r="I379" t="str">
            <v>No</v>
          </cell>
          <cell r="J379">
            <v>45538</v>
          </cell>
          <cell r="K379" t="str">
            <v>Yes</v>
          </cell>
          <cell r="L379">
            <v>44028</v>
          </cell>
          <cell r="M379">
            <v>235</v>
          </cell>
          <cell r="N379">
            <v>285</v>
          </cell>
          <cell r="O379">
            <v>6378.5966796875</v>
          </cell>
          <cell r="P379">
            <v>11142.81117681071</v>
          </cell>
          <cell r="Q379">
            <v>6052.29443359375</v>
          </cell>
        </row>
        <row r="380">
          <cell r="A380" t="str">
            <v>1C4NJCEA9ED766590</v>
          </cell>
          <cell r="B380">
            <v>2014</v>
          </cell>
          <cell r="C380" t="str">
            <v>JEEP</v>
          </cell>
          <cell r="D380" t="str">
            <v>COMPASS FWD 4C</v>
          </cell>
          <cell r="E380">
            <v>0</v>
          </cell>
          <cell r="H380" t="str">
            <v>No</v>
          </cell>
          <cell r="I380" t="str">
            <v>No</v>
          </cell>
          <cell r="J380">
            <v>45713</v>
          </cell>
          <cell r="K380" t="str">
            <v>Yes</v>
          </cell>
          <cell r="L380">
            <v>44028</v>
          </cell>
          <cell r="M380">
            <v>235</v>
          </cell>
          <cell r="N380">
            <v>285</v>
          </cell>
          <cell r="O380">
            <v>7205.81005859375</v>
          </cell>
          <cell r="P380">
            <v>11719.446598404011</v>
          </cell>
          <cell r="Q380">
            <v>6773.31884765625</v>
          </cell>
        </row>
        <row r="381">
          <cell r="A381" t="str">
            <v>1C4PJMAB1HW629116</v>
          </cell>
          <cell r="B381">
            <v>2017</v>
          </cell>
          <cell r="C381" t="str">
            <v>JEEP</v>
          </cell>
          <cell r="D381" t="str">
            <v>CHEROKEE 4X4 4C</v>
          </cell>
          <cell r="E381">
            <v>92498</v>
          </cell>
          <cell r="F381" t="str">
            <v>Grade 4.7</v>
          </cell>
          <cell r="G381" t="str">
            <v>Certified</v>
          </cell>
          <cell r="H381" t="str">
            <v>Yes</v>
          </cell>
          <cell r="I381" t="str">
            <v>No</v>
          </cell>
          <cell r="J381">
            <v>45498</v>
          </cell>
          <cell r="K381" t="str">
            <v>Yes</v>
          </cell>
          <cell r="L381">
            <v>44028</v>
          </cell>
          <cell r="M381">
            <v>235</v>
          </cell>
          <cell r="N381">
            <v>285</v>
          </cell>
          <cell r="O381">
            <v>11517.349609375</v>
          </cell>
          <cell r="P381">
            <v>10251.992913484501</v>
          </cell>
          <cell r="Q381">
            <v>11462.9462890625</v>
          </cell>
        </row>
        <row r="382">
          <cell r="A382" t="str">
            <v>1C4PJMCB5GW112462</v>
          </cell>
          <cell r="B382">
            <v>2016</v>
          </cell>
          <cell r="C382" t="str">
            <v>JEEP</v>
          </cell>
          <cell r="D382" t="str">
            <v>CHEROKEE 4X4 4C</v>
          </cell>
          <cell r="E382">
            <v>108620</v>
          </cell>
          <cell r="F382" t="str">
            <v>Grade 4.2</v>
          </cell>
          <cell r="G382" t="str">
            <v>Certified</v>
          </cell>
          <cell r="H382" t="str">
            <v>Yes</v>
          </cell>
          <cell r="I382" t="str">
            <v>No</v>
          </cell>
          <cell r="J382">
            <v>45715</v>
          </cell>
          <cell r="K382" t="str">
            <v>Yes</v>
          </cell>
          <cell r="L382">
            <v>44028</v>
          </cell>
          <cell r="M382">
            <v>235</v>
          </cell>
          <cell r="N382">
            <v>285</v>
          </cell>
          <cell r="O382">
            <v>8558.943359375</v>
          </cell>
          <cell r="P382">
            <v>10022.393775772211</v>
          </cell>
          <cell r="Q382">
            <v>8585.3583984375</v>
          </cell>
        </row>
        <row r="383">
          <cell r="A383" t="str">
            <v>1C4RDJDG6GC442122</v>
          </cell>
          <cell r="B383">
            <v>2016</v>
          </cell>
          <cell r="C383" t="str">
            <v>DODGE</v>
          </cell>
          <cell r="D383" t="str">
            <v>DURANGO</v>
          </cell>
          <cell r="E383">
            <v>104140</v>
          </cell>
          <cell r="F383" t="str">
            <v>Grade 2.7</v>
          </cell>
          <cell r="G383" t="str">
            <v>Green Light</v>
          </cell>
          <cell r="H383" t="str">
            <v>Yes</v>
          </cell>
          <cell r="I383" t="str">
            <v>No</v>
          </cell>
          <cell r="J383">
            <v>45342</v>
          </cell>
          <cell r="K383" t="str">
            <v>Yes</v>
          </cell>
          <cell r="L383">
            <v>44028</v>
          </cell>
          <cell r="M383">
            <v>235</v>
          </cell>
          <cell r="N383">
            <v>285</v>
          </cell>
          <cell r="O383">
            <v>4131.95654296875</v>
          </cell>
          <cell r="P383">
            <v>9067.9324729643831</v>
          </cell>
          <cell r="Q383">
            <v>4002.080078125</v>
          </cell>
        </row>
        <row r="384">
          <cell r="A384" t="str">
            <v>1FM5K7D81EGC20962</v>
          </cell>
          <cell r="B384">
            <v>2014</v>
          </cell>
          <cell r="C384" t="str">
            <v>FORD</v>
          </cell>
          <cell r="D384" t="str">
            <v>EXPLORER FWD V6</v>
          </cell>
          <cell r="E384">
            <v>126458</v>
          </cell>
          <cell r="F384" t="str">
            <v>Grade 2.2</v>
          </cell>
          <cell r="G384" t="str">
            <v>Red Light</v>
          </cell>
          <cell r="H384" t="str">
            <v>No</v>
          </cell>
          <cell r="I384" t="str">
            <v>Yes</v>
          </cell>
          <cell r="J384">
            <v>45701</v>
          </cell>
          <cell r="K384" t="str">
            <v>Yes</v>
          </cell>
          <cell r="L384">
            <v>44028</v>
          </cell>
          <cell r="M384">
            <v>235</v>
          </cell>
          <cell r="N384">
            <v>285</v>
          </cell>
          <cell r="O384">
            <v>2061.8828125</v>
          </cell>
          <cell r="P384">
            <v>9190.1972929737076</v>
          </cell>
          <cell r="Q384">
            <v>2013.918701171875</v>
          </cell>
        </row>
        <row r="385">
          <cell r="A385" t="str">
            <v>1FMCU0GDXKUC36849</v>
          </cell>
          <cell r="B385">
            <v>2019</v>
          </cell>
          <cell r="C385" t="str">
            <v>FORD</v>
          </cell>
          <cell r="D385" t="str">
            <v>ESCAPE FWD 4C</v>
          </cell>
          <cell r="E385">
            <v>88720</v>
          </cell>
          <cell r="F385" t="str">
            <v>Grade 4.2</v>
          </cell>
          <cell r="G385" t="str">
            <v>Green/Yellow</v>
          </cell>
          <cell r="H385" t="str">
            <v>Yes</v>
          </cell>
          <cell r="I385" t="str">
            <v>No</v>
          </cell>
          <cell r="J385">
            <v>45645</v>
          </cell>
          <cell r="K385" t="str">
            <v>Yes</v>
          </cell>
          <cell r="L385">
            <v>44028</v>
          </cell>
          <cell r="M385">
            <v>235</v>
          </cell>
          <cell r="N385">
            <v>285</v>
          </cell>
          <cell r="O385">
            <v>13000.5927734375</v>
          </cell>
          <cell r="P385">
            <v>10276.57136000233</v>
          </cell>
          <cell r="Q385">
            <v>13098.421875</v>
          </cell>
        </row>
        <row r="386">
          <cell r="A386" t="str">
            <v>1G1BE5SM1H7126595</v>
          </cell>
          <cell r="B386">
            <v>2017</v>
          </cell>
          <cell r="C386" t="str">
            <v>CHEVROLET</v>
          </cell>
          <cell r="D386" t="str">
            <v>CRUZE</v>
          </cell>
          <cell r="E386">
            <v>88851</v>
          </cell>
          <cell r="F386" t="str">
            <v>Grade 1.7</v>
          </cell>
          <cell r="G386" t="str">
            <v>Inoperable</v>
          </cell>
          <cell r="H386" t="str">
            <v>No</v>
          </cell>
          <cell r="I386" t="str">
            <v>Yes</v>
          </cell>
          <cell r="J386">
            <v>45398</v>
          </cell>
          <cell r="K386" t="str">
            <v>Yes</v>
          </cell>
          <cell r="L386">
            <v>44028</v>
          </cell>
          <cell r="M386">
            <v>235</v>
          </cell>
          <cell r="N386">
            <v>285</v>
          </cell>
          <cell r="O386">
            <v>4518.55517578125</v>
          </cell>
          <cell r="P386">
            <v>9427.3957265972113</v>
          </cell>
          <cell r="Q386">
            <v>4571.89404296875</v>
          </cell>
        </row>
        <row r="387">
          <cell r="A387" t="str">
            <v>1G1BG5SE0H7171174</v>
          </cell>
          <cell r="B387">
            <v>2017</v>
          </cell>
          <cell r="C387" t="str">
            <v>CHEVROLET</v>
          </cell>
          <cell r="D387" t="str">
            <v>CRUZE</v>
          </cell>
          <cell r="E387">
            <v>60460</v>
          </cell>
          <cell r="F387" t="str">
            <v>Grade 3.6</v>
          </cell>
          <cell r="G387" t="str">
            <v>Green Light</v>
          </cell>
          <cell r="H387" t="str">
            <v>Yes</v>
          </cell>
          <cell r="I387" t="str">
            <v>No</v>
          </cell>
          <cell r="J387">
            <v>45300</v>
          </cell>
          <cell r="K387" t="str">
            <v>Yes</v>
          </cell>
          <cell r="L387">
            <v>44028</v>
          </cell>
          <cell r="M387">
            <v>235</v>
          </cell>
          <cell r="N387">
            <v>285</v>
          </cell>
          <cell r="O387">
            <v>12740.5244140625</v>
          </cell>
          <cell r="P387">
            <v>12231.33021366496</v>
          </cell>
          <cell r="Q387">
            <v>12874.529296875</v>
          </cell>
        </row>
        <row r="388">
          <cell r="A388" t="str">
            <v>1GCPYBEK9MZ200972</v>
          </cell>
          <cell r="B388">
            <v>2021</v>
          </cell>
          <cell r="C388" t="str">
            <v>CHEVROLET</v>
          </cell>
          <cell r="D388" t="str">
            <v>SILVERADO 1500</v>
          </cell>
          <cell r="E388">
            <v>83974</v>
          </cell>
          <cell r="F388" t="str">
            <v>Grade 3.7</v>
          </cell>
          <cell r="G388" t="str">
            <v>Certified</v>
          </cell>
          <cell r="H388" t="str">
            <v>Yes</v>
          </cell>
          <cell r="I388" t="str">
            <v>No</v>
          </cell>
          <cell r="J388">
            <v>45608</v>
          </cell>
          <cell r="K388" t="str">
            <v>Yes</v>
          </cell>
          <cell r="L388">
            <v>44028</v>
          </cell>
          <cell r="M388">
            <v>235</v>
          </cell>
          <cell r="N388">
            <v>285</v>
          </cell>
          <cell r="O388">
            <v>17870.822265625</v>
          </cell>
          <cell r="P388">
            <v>13894.93118583969</v>
          </cell>
          <cell r="Q388">
            <v>17716.796875</v>
          </cell>
        </row>
        <row r="389">
          <cell r="A389" t="str">
            <v>2FMPK3J98MBA00657</v>
          </cell>
          <cell r="B389">
            <v>2021</v>
          </cell>
          <cell r="C389" t="str">
            <v>FORD</v>
          </cell>
          <cell r="D389" t="str">
            <v>EDGE</v>
          </cell>
          <cell r="E389">
            <v>48386</v>
          </cell>
          <cell r="F389" t="str">
            <v>Grade 4.6</v>
          </cell>
          <cell r="G389" t="str">
            <v>Certified</v>
          </cell>
          <cell r="H389" t="str">
            <v>Yes</v>
          </cell>
          <cell r="I389" t="str">
            <v>No</v>
          </cell>
          <cell r="J389">
            <v>45720</v>
          </cell>
          <cell r="K389" t="str">
            <v>Yes</v>
          </cell>
          <cell r="L389">
            <v>44028</v>
          </cell>
          <cell r="M389">
            <v>235</v>
          </cell>
          <cell r="N389">
            <v>285</v>
          </cell>
          <cell r="O389">
            <v>21691.93359375</v>
          </cell>
          <cell r="P389">
            <v>14683.712156940959</v>
          </cell>
          <cell r="Q389">
            <v>21498.37109375</v>
          </cell>
        </row>
        <row r="390">
          <cell r="A390" t="str">
            <v>2G11Z5SA0H9194455</v>
          </cell>
          <cell r="B390">
            <v>2017</v>
          </cell>
          <cell r="C390" t="str">
            <v>CHEVROLET</v>
          </cell>
          <cell r="D390" t="str">
            <v>IMPALA</v>
          </cell>
          <cell r="E390">
            <v>112556</v>
          </cell>
          <cell r="F390" t="str">
            <v>Grade 2.6</v>
          </cell>
          <cell r="G390" t="str">
            <v>Green Light</v>
          </cell>
          <cell r="H390" t="str">
            <v>Yes</v>
          </cell>
          <cell r="I390" t="str">
            <v>No</v>
          </cell>
          <cell r="J390">
            <v>45454</v>
          </cell>
          <cell r="K390" t="str">
            <v>Yes</v>
          </cell>
          <cell r="L390">
            <v>44028</v>
          </cell>
          <cell r="M390">
            <v>235</v>
          </cell>
          <cell r="N390">
            <v>285</v>
          </cell>
          <cell r="O390">
            <v>3919.964599609375</v>
          </cell>
          <cell r="P390">
            <v>9361.2901070181215</v>
          </cell>
          <cell r="Q390">
            <v>3884.4296875</v>
          </cell>
        </row>
        <row r="391">
          <cell r="A391" t="str">
            <v>2G61P5S38D9229903</v>
          </cell>
          <cell r="B391">
            <v>2013</v>
          </cell>
          <cell r="C391" t="str">
            <v>CADILLAC</v>
          </cell>
          <cell r="D391" t="str">
            <v>XTS</v>
          </cell>
          <cell r="E391">
            <v>82828</v>
          </cell>
          <cell r="F391" t="str">
            <v>Grade 4.1</v>
          </cell>
          <cell r="G391" t="str">
            <v>Certified</v>
          </cell>
          <cell r="H391" t="str">
            <v>Yes</v>
          </cell>
          <cell r="I391" t="str">
            <v>No</v>
          </cell>
          <cell r="J391">
            <v>45328</v>
          </cell>
          <cell r="K391" t="str">
            <v>Yes</v>
          </cell>
          <cell r="L391">
            <v>44028</v>
          </cell>
          <cell r="M391">
            <v>235</v>
          </cell>
          <cell r="N391">
            <v>285</v>
          </cell>
          <cell r="O391">
            <v>7982.53662109375</v>
          </cell>
          <cell r="P391">
            <v>10434.745752788451</v>
          </cell>
          <cell r="Q391">
            <v>7827.77783203125</v>
          </cell>
        </row>
        <row r="392">
          <cell r="A392" t="str">
            <v>2GNALBEKXF1172087</v>
          </cell>
          <cell r="B392">
            <v>2015</v>
          </cell>
          <cell r="C392" t="str">
            <v>CHEVROLET</v>
          </cell>
          <cell r="D392" t="str">
            <v>EQUINOX</v>
          </cell>
          <cell r="E392">
            <v>87736</v>
          </cell>
          <cell r="F392" t="str">
            <v>Grade 0.0</v>
          </cell>
          <cell r="G392" t="str">
            <v>Inoperable</v>
          </cell>
          <cell r="H392" t="str">
            <v>No</v>
          </cell>
          <cell r="I392" t="str">
            <v>Yes</v>
          </cell>
          <cell r="J392">
            <v>45608</v>
          </cell>
          <cell r="K392" t="str">
            <v>Yes</v>
          </cell>
          <cell r="L392">
            <v>44028</v>
          </cell>
          <cell r="M392">
            <v>235</v>
          </cell>
          <cell r="N392">
            <v>285</v>
          </cell>
          <cell r="O392">
            <v>2731.2177734375</v>
          </cell>
          <cell r="P392">
            <v>9425.5209209378827</v>
          </cell>
          <cell r="Q392">
            <v>2713.12353515625</v>
          </cell>
        </row>
        <row r="393">
          <cell r="A393" t="str">
            <v>2GNAXHEV6K6144396</v>
          </cell>
          <cell r="B393">
            <v>2019</v>
          </cell>
          <cell r="C393" t="str">
            <v>CHEVROLET</v>
          </cell>
          <cell r="D393" t="str">
            <v>EQUINOX FWD 4C</v>
          </cell>
          <cell r="E393">
            <v>98267</v>
          </cell>
          <cell r="F393" t="str">
            <v>Grade 3.1</v>
          </cell>
          <cell r="G393" t="str">
            <v>Green Light</v>
          </cell>
          <cell r="H393" t="str">
            <v>Yes</v>
          </cell>
          <cell r="I393" t="str">
            <v>No</v>
          </cell>
          <cell r="J393">
            <v>45400</v>
          </cell>
          <cell r="K393" t="str">
            <v>Yes</v>
          </cell>
          <cell r="L393">
            <v>44028</v>
          </cell>
          <cell r="M393">
            <v>235</v>
          </cell>
          <cell r="N393">
            <v>285</v>
          </cell>
          <cell r="O393">
            <v>11286.9150390625</v>
          </cell>
          <cell r="P393">
            <v>9719.4372531158533</v>
          </cell>
          <cell r="Q393">
            <v>11483.7041015625</v>
          </cell>
        </row>
        <row r="394">
          <cell r="A394" t="str">
            <v>2GNAXSEV0J6208931</v>
          </cell>
          <cell r="B394">
            <v>2018</v>
          </cell>
          <cell r="C394" t="str">
            <v>CHEVROLET</v>
          </cell>
          <cell r="D394" t="str">
            <v>EQUINOX AWD 4C</v>
          </cell>
          <cell r="E394">
            <v>84428</v>
          </cell>
          <cell r="F394" t="str">
            <v>Grade 4.5</v>
          </cell>
          <cell r="G394" t="str">
            <v>Certified</v>
          </cell>
          <cell r="H394" t="str">
            <v>Yes</v>
          </cell>
          <cell r="I394" t="str">
            <v>No</v>
          </cell>
          <cell r="J394">
            <v>45421</v>
          </cell>
          <cell r="K394" t="str">
            <v>Yes</v>
          </cell>
          <cell r="L394">
            <v>44028</v>
          </cell>
          <cell r="M394">
            <v>235</v>
          </cell>
          <cell r="N394">
            <v>285</v>
          </cell>
          <cell r="O394">
            <v>12880.4404296875</v>
          </cell>
          <cell r="P394">
            <v>10491.44369515974</v>
          </cell>
          <cell r="Q394">
            <v>12976.556640625</v>
          </cell>
        </row>
        <row r="395">
          <cell r="A395" t="str">
            <v>2GNFLFEK6F6105907</v>
          </cell>
          <cell r="B395">
            <v>2015</v>
          </cell>
          <cell r="C395" t="str">
            <v>CHEVROLET</v>
          </cell>
          <cell r="D395" t="str">
            <v>EQUINOX AWD 4C</v>
          </cell>
          <cell r="E395">
            <v>131254</v>
          </cell>
          <cell r="F395" t="str">
            <v>Grade 2.1</v>
          </cell>
          <cell r="G395" t="str">
            <v>Green/Yellow</v>
          </cell>
          <cell r="H395" t="str">
            <v>Yes</v>
          </cell>
          <cell r="I395" t="str">
            <v>No</v>
          </cell>
          <cell r="J395">
            <v>45505</v>
          </cell>
          <cell r="K395" t="str">
            <v>Yes</v>
          </cell>
          <cell r="L395">
            <v>44028</v>
          </cell>
          <cell r="M395">
            <v>235</v>
          </cell>
          <cell r="N395">
            <v>285</v>
          </cell>
          <cell r="O395">
            <v>2609.001708984375</v>
          </cell>
          <cell r="P395">
            <v>9316.8441877846126</v>
          </cell>
          <cell r="Q395">
            <v>2542.6708984375</v>
          </cell>
        </row>
        <row r="396">
          <cell r="A396" t="str">
            <v>2GNFLFEK6F6217512</v>
          </cell>
          <cell r="B396">
            <v>2015</v>
          </cell>
          <cell r="C396" t="str">
            <v>CHEVROLET</v>
          </cell>
          <cell r="D396" t="str">
            <v>EQUINOX AWD 4C</v>
          </cell>
          <cell r="E396">
            <v>115219</v>
          </cell>
          <cell r="F396" t="str">
            <v>Grade 2.1</v>
          </cell>
          <cell r="G396" t="str">
            <v>Red Light</v>
          </cell>
          <cell r="H396" t="str">
            <v>No</v>
          </cell>
          <cell r="I396" t="str">
            <v>Yes</v>
          </cell>
          <cell r="J396">
            <v>45687</v>
          </cell>
          <cell r="K396" t="str">
            <v>Yes</v>
          </cell>
          <cell r="L396">
            <v>44028</v>
          </cell>
          <cell r="M396">
            <v>235</v>
          </cell>
          <cell r="N396">
            <v>285</v>
          </cell>
          <cell r="O396">
            <v>2538.313232421875</v>
          </cell>
          <cell r="P396">
            <v>9331.0664918475941</v>
          </cell>
          <cell r="Q396">
            <v>2382.8828125</v>
          </cell>
        </row>
        <row r="397">
          <cell r="A397" t="str">
            <v>2GNFLFEK9F6312730</v>
          </cell>
          <cell r="B397">
            <v>2015</v>
          </cell>
          <cell r="C397" t="str">
            <v>CHEVROLET</v>
          </cell>
          <cell r="D397" t="str">
            <v>EQUINOX AWD 4C</v>
          </cell>
          <cell r="E397">
            <v>112398</v>
          </cell>
          <cell r="F397" t="str">
            <v>Grade 4.0</v>
          </cell>
          <cell r="G397" t="str">
            <v>Certified</v>
          </cell>
          <cell r="H397" t="str">
            <v>Yes</v>
          </cell>
          <cell r="I397" t="str">
            <v>No</v>
          </cell>
          <cell r="J397">
            <v>45512</v>
          </cell>
          <cell r="K397" t="str">
            <v>Yes</v>
          </cell>
          <cell r="L397">
            <v>44028</v>
          </cell>
          <cell r="M397">
            <v>235</v>
          </cell>
          <cell r="N397">
            <v>285</v>
          </cell>
          <cell r="O397">
            <v>8090.9140625</v>
          </cell>
          <cell r="P397">
            <v>10235.48324276108</v>
          </cell>
          <cell r="Q397">
            <v>8033.29931640625</v>
          </cell>
        </row>
        <row r="398">
          <cell r="A398" t="str">
            <v>3C4NJCCB7JT406380</v>
          </cell>
          <cell r="B398">
            <v>2018</v>
          </cell>
          <cell r="C398" t="str">
            <v>JEEP</v>
          </cell>
          <cell r="D398" t="str">
            <v>COMPASS</v>
          </cell>
          <cell r="E398">
            <v>76528</v>
          </cell>
          <cell r="F398" t="str">
            <v>Grade 2.7</v>
          </cell>
          <cell r="G398" t="str">
            <v>Green/Yellow</v>
          </cell>
          <cell r="H398" t="str">
            <v>Yes</v>
          </cell>
          <cell r="I398" t="str">
            <v>No</v>
          </cell>
          <cell r="J398">
            <v>45342</v>
          </cell>
          <cell r="K398" t="str">
            <v>Yes</v>
          </cell>
          <cell r="L398">
            <v>44028</v>
          </cell>
          <cell r="M398">
            <v>235</v>
          </cell>
          <cell r="N398">
            <v>285</v>
          </cell>
          <cell r="O398">
            <v>6928.0849609375</v>
          </cell>
          <cell r="P398">
            <v>9645.6786563337901</v>
          </cell>
          <cell r="Q398">
            <v>7014.4296875</v>
          </cell>
        </row>
        <row r="399">
          <cell r="A399" t="str">
            <v>3C4NJDBB3MT557177</v>
          </cell>
          <cell r="B399">
            <v>2021</v>
          </cell>
          <cell r="C399" t="str">
            <v>JEEP</v>
          </cell>
          <cell r="D399" t="str">
            <v>COMPASS</v>
          </cell>
          <cell r="E399">
            <v>24597</v>
          </cell>
          <cell r="F399" t="str">
            <v>Grade 4.6</v>
          </cell>
          <cell r="G399" t="str">
            <v>Certified</v>
          </cell>
          <cell r="H399" t="str">
            <v>Yes</v>
          </cell>
          <cell r="I399" t="str">
            <v>No</v>
          </cell>
          <cell r="J399">
            <v>45734</v>
          </cell>
          <cell r="K399" t="str">
            <v>Yes</v>
          </cell>
          <cell r="L399">
            <v>44028</v>
          </cell>
          <cell r="M399">
            <v>235</v>
          </cell>
          <cell r="N399">
            <v>285</v>
          </cell>
          <cell r="O399">
            <v>19607.658203125</v>
          </cell>
          <cell r="P399">
            <v>14961.049556099621</v>
          </cell>
          <cell r="Q399">
            <v>19572.8359375</v>
          </cell>
        </row>
        <row r="400">
          <cell r="A400" t="str">
            <v>3C4NJDCB7MT515271</v>
          </cell>
          <cell r="B400">
            <v>2021</v>
          </cell>
          <cell r="C400" t="str">
            <v>JEEP</v>
          </cell>
          <cell r="D400" t="str">
            <v>COMPASS 4X4</v>
          </cell>
          <cell r="E400">
            <v>67278</v>
          </cell>
          <cell r="F400" t="str">
            <v>Grade 4.5</v>
          </cell>
          <cell r="G400" t="str">
            <v>Certified</v>
          </cell>
          <cell r="H400" t="str">
            <v>Yes</v>
          </cell>
          <cell r="I400" t="str">
            <v>No</v>
          </cell>
          <cell r="J400">
            <v>45295</v>
          </cell>
          <cell r="K400" t="str">
            <v>Yes</v>
          </cell>
          <cell r="L400">
            <v>44028</v>
          </cell>
          <cell r="M400">
            <v>235</v>
          </cell>
          <cell r="N400">
            <v>285</v>
          </cell>
          <cell r="O400">
            <v>19420.994140625</v>
          </cell>
          <cell r="P400">
            <v>13070.785982244401</v>
          </cell>
          <cell r="Q400">
            <v>19550.671875</v>
          </cell>
        </row>
        <row r="401">
          <cell r="A401" t="str">
            <v>3FA6P0H75ER171279</v>
          </cell>
          <cell r="B401">
            <v>2014</v>
          </cell>
          <cell r="C401" t="str">
            <v>FORD</v>
          </cell>
          <cell r="D401" t="str">
            <v>FUSION FWD 4C</v>
          </cell>
          <cell r="E401">
            <v>147055</v>
          </cell>
          <cell r="F401" t="str">
            <v>Unknown</v>
          </cell>
          <cell r="G401" t="str">
            <v>Red Light</v>
          </cell>
          <cell r="H401" t="str">
            <v>No</v>
          </cell>
          <cell r="I401" t="str">
            <v>Yes</v>
          </cell>
          <cell r="J401">
            <v>45554</v>
          </cell>
          <cell r="K401" t="str">
            <v>Yes</v>
          </cell>
          <cell r="L401">
            <v>44028</v>
          </cell>
          <cell r="M401">
            <v>235</v>
          </cell>
          <cell r="N401">
            <v>285</v>
          </cell>
          <cell r="O401">
            <v>4700.08740234375</v>
          </cell>
          <cell r="P401">
            <v>9301.2068014746692</v>
          </cell>
          <cell r="Q401">
            <v>4646.1630859375</v>
          </cell>
        </row>
        <row r="402">
          <cell r="A402" t="str">
            <v>3GNAXHEV7KS567909</v>
          </cell>
          <cell r="B402">
            <v>2019</v>
          </cell>
          <cell r="C402" t="str">
            <v>CHEVROLET</v>
          </cell>
          <cell r="D402" t="str">
            <v>EQUINOX FWD 4C</v>
          </cell>
          <cell r="E402">
            <v>117282</v>
          </cell>
          <cell r="F402" t="str">
            <v>Grade 3.1</v>
          </cell>
          <cell r="G402" t="str">
            <v>Green Light</v>
          </cell>
          <cell r="H402" t="str">
            <v>Yes</v>
          </cell>
          <cell r="I402" t="str">
            <v>No</v>
          </cell>
          <cell r="J402">
            <v>45666</v>
          </cell>
          <cell r="K402" t="str">
            <v>Yes</v>
          </cell>
          <cell r="L402">
            <v>44028</v>
          </cell>
          <cell r="M402">
            <v>235</v>
          </cell>
          <cell r="N402">
            <v>285</v>
          </cell>
          <cell r="O402">
            <v>9015.724609375</v>
          </cell>
          <cell r="P402">
            <v>9567.2050995804293</v>
          </cell>
          <cell r="Q402">
            <v>9220.84765625</v>
          </cell>
        </row>
        <row r="403">
          <cell r="A403" t="str">
            <v>3GNAXKEV0NL293707</v>
          </cell>
          <cell r="B403">
            <v>2022</v>
          </cell>
          <cell r="C403" t="str">
            <v>CHEVROLET</v>
          </cell>
          <cell r="D403" t="str">
            <v>EQUINOX FWD</v>
          </cell>
          <cell r="E403">
            <v>26233</v>
          </cell>
          <cell r="F403" t="str">
            <v>Grade 4.3</v>
          </cell>
          <cell r="G403" t="str">
            <v>Certified</v>
          </cell>
          <cell r="H403" t="str">
            <v>Yes</v>
          </cell>
          <cell r="I403" t="str">
            <v>No</v>
          </cell>
          <cell r="J403">
            <v>45715</v>
          </cell>
          <cell r="K403" t="str">
            <v>Yes</v>
          </cell>
          <cell r="L403">
            <v>44028</v>
          </cell>
          <cell r="M403">
            <v>235</v>
          </cell>
          <cell r="N403">
            <v>285</v>
          </cell>
          <cell r="O403">
            <v>24650.908203125</v>
          </cell>
          <cell r="P403">
            <v>15025.457416593939</v>
          </cell>
          <cell r="Q403">
            <v>24371.5234375</v>
          </cell>
        </row>
        <row r="404">
          <cell r="A404" t="str">
            <v>3VWD17AJ0GM388091</v>
          </cell>
          <cell r="B404">
            <v>2016</v>
          </cell>
          <cell r="C404" t="str">
            <v>VOLKSWAGEN</v>
          </cell>
          <cell r="D404" t="str">
            <v>JETTA</v>
          </cell>
          <cell r="E404">
            <v>74669</v>
          </cell>
          <cell r="F404" t="str">
            <v>Grade 4.4</v>
          </cell>
          <cell r="G404" t="str">
            <v>Green/Yellow</v>
          </cell>
          <cell r="H404" t="str">
            <v>Yes</v>
          </cell>
          <cell r="I404" t="str">
            <v>No</v>
          </cell>
          <cell r="J404">
            <v>45561</v>
          </cell>
          <cell r="K404" t="str">
            <v>Yes</v>
          </cell>
          <cell r="L404">
            <v>44028</v>
          </cell>
          <cell r="M404">
            <v>235</v>
          </cell>
          <cell r="N404">
            <v>285</v>
          </cell>
          <cell r="O404">
            <v>9243.2744140625</v>
          </cell>
          <cell r="P404">
            <v>9845.5944802196154</v>
          </cell>
          <cell r="Q404">
            <v>9534.939453125</v>
          </cell>
        </row>
        <row r="405">
          <cell r="A405" t="str">
            <v>3VWLL7AJ7EM410557</v>
          </cell>
          <cell r="B405">
            <v>2014</v>
          </cell>
          <cell r="C405" t="str">
            <v>VOLKSWAGEN</v>
          </cell>
          <cell r="D405" t="str">
            <v>JETTA</v>
          </cell>
          <cell r="E405">
            <v>50310</v>
          </cell>
          <cell r="F405" t="str">
            <v>Grade 1.5</v>
          </cell>
          <cell r="G405" t="str">
            <v>Inoperable</v>
          </cell>
          <cell r="H405" t="str">
            <v>No</v>
          </cell>
          <cell r="I405" t="str">
            <v>Yes</v>
          </cell>
          <cell r="J405">
            <v>45328</v>
          </cell>
          <cell r="K405" t="str">
            <v>Yes</v>
          </cell>
          <cell r="L405">
            <v>44028</v>
          </cell>
          <cell r="M405">
            <v>235</v>
          </cell>
          <cell r="N405">
            <v>285</v>
          </cell>
          <cell r="O405">
            <v>4840.14697265625</v>
          </cell>
          <cell r="P405">
            <v>10962.125832789779</v>
          </cell>
          <cell r="Q405">
            <v>4693.626953125</v>
          </cell>
        </row>
        <row r="406">
          <cell r="A406" t="str">
            <v>5NMS33AD8LH218209</v>
          </cell>
          <cell r="B406">
            <v>2020</v>
          </cell>
          <cell r="C406" t="str">
            <v>HYUNDAI</v>
          </cell>
          <cell r="D406" t="str">
            <v>SANTA FE</v>
          </cell>
          <cell r="E406">
            <v>66910</v>
          </cell>
          <cell r="F406" t="str">
            <v>Grade 3.5</v>
          </cell>
          <cell r="G406" t="str">
            <v>Green/Yellow</v>
          </cell>
          <cell r="H406" t="str">
            <v>Yes</v>
          </cell>
          <cell r="I406" t="str">
            <v>No</v>
          </cell>
          <cell r="J406">
            <v>45384</v>
          </cell>
          <cell r="K406" t="str">
            <v>Yes</v>
          </cell>
          <cell r="L406">
            <v>44028</v>
          </cell>
          <cell r="M406">
            <v>235</v>
          </cell>
          <cell r="N406">
            <v>285</v>
          </cell>
          <cell r="O406">
            <v>11629.607421875</v>
          </cell>
          <cell r="P406">
            <v>11225.9277176175</v>
          </cell>
          <cell r="Q406">
            <v>11519.302734375</v>
          </cell>
        </row>
        <row r="407">
          <cell r="A407" t="str">
            <v>5NPEC4AC6DH650845</v>
          </cell>
          <cell r="B407">
            <v>2013</v>
          </cell>
          <cell r="C407" t="str">
            <v>HYUNDAI</v>
          </cell>
          <cell r="D407" t="str">
            <v>SONATA</v>
          </cell>
          <cell r="E407">
            <v>127417</v>
          </cell>
          <cell r="F407" t="str">
            <v>Grade 1.1</v>
          </cell>
          <cell r="G407" t="str">
            <v>Inoperable</v>
          </cell>
          <cell r="H407" t="str">
            <v>No</v>
          </cell>
          <cell r="I407" t="str">
            <v>Yes</v>
          </cell>
          <cell r="J407">
            <v>45356</v>
          </cell>
          <cell r="K407" t="str">
            <v>Yes</v>
          </cell>
          <cell r="L407">
            <v>44028</v>
          </cell>
          <cell r="M407">
            <v>235</v>
          </cell>
          <cell r="N407">
            <v>285</v>
          </cell>
          <cell r="O407">
            <v>1068.800659179688</v>
          </cell>
          <cell r="P407">
            <v>8504.8990988454261</v>
          </cell>
          <cell r="Q407">
            <v>1179.263427734375</v>
          </cell>
        </row>
        <row r="408">
          <cell r="A408" t="str">
            <v>5UXWX9C51D0A28351</v>
          </cell>
          <cell r="B408">
            <v>2013</v>
          </cell>
          <cell r="C408" t="str">
            <v>BMW</v>
          </cell>
          <cell r="D408" t="str">
            <v>X3</v>
          </cell>
          <cell r="E408">
            <v>73623</v>
          </cell>
          <cell r="F408" t="str">
            <v>Grade 2.5</v>
          </cell>
          <cell r="G408" t="str">
            <v>Green Light</v>
          </cell>
          <cell r="H408" t="str">
            <v>Yes</v>
          </cell>
          <cell r="I408" t="str">
            <v>No</v>
          </cell>
          <cell r="J408">
            <v>45538</v>
          </cell>
          <cell r="K408" t="str">
            <v>Yes</v>
          </cell>
          <cell r="L408">
            <v>44028</v>
          </cell>
          <cell r="M408">
            <v>235</v>
          </cell>
          <cell r="N408">
            <v>285</v>
          </cell>
          <cell r="O408">
            <v>3982.284423828125</v>
          </cell>
          <cell r="P408">
            <v>9700.6619855805184</v>
          </cell>
          <cell r="Q408">
            <v>4058.1806640625</v>
          </cell>
        </row>
        <row r="409">
          <cell r="A409" t="str">
            <v>5UXWX9C52F0D49317</v>
          </cell>
          <cell r="B409">
            <v>2015</v>
          </cell>
          <cell r="C409" t="str">
            <v>BMW</v>
          </cell>
          <cell r="D409" t="str">
            <v>X3</v>
          </cell>
          <cell r="E409">
            <v>89608</v>
          </cell>
          <cell r="F409" t="str">
            <v>Grade 3.5</v>
          </cell>
          <cell r="G409" t="str">
            <v>Green/Yellow</v>
          </cell>
          <cell r="H409" t="str">
            <v>No</v>
          </cell>
          <cell r="I409" t="str">
            <v>Yes</v>
          </cell>
          <cell r="J409">
            <v>45300</v>
          </cell>
          <cell r="K409" t="str">
            <v>Yes</v>
          </cell>
          <cell r="L409">
            <v>44028</v>
          </cell>
          <cell r="M409">
            <v>235</v>
          </cell>
          <cell r="N409">
            <v>285</v>
          </cell>
          <cell r="O409">
            <v>8158.02294921875</v>
          </cell>
          <cell r="P409">
            <v>9667.9365316543426</v>
          </cell>
          <cell r="Q409">
            <v>8237.9150390625</v>
          </cell>
        </row>
        <row r="410">
          <cell r="A410" t="str">
            <v>5XYZTDLB2HG490434</v>
          </cell>
          <cell r="B410">
            <v>2017</v>
          </cell>
          <cell r="C410" t="str">
            <v>HYUNDAI</v>
          </cell>
          <cell r="D410" t="str">
            <v>SANTA SP AWD 4C</v>
          </cell>
          <cell r="E410">
            <v>72430</v>
          </cell>
          <cell r="F410" t="str">
            <v>Grade 2.4</v>
          </cell>
          <cell r="G410" t="str">
            <v>Green/Yellow</v>
          </cell>
          <cell r="H410" t="str">
            <v>Yes</v>
          </cell>
          <cell r="I410" t="str">
            <v>No</v>
          </cell>
          <cell r="J410">
            <v>45610</v>
          </cell>
          <cell r="K410" t="str">
            <v>Yes</v>
          </cell>
          <cell r="L410">
            <v>44028</v>
          </cell>
          <cell r="M410">
            <v>235</v>
          </cell>
          <cell r="N410">
            <v>285</v>
          </cell>
          <cell r="O410">
            <v>3861.574951171875</v>
          </cell>
          <cell r="P410">
            <v>9070.3180113996386</v>
          </cell>
          <cell r="Q410">
            <v>3803.46435546875</v>
          </cell>
        </row>
        <row r="411">
          <cell r="A411" t="str">
            <v>JF1GJAB68GH018587</v>
          </cell>
          <cell r="B411">
            <v>2016</v>
          </cell>
          <cell r="C411" t="str">
            <v>SUBARU</v>
          </cell>
          <cell r="D411" t="str">
            <v>IMPREZA</v>
          </cell>
          <cell r="E411">
            <v>121117</v>
          </cell>
          <cell r="F411" t="str">
            <v>Grade 1.3</v>
          </cell>
          <cell r="G411" t="str">
            <v>Red Light</v>
          </cell>
          <cell r="H411" t="str">
            <v>No</v>
          </cell>
          <cell r="I411" t="str">
            <v>Yes</v>
          </cell>
          <cell r="J411">
            <v>45594</v>
          </cell>
          <cell r="K411" t="str">
            <v>Yes</v>
          </cell>
          <cell r="L411">
            <v>44028</v>
          </cell>
          <cell r="M411">
            <v>235</v>
          </cell>
          <cell r="N411">
            <v>285</v>
          </cell>
          <cell r="O411">
            <v>2750.813720703125</v>
          </cell>
          <cell r="P411">
            <v>9023.2769722181292</v>
          </cell>
          <cell r="Q411">
            <v>2601.28369140625</v>
          </cell>
        </row>
        <row r="412">
          <cell r="A412" t="str">
            <v>KL7CJRSB2GB569313</v>
          </cell>
          <cell r="B412">
            <v>2016</v>
          </cell>
          <cell r="C412" t="str">
            <v>CHEVROLET</v>
          </cell>
          <cell r="D412" t="str">
            <v>TRAX AWD</v>
          </cell>
          <cell r="E412">
            <v>49548</v>
          </cell>
          <cell r="F412" t="str">
            <v>Grade 4.3</v>
          </cell>
          <cell r="G412" t="str">
            <v>Certified</v>
          </cell>
          <cell r="H412" t="str">
            <v>Yes</v>
          </cell>
          <cell r="I412" t="str">
            <v>No</v>
          </cell>
          <cell r="J412">
            <v>45421</v>
          </cell>
          <cell r="K412" t="str">
            <v>Yes</v>
          </cell>
          <cell r="L412">
            <v>44028</v>
          </cell>
          <cell r="M412">
            <v>235</v>
          </cell>
          <cell r="N412">
            <v>285</v>
          </cell>
          <cell r="O412">
            <v>14839.4892578125</v>
          </cell>
          <cell r="P412">
            <v>12508.718166229921</v>
          </cell>
          <cell r="Q412">
            <v>15282.5029296875</v>
          </cell>
        </row>
        <row r="413">
          <cell r="A413" t="str">
            <v>KM8J3CA22GU168900</v>
          </cell>
          <cell r="B413">
            <v>2016</v>
          </cell>
          <cell r="C413" t="str">
            <v>HYUNDAI</v>
          </cell>
          <cell r="D413" t="str">
            <v>TUCSON AWD 4C</v>
          </cell>
          <cell r="E413">
            <v>94337</v>
          </cell>
          <cell r="F413" t="str">
            <v>Grade 2.0</v>
          </cell>
          <cell r="G413" t="str">
            <v>Inoperable</v>
          </cell>
          <cell r="H413" t="str">
            <v>No</v>
          </cell>
          <cell r="I413" t="str">
            <v>Yes</v>
          </cell>
          <cell r="J413">
            <v>45407</v>
          </cell>
          <cell r="K413" t="str">
            <v>Yes</v>
          </cell>
          <cell r="L413">
            <v>44028</v>
          </cell>
          <cell r="M413">
            <v>235</v>
          </cell>
          <cell r="N413">
            <v>285</v>
          </cell>
          <cell r="O413">
            <v>3173.056640625</v>
          </cell>
          <cell r="P413">
            <v>8881.2406116747989</v>
          </cell>
          <cell r="Q413">
            <v>3044.94580078125</v>
          </cell>
        </row>
        <row r="414">
          <cell r="A414" t="str">
            <v>KNDJ23AU4M7145766</v>
          </cell>
          <cell r="B414">
            <v>2021</v>
          </cell>
          <cell r="C414" t="str">
            <v>KIA</v>
          </cell>
          <cell r="D414" t="str">
            <v>SOUL</v>
          </cell>
          <cell r="E414">
            <v>84945</v>
          </cell>
          <cell r="F414" t="str">
            <v>Grade 3.1</v>
          </cell>
          <cell r="G414" t="str">
            <v>Green Light</v>
          </cell>
          <cell r="H414" t="str">
            <v>Yes</v>
          </cell>
          <cell r="I414" t="str">
            <v>No</v>
          </cell>
          <cell r="J414">
            <v>45645</v>
          </cell>
          <cell r="K414" t="str">
            <v>Yes</v>
          </cell>
          <cell r="L414">
            <v>44028</v>
          </cell>
          <cell r="M414">
            <v>235</v>
          </cell>
          <cell r="N414">
            <v>285</v>
          </cell>
          <cell r="O414">
            <v>8599.55078125</v>
          </cell>
          <cell r="P414">
            <v>11525.319353440091</v>
          </cell>
          <cell r="Q414">
            <v>8260.650390625</v>
          </cell>
        </row>
        <row r="415">
          <cell r="A415" t="str">
            <v>MAJ3S2FE7MC425201</v>
          </cell>
          <cell r="B415">
            <v>2021</v>
          </cell>
          <cell r="C415" t="str">
            <v>FORD</v>
          </cell>
          <cell r="D415" t="str">
            <v>ECOSPORT</v>
          </cell>
          <cell r="E415">
            <v>53715</v>
          </cell>
          <cell r="F415" t="str">
            <v>Grade 2.5</v>
          </cell>
          <cell r="G415" t="str">
            <v>Inoperable</v>
          </cell>
          <cell r="H415" t="str">
            <v>No</v>
          </cell>
          <cell r="I415" t="str">
            <v>Yes</v>
          </cell>
          <cell r="J415">
            <v>45720</v>
          </cell>
          <cell r="K415" t="str">
            <v>Yes</v>
          </cell>
          <cell r="L415">
            <v>44028</v>
          </cell>
          <cell r="M415">
            <v>235</v>
          </cell>
          <cell r="N415">
            <v>285</v>
          </cell>
          <cell r="O415">
            <v>12491.107421875</v>
          </cell>
          <cell r="P415">
            <v>14012.82529023626</v>
          </cell>
          <cell r="Q415">
            <v>11769.4345703125</v>
          </cell>
        </row>
        <row r="416">
          <cell r="A416" t="str">
            <v>ML32A3HJ1KH013349</v>
          </cell>
          <cell r="B416">
            <v>2019</v>
          </cell>
          <cell r="C416" t="str">
            <v>MITSUBISHI</v>
          </cell>
          <cell r="D416" t="str">
            <v>MIRAGE</v>
          </cell>
          <cell r="E416">
            <v>191524</v>
          </cell>
          <cell r="F416" t="str">
            <v>Grade 2.7</v>
          </cell>
          <cell r="G416" t="str">
            <v>Red Light</v>
          </cell>
          <cell r="H416" t="str">
            <v>No</v>
          </cell>
          <cell r="I416" t="str">
            <v>Yes</v>
          </cell>
          <cell r="J416">
            <v>45608</v>
          </cell>
          <cell r="K416" t="str">
            <v>Yes</v>
          </cell>
          <cell r="L416">
            <v>44028</v>
          </cell>
          <cell r="M416">
            <v>235</v>
          </cell>
          <cell r="N416">
            <v>285</v>
          </cell>
          <cell r="O416">
            <v>1734.23828125</v>
          </cell>
          <cell r="P416">
            <v>9251.1310348707666</v>
          </cell>
          <cell r="Q416">
            <v>1707.501708984375</v>
          </cell>
        </row>
        <row r="417">
          <cell r="A417" t="str">
            <v>WBA2J3C07L7E79452</v>
          </cell>
          <cell r="B417">
            <v>2020</v>
          </cell>
          <cell r="C417" t="str">
            <v>BMW</v>
          </cell>
          <cell r="D417" t="str">
            <v>230I</v>
          </cell>
          <cell r="E417">
            <v>35978</v>
          </cell>
          <cell r="F417" t="str">
            <v>Grade 4.0</v>
          </cell>
          <cell r="G417" t="str">
            <v>Certified</v>
          </cell>
          <cell r="H417" t="str">
            <v>Yes</v>
          </cell>
          <cell r="I417" t="str">
            <v>No</v>
          </cell>
          <cell r="J417">
            <v>45734</v>
          </cell>
          <cell r="K417" t="str">
            <v>Yes</v>
          </cell>
          <cell r="L417">
            <v>44028</v>
          </cell>
          <cell r="M417">
            <v>235</v>
          </cell>
          <cell r="N417">
            <v>285</v>
          </cell>
          <cell r="O417">
            <v>21306.357421875</v>
          </cell>
          <cell r="P417">
            <v>13960.787653071629</v>
          </cell>
          <cell r="Q417">
            <v>21119.7890625</v>
          </cell>
        </row>
        <row r="418">
          <cell r="A418" t="str">
            <v>19VDE1F76EE008995</v>
          </cell>
          <cell r="B418">
            <v>2014</v>
          </cell>
          <cell r="C418" t="str">
            <v>ACURA</v>
          </cell>
          <cell r="D418" t="str">
            <v>ILX</v>
          </cell>
          <cell r="E418">
            <v>100962</v>
          </cell>
          <cell r="F418" t="str">
            <v>Grade 2.1</v>
          </cell>
          <cell r="G418" t="str">
            <v>Green Light</v>
          </cell>
          <cell r="H418" t="str">
            <v>Yes</v>
          </cell>
          <cell r="I418" t="str">
            <v>No</v>
          </cell>
          <cell r="J418">
            <v>45524</v>
          </cell>
          <cell r="K418" t="str">
            <v>Yes</v>
          </cell>
          <cell r="L418">
            <v>44035</v>
          </cell>
          <cell r="M418">
            <v>222</v>
          </cell>
          <cell r="N418">
            <v>272</v>
          </cell>
          <cell r="O418">
            <v>3240.276123046875</v>
          </cell>
          <cell r="P418">
            <v>9226.5878225791967</v>
          </cell>
          <cell r="Q418">
            <v>3111.6103515625</v>
          </cell>
        </row>
        <row r="419">
          <cell r="A419" t="str">
            <v>1FTFW1ETXEKD04532</v>
          </cell>
          <cell r="B419">
            <v>2014</v>
          </cell>
          <cell r="C419" t="str">
            <v>FORD</v>
          </cell>
          <cell r="D419" t="str">
            <v>F150 4X4 CR</v>
          </cell>
          <cell r="E419">
            <v>113883</v>
          </cell>
          <cell r="F419" t="str">
            <v>Grade 2.7</v>
          </cell>
          <cell r="G419" t="str">
            <v>Red Light</v>
          </cell>
          <cell r="H419" t="str">
            <v>No</v>
          </cell>
          <cell r="I419" t="str">
            <v>Yes</v>
          </cell>
          <cell r="J419">
            <v>45645</v>
          </cell>
          <cell r="K419" t="str">
            <v>Yes</v>
          </cell>
          <cell r="L419">
            <v>44035</v>
          </cell>
          <cell r="M419">
            <v>222</v>
          </cell>
          <cell r="N419">
            <v>272</v>
          </cell>
          <cell r="O419">
            <v>2375.301513671875</v>
          </cell>
          <cell r="P419">
            <v>9301.2068014746692</v>
          </cell>
          <cell r="Q419">
            <v>2358.90087890625</v>
          </cell>
        </row>
        <row r="420">
          <cell r="A420" t="str">
            <v>1G1ZA5EU3CF389417</v>
          </cell>
          <cell r="B420">
            <v>2012</v>
          </cell>
          <cell r="C420" t="str">
            <v>CHEVROLET</v>
          </cell>
          <cell r="D420" t="str">
            <v>MALIBU</v>
          </cell>
          <cell r="E420">
            <v>70663</v>
          </cell>
          <cell r="F420" t="str">
            <v>Grade 1.6</v>
          </cell>
          <cell r="G420" t="str">
            <v>Inoperable</v>
          </cell>
          <cell r="H420" t="str">
            <v>No</v>
          </cell>
          <cell r="I420" t="str">
            <v>Yes</v>
          </cell>
          <cell r="J420">
            <v>45300</v>
          </cell>
          <cell r="K420" t="str">
            <v>Yes</v>
          </cell>
          <cell r="L420">
            <v>44035</v>
          </cell>
          <cell r="M420">
            <v>222</v>
          </cell>
          <cell r="N420">
            <v>272</v>
          </cell>
          <cell r="O420">
            <v>2373.221435546875</v>
          </cell>
          <cell r="P420">
            <v>9607.0470569320478</v>
          </cell>
          <cell r="Q420">
            <v>2310.92822265625</v>
          </cell>
        </row>
        <row r="421">
          <cell r="A421" t="str">
            <v>1G4GC5E39DF312483</v>
          </cell>
          <cell r="B421">
            <v>2013</v>
          </cell>
          <cell r="C421" t="str">
            <v>BUICK</v>
          </cell>
          <cell r="D421" t="str">
            <v>LACROSSE FWD V6</v>
          </cell>
          <cell r="E421">
            <v>150366</v>
          </cell>
          <cell r="F421" t="str">
            <v>Grade 2.7</v>
          </cell>
          <cell r="G421" t="str">
            <v>Red Light</v>
          </cell>
          <cell r="H421" t="str">
            <v>No</v>
          </cell>
          <cell r="I421" t="str">
            <v>Yes</v>
          </cell>
          <cell r="J421">
            <v>45316</v>
          </cell>
          <cell r="K421" t="str">
            <v>Yes</v>
          </cell>
          <cell r="L421">
            <v>44035</v>
          </cell>
          <cell r="M421">
            <v>222</v>
          </cell>
          <cell r="N421">
            <v>272</v>
          </cell>
          <cell r="O421">
            <v>1323.0712890625</v>
          </cell>
          <cell r="P421">
            <v>9104.6869812048772</v>
          </cell>
          <cell r="Q421">
            <v>1325.587768554688</v>
          </cell>
        </row>
        <row r="422">
          <cell r="A422" t="str">
            <v>1HGCP2F31AA021491</v>
          </cell>
          <cell r="B422">
            <v>2010</v>
          </cell>
          <cell r="C422" t="str">
            <v>HONDA</v>
          </cell>
          <cell r="D422" t="str">
            <v>ACCORD 4C</v>
          </cell>
          <cell r="E422">
            <v>229013</v>
          </cell>
          <cell r="F422" t="str">
            <v>Grade 2.0</v>
          </cell>
          <cell r="G422" t="str">
            <v>Inoperable</v>
          </cell>
          <cell r="H422" t="str">
            <v>No</v>
          </cell>
          <cell r="I422" t="str">
            <v>Yes</v>
          </cell>
          <cell r="J422">
            <v>45344</v>
          </cell>
          <cell r="K422" t="str">
            <v>Yes</v>
          </cell>
          <cell r="L422">
            <v>44035</v>
          </cell>
          <cell r="M422">
            <v>222</v>
          </cell>
          <cell r="N422">
            <v>272</v>
          </cell>
          <cell r="O422">
            <v>1558.908447265625</v>
          </cell>
          <cell r="P422">
            <v>8993.4084210917626</v>
          </cell>
          <cell r="Q422">
            <v>1519.196655273438</v>
          </cell>
        </row>
        <row r="423">
          <cell r="A423" t="str">
            <v>1N6BD0CT4HN764495</v>
          </cell>
          <cell r="B423">
            <v>2017</v>
          </cell>
          <cell r="C423" t="str">
            <v>NISSAN</v>
          </cell>
          <cell r="D423" t="str">
            <v>FRONTIER</v>
          </cell>
          <cell r="E423">
            <v>83153</v>
          </cell>
          <cell r="F423" t="str">
            <v>Grade 2.4</v>
          </cell>
          <cell r="G423" t="str">
            <v>Green/Yellow</v>
          </cell>
          <cell r="H423" t="str">
            <v>Yes</v>
          </cell>
          <cell r="I423" t="str">
            <v>No</v>
          </cell>
          <cell r="J423">
            <v>45580</v>
          </cell>
          <cell r="K423" t="str">
            <v>Yes</v>
          </cell>
          <cell r="L423">
            <v>44035</v>
          </cell>
          <cell r="M423">
            <v>222</v>
          </cell>
          <cell r="N423">
            <v>272</v>
          </cell>
          <cell r="O423">
            <v>4326.478515625</v>
          </cell>
          <cell r="P423">
            <v>9129.3805677232995</v>
          </cell>
          <cell r="Q423">
            <v>4268.8701171875</v>
          </cell>
        </row>
        <row r="424">
          <cell r="A424" t="str">
            <v>2C3CCAETXFH763648</v>
          </cell>
          <cell r="B424">
            <v>2015</v>
          </cell>
          <cell r="C424" t="str">
            <v>CHRYSLER</v>
          </cell>
          <cell r="D424" t="str">
            <v>300C</v>
          </cell>
          <cell r="E424">
            <v>145824</v>
          </cell>
          <cell r="F424" t="str">
            <v>Grade 2.4</v>
          </cell>
          <cell r="G424" t="str">
            <v>Red Light</v>
          </cell>
          <cell r="H424" t="str">
            <v>No</v>
          </cell>
          <cell r="I424" t="str">
            <v>Yes</v>
          </cell>
          <cell r="J424">
            <v>45538</v>
          </cell>
          <cell r="K424" t="str">
            <v>Yes</v>
          </cell>
          <cell r="L424">
            <v>44035</v>
          </cell>
          <cell r="M424">
            <v>222</v>
          </cell>
          <cell r="N424">
            <v>272</v>
          </cell>
          <cell r="O424">
            <v>1547.575805664062</v>
          </cell>
          <cell r="P424">
            <v>8804.5100490329114</v>
          </cell>
          <cell r="Q424">
            <v>1524.272094726562</v>
          </cell>
        </row>
        <row r="425">
          <cell r="A425" t="str">
            <v>2FMDK3JC3DBC25258</v>
          </cell>
          <cell r="B425">
            <v>2013</v>
          </cell>
          <cell r="C425" t="str">
            <v>FORD</v>
          </cell>
          <cell r="D425" t="str">
            <v>EDGE</v>
          </cell>
          <cell r="E425">
            <v>102553</v>
          </cell>
          <cell r="F425" t="str">
            <v>Grade 1.9</v>
          </cell>
          <cell r="G425" t="str">
            <v>Red Light</v>
          </cell>
          <cell r="H425" t="str">
            <v>No</v>
          </cell>
          <cell r="I425" t="str">
            <v>Yes</v>
          </cell>
          <cell r="J425">
            <v>45538</v>
          </cell>
          <cell r="K425" t="str">
            <v>Yes</v>
          </cell>
          <cell r="L425">
            <v>44035</v>
          </cell>
          <cell r="M425">
            <v>222</v>
          </cell>
          <cell r="N425">
            <v>272</v>
          </cell>
          <cell r="O425">
            <v>2384.438232421875</v>
          </cell>
          <cell r="P425">
            <v>9191.0031059465873</v>
          </cell>
          <cell r="Q425">
            <v>2321.60986328125</v>
          </cell>
        </row>
        <row r="426">
          <cell r="A426" t="str">
            <v>2G1FC1E37E9123987</v>
          </cell>
          <cell r="B426">
            <v>2014</v>
          </cell>
          <cell r="C426" t="str">
            <v>CHEVROLET</v>
          </cell>
          <cell r="D426" t="str">
            <v>CAMARO</v>
          </cell>
          <cell r="E426">
            <v>55130</v>
          </cell>
          <cell r="F426" t="str">
            <v>Grade 4.2</v>
          </cell>
          <cell r="G426" t="str">
            <v>Certified</v>
          </cell>
          <cell r="H426" t="str">
            <v>Yes</v>
          </cell>
          <cell r="I426" t="str">
            <v>No</v>
          </cell>
          <cell r="J426">
            <v>45300</v>
          </cell>
          <cell r="K426" t="str">
            <v>Yes</v>
          </cell>
          <cell r="L426">
            <v>44035</v>
          </cell>
          <cell r="M426">
            <v>222</v>
          </cell>
          <cell r="N426">
            <v>272</v>
          </cell>
          <cell r="O426">
            <v>11776.7587890625</v>
          </cell>
          <cell r="P426">
            <v>12920.344716917451</v>
          </cell>
          <cell r="Q426">
            <v>11607.5224609375</v>
          </cell>
        </row>
        <row r="427">
          <cell r="A427" t="str">
            <v>2G1FK1EJ8D9110942</v>
          </cell>
          <cell r="B427">
            <v>2013</v>
          </cell>
          <cell r="C427" t="str">
            <v>CHEVROLET</v>
          </cell>
          <cell r="D427" t="str">
            <v>CAMARO</v>
          </cell>
          <cell r="E427">
            <v>25553</v>
          </cell>
          <cell r="F427" t="str">
            <v>Grade 4.5</v>
          </cell>
          <cell r="G427" t="str">
            <v>Certified</v>
          </cell>
          <cell r="H427" t="str">
            <v>Yes</v>
          </cell>
          <cell r="I427" t="str">
            <v>No</v>
          </cell>
          <cell r="J427">
            <v>45678</v>
          </cell>
          <cell r="K427" t="str">
            <v>Yes</v>
          </cell>
          <cell r="L427">
            <v>44035</v>
          </cell>
          <cell r="M427">
            <v>222</v>
          </cell>
          <cell r="N427">
            <v>272</v>
          </cell>
          <cell r="O427">
            <v>12230.298828125</v>
          </cell>
          <cell r="P427">
            <v>13237.368313658841</v>
          </cell>
          <cell r="Q427">
            <v>12301.90625</v>
          </cell>
        </row>
        <row r="428">
          <cell r="A428" t="str">
            <v>2GKALSEK4D6300515</v>
          </cell>
          <cell r="B428">
            <v>2013</v>
          </cell>
          <cell r="C428" t="str">
            <v>GMC</v>
          </cell>
          <cell r="D428" t="str">
            <v>TERRAIN</v>
          </cell>
          <cell r="E428">
            <v>113999</v>
          </cell>
          <cell r="F428" t="str">
            <v>Grade 1.2</v>
          </cell>
          <cell r="G428" t="str">
            <v>Inoperable</v>
          </cell>
          <cell r="H428" t="str">
            <v>No</v>
          </cell>
          <cell r="I428" t="str">
            <v>Yes</v>
          </cell>
          <cell r="J428">
            <v>45454</v>
          </cell>
          <cell r="K428" t="str">
            <v>Yes</v>
          </cell>
          <cell r="L428">
            <v>44035</v>
          </cell>
          <cell r="M428">
            <v>222</v>
          </cell>
          <cell r="N428">
            <v>272</v>
          </cell>
          <cell r="O428">
            <v>2289.25390625</v>
          </cell>
          <cell r="P428">
            <v>10016.137751357621</v>
          </cell>
          <cell r="Q428">
            <v>2192.39453125</v>
          </cell>
        </row>
        <row r="429">
          <cell r="A429" t="str">
            <v>2GNALCEK0H6265440</v>
          </cell>
          <cell r="B429">
            <v>2017</v>
          </cell>
          <cell r="C429" t="str">
            <v>CHEVROLET</v>
          </cell>
          <cell r="D429" t="str">
            <v>EQUINOX</v>
          </cell>
          <cell r="E429">
            <v>97060</v>
          </cell>
          <cell r="F429" t="str">
            <v>Grade 1.3</v>
          </cell>
          <cell r="G429" t="str">
            <v>Inoperable</v>
          </cell>
          <cell r="H429" t="str">
            <v>No</v>
          </cell>
          <cell r="I429" t="str">
            <v>Yes</v>
          </cell>
          <cell r="J429">
            <v>45664</v>
          </cell>
          <cell r="K429" t="str">
            <v>Yes</v>
          </cell>
          <cell r="L429">
            <v>44035</v>
          </cell>
          <cell r="M429">
            <v>222</v>
          </cell>
          <cell r="N429">
            <v>272</v>
          </cell>
          <cell r="O429">
            <v>2870.8740234375</v>
          </cell>
          <cell r="P429">
            <v>9458.5333927098036</v>
          </cell>
          <cell r="Q429">
            <v>2804.68310546875</v>
          </cell>
        </row>
        <row r="430">
          <cell r="A430" t="str">
            <v>2GNALCEK1G1147540</v>
          </cell>
          <cell r="B430">
            <v>2016</v>
          </cell>
          <cell r="C430" t="str">
            <v>CHEVROLET</v>
          </cell>
          <cell r="D430" t="str">
            <v>EQUINOX</v>
          </cell>
          <cell r="E430">
            <v>64096</v>
          </cell>
          <cell r="F430" t="str">
            <v>Grade 1.7</v>
          </cell>
          <cell r="G430" t="str">
            <v>Inoperable</v>
          </cell>
          <cell r="H430" t="str">
            <v>No</v>
          </cell>
          <cell r="I430" t="str">
            <v>Yes</v>
          </cell>
          <cell r="J430">
            <v>45342</v>
          </cell>
          <cell r="K430" t="str">
            <v>Yes</v>
          </cell>
          <cell r="L430">
            <v>44035</v>
          </cell>
          <cell r="M430">
            <v>222</v>
          </cell>
          <cell r="N430">
            <v>272</v>
          </cell>
          <cell r="O430">
            <v>4843.921875</v>
          </cell>
          <cell r="P430">
            <v>11204.198121017909</v>
          </cell>
          <cell r="Q430">
            <v>4693.626953125</v>
          </cell>
        </row>
        <row r="431">
          <cell r="A431" t="str">
            <v>2GNALDEK1D6280061</v>
          </cell>
          <cell r="B431">
            <v>2013</v>
          </cell>
          <cell r="C431" t="str">
            <v>CHEVROLET</v>
          </cell>
          <cell r="D431" t="str">
            <v>EQUINOX FWD 4C</v>
          </cell>
          <cell r="E431">
            <v>112799</v>
          </cell>
          <cell r="F431" t="str">
            <v>Grade 2.1</v>
          </cell>
          <cell r="G431" t="str">
            <v>Green/Yellow</v>
          </cell>
          <cell r="H431" t="str">
            <v>Yes</v>
          </cell>
          <cell r="I431" t="str">
            <v>No</v>
          </cell>
          <cell r="J431">
            <v>45302</v>
          </cell>
          <cell r="K431" t="str">
            <v>Yes</v>
          </cell>
          <cell r="L431">
            <v>44035</v>
          </cell>
          <cell r="M431">
            <v>222</v>
          </cell>
          <cell r="N431">
            <v>272</v>
          </cell>
          <cell r="O431">
            <v>2414.114501953125</v>
          </cell>
          <cell r="P431">
            <v>9295.817435771618</v>
          </cell>
          <cell r="Q431">
            <v>2358.90087890625</v>
          </cell>
        </row>
        <row r="432">
          <cell r="A432" t="str">
            <v>2HGFA1F56AH319885</v>
          </cell>
          <cell r="B432">
            <v>2010</v>
          </cell>
          <cell r="C432" t="str">
            <v>HONDA</v>
          </cell>
          <cell r="D432" t="str">
            <v>CIVIC</v>
          </cell>
          <cell r="E432">
            <v>100580</v>
          </cell>
          <cell r="F432" t="str">
            <v>Grade 3.6</v>
          </cell>
          <cell r="G432" t="str">
            <v>Green Light</v>
          </cell>
          <cell r="H432" t="str">
            <v>Yes</v>
          </cell>
          <cell r="I432" t="str">
            <v>No</v>
          </cell>
          <cell r="J432">
            <v>45356</v>
          </cell>
          <cell r="K432" t="str">
            <v>Yes</v>
          </cell>
          <cell r="L432">
            <v>44035</v>
          </cell>
          <cell r="M432">
            <v>222</v>
          </cell>
          <cell r="N432">
            <v>272</v>
          </cell>
          <cell r="O432">
            <v>4766.31787109375</v>
          </cell>
          <cell r="P432">
            <v>9881.8677186227906</v>
          </cell>
          <cell r="Q432">
            <v>4716.2373046875</v>
          </cell>
        </row>
        <row r="433">
          <cell r="A433" t="str">
            <v>3FA6P0HD6LR109294</v>
          </cell>
          <cell r="B433">
            <v>2020</v>
          </cell>
          <cell r="C433" t="str">
            <v>FORD</v>
          </cell>
          <cell r="D433" t="str">
            <v>FUSION</v>
          </cell>
          <cell r="E433">
            <v>65583</v>
          </cell>
          <cell r="F433" t="str">
            <v>Grade 4.3</v>
          </cell>
          <cell r="G433" t="str">
            <v>Certified</v>
          </cell>
          <cell r="H433" t="str">
            <v>Yes</v>
          </cell>
          <cell r="I433" t="str">
            <v>No</v>
          </cell>
          <cell r="J433">
            <v>45664</v>
          </cell>
          <cell r="K433" t="str">
            <v>Yes</v>
          </cell>
          <cell r="L433">
            <v>44035</v>
          </cell>
          <cell r="M433">
            <v>222</v>
          </cell>
          <cell r="N433">
            <v>272</v>
          </cell>
          <cell r="O433">
            <v>15521.9013671875</v>
          </cell>
          <cell r="P433">
            <v>12659.01728296711</v>
          </cell>
          <cell r="Q433">
            <v>15629.8251953125</v>
          </cell>
        </row>
        <row r="434">
          <cell r="A434" t="str">
            <v>3FA6P0HD6LR191480</v>
          </cell>
          <cell r="B434">
            <v>2020</v>
          </cell>
          <cell r="C434" t="str">
            <v>FORD</v>
          </cell>
          <cell r="D434" t="str">
            <v>FUSION</v>
          </cell>
          <cell r="E434">
            <v>117890</v>
          </cell>
          <cell r="F434" t="str">
            <v>Grade 4.0</v>
          </cell>
          <cell r="G434" t="str">
            <v>Certified</v>
          </cell>
          <cell r="H434" t="str">
            <v>Yes</v>
          </cell>
          <cell r="I434" t="str">
            <v>No</v>
          </cell>
          <cell r="J434">
            <v>45692</v>
          </cell>
          <cell r="K434" t="str">
            <v>Yes</v>
          </cell>
          <cell r="L434">
            <v>44035</v>
          </cell>
          <cell r="M434">
            <v>222</v>
          </cell>
          <cell r="N434">
            <v>272</v>
          </cell>
          <cell r="O434">
            <v>11970.375</v>
          </cell>
          <cell r="P434">
            <v>11412.23917918261</v>
          </cell>
          <cell r="Q434">
            <v>11637.9228515625</v>
          </cell>
        </row>
        <row r="435">
          <cell r="A435" t="str">
            <v>3FADP4BJ1CM146358</v>
          </cell>
          <cell r="B435">
            <v>2012</v>
          </cell>
          <cell r="C435" t="str">
            <v>FORD</v>
          </cell>
          <cell r="D435" t="str">
            <v>FIESTA</v>
          </cell>
          <cell r="E435">
            <v>101884</v>
          </cell>
          <cell r="F435" t="str">
            <v>Grade 1.3</v>
          </cell>
          <cell r="G435" t="str">
            <v>Red Light</v>
          </cell>
          <cell r="H435" t="str">
            <v>No</v>
          </cell>
          <cell r="I435" t="str">
            <v>Yes</v>
          </cell>
          <cell r="J435">
            <v>45664</v>
          </cell>
          <cell r="K435" t="str">
            <v>Yes</v>
          </cell>
          <cell r="L435">
            <v>44035</v>
          </cell>
          <cell r="M435">
            <v>222</v>
          </cell>
          <cell r="N435">
            <v>272</v>
          </cell>
          <cell r="O435">
            <v>2441.162353515625</v>
          </cell>
          <cell r="P435">
            <v>9173.3825040507163</v>
          </cell>
          <cell r="Q435">
            <v>2321.60986328125</v>
          </cell>
        </row>
        <row r="436">
          <cell r="A436" t="str">
            <v>3GNKBCR47LS671339</v>
          </cell>
          <cell r="B436">
            <v>2020</v>
          </cell>
          <cell r="C436" t="str">
            <v>CHEVROLET</v>
          </cell>
          <cell r="D436" t="str">
            <v>BLAZER</v>
          </cell>
          <cell r="E436">
            <v>68851</v>
          </cell>
          <cell r="F436" t="str">
            <v>Grade 3.7</v>
          </cell>
          <cell r="G436" t="str">
            <v>Green Light</v>
          </cell>
          <cell r="H436" t="str">
            <v>Yes</v>
          </cell>
          <cell r="I436" t="str">
            <v>No</v>
          </cell>
          <cell r="J436">
            <v>45426</v>
          </cell>
          <cell r="K436" t="str">
            <v>Yes</v>
          </cell>
          <cell r="L436">
            <v>44035</v>
          </cell>
          <cell r="M436">
            <v>222</v>
          </cell>
          <cell r="N436">
            <v>272</v>
          </cell>
          <cell r="O436">
            <v>14913.5625</v>
          </cell>
          <cell r="P436">
            <v>12155.540567339671</v>
          </cell>
          <cell r="Q436">
            <v>15282.5029296875</v>
          </cell>
        </row>
        <row r="437">
          <cell r="A437" t="str">
            <v>3GYFNAE38CS568072</v>
          </cell>
          <cell r="B437">
            <v>2012</v>
          </cell>
          <cell r="C437" t="str">
            <v>CADILLAC</v>
          </cell>
          <cell r="D437" t="str">
            <v>SRX</v>
          </cell>
          <cell r="E437">
            <v>122924</v>
          </cell>
          <cell r="F437" t="str">
            <v>Grade 2.6</v>
          </cell>
          <cell r="G437" t="str">
            <v>Red Light</v>
          </cell>
          <cell r="H437" t="str">
            <v>No</v>
          </cell>
          <cell r="I437" t="str">
            <v>Yes</v>
          </cell>
          <cell r="J437">
            <v>45692</v>
          </cell>
          <cell r="K437" t="str">
            <v>Yes</v>
          </cell>
          <cell r="L437">
            <v>44035</v>
          </cell>
          <cell r="M437">
            <v>222</v>
          </cell>
          <cell r="N437">
            <v>272</v>
          </cell>
          <cell r="O437">
            <v>1699.723266601562</v>
          </cell>
          <cell r="P437">
            <v>9041.3274420605158</v>
          </cell>
          <cell r="Q437">
            <v>1672.987060546875</v>
          </cell>
        </row>
        <row r="438">
          <cell r="A438" t="str">
            <v>3KPF24AD0ME371752</v>
          </cell>
          <cell r="B438">
            <v>2021</v>
          </cell>
          <cell r="C438" t="str">
            <v>KIA</v>
          </cell>
          <cell r="D438" t="str">
            <v>FORTE</v>
          </cell>
          <cell r="E438">
            <v>54911</v>
          </cell>
          <cell r="F438" t="str">
            <v>Grade 2.8</v>
          </cell>
          <cell r="G438" t="str">
            <v>Green Light</v>
          </cell>
          <cell r="H438" t="str">
            <v>Yes</v>
          </cell>
          <cell r="I438" t="str">
            <v>No</v>
          </cell>
          <cell r="J438">
            <v>45622</v>
          </cell>
          <cell r="K438" t="str">
            <v>Yes</v>
          </cell>
          <cell r="L438">
            <v>44035</v>
          </cell>
          <cell r="M438">
            <v>222</v>
          </cell>
          <cell r="N438">
            <v>272</v>
          </cell>
          <cell r="O438">
            <v>8133.71240234375</v>
          </cell>
          <cell r="P438">
            <v>13647.22144940886</v>
          </cell>
          <cell r="Q438">
            <v>8602.0732421875</v>
          </cell>
        </row>
        <row r="439">
          <cell r="A439" t="str">
            <v>3VW2K7AJ8DM352956</v>
          </cell>
          <cell r="B439">
            <v>2013</v>
          </cell>
          <cell r="C439" t="str">
            <v>VOLKSWAGEN</v>
          </cell>
          <cell r="D439" t="str">
            <v>JETTA 4C</v>
          </cell>
          <cell r="E439">
            <v>122124</v>
          </cell>
          <cell r="F439" t="str">
            <v>Grade 2.4</v>
          </cell>
          <cell r="G439" t="str">
            <v>Red Light</v>
          </cell>
          <cell r="H439" t="str">
            <v>No</v>
          </cell>
          <cell r="I439" t="str">
            <v>Yes</v>
          </cell>
          <cell r="J439">
            <v>45645</v>
          </cell>
          <cell r="K439" t="str">
            <v>Yes</v>
          </cell>
          <cell r="L439">
            <v>44035</v>
          </cell>
          <cell r="M439">
            <v>222</v>
          </cell>
          <cell r="N439">
            <v>272</v>
          </cell>
          <cell r="O439">
            <v>678.754150390625</v>
          </cell>
          <cell r="P439">
            <v>8806.3075667443536</v>
          </cell>
          <cell r="Q439">
            <v>932.59674072265625</v>
          </cell>
        </row>
        <row r="440">
          <cell r="A440" t="str">
            <v>5XXGM4A71FG368183</v>
          </cell>
          <cell r="B440">
            <v>2015</v>
          </cell>
          <cell r="C440" t="str">
            <v>KIA</v>
          </cell>
          <cell r="D440" t="str">
            <v>OPTIMA</v>
          </cell>
          <cell r="E440">
            <v>115765</v>
          </cell>
          <cell r="F440" t="str">
            <v>Grade 1.9</v>
          </cell>
          <cell r="G440" t="str">
            <v>Inoperable</v>
          </cell>
          <cell r="H440" t="str">
            <v>No</v>
          </cell>
          <cell r="I440" t="str">
            <v>Yes</v>
          </cell>
          <cell r="J440">
            <v>45426</v>
          </cell>
          <cell r="K440" t="str">
            <v>Yes</v>
          </cell>
          <cell r="L440">
            <v>44035</v>
          </cell>
          <cell r="M440">
            <v>222</v>
          </cell>
          <cell r="N440">
            <v>272</v>
          </cell>
          <cell r="O440">
            <v>1592.109252929688</v>
          </cell>
          <cell r="P440">
            <v>8543.723584232861</v>
          </cell>
          <cell r="Q440">
            <v>1570.739379882812</v>
          </cell>
        </row>
        <row r="441">
          <cell r="A441" t="str">
            <v>JA4AP3AU4JZ000321</v>
          </cell>
          <cell r="B441">
            <v>2018</v>
          </cell>
          <cell r="C441" t="str">
            <v>MITSUBISHI</v>
          </cell>
          <cell r="D441" t="str">
            <v>OUTLANDER SPORT</v>
          </cell>
          <cell r="E441">
            <v>64950</v>
          </cell>
          <cell r="F441" t="str">
            <v>Grade 3.9</v>
          </cell>
          <cell r="G441" t="str">
            <v>Green Light</v>
          </cell>
          <cell r="H441" t="str">
            <v>Yes</v>
          </cell>
          <cell r="I441" t="str">
            <v>No</v>
          </cell>
          <cell r="J441">
            <v>45454</v>
          </cell>
          <cell r="K441" t="str">
            <v>Yes</v>
          </cell>
          <cell r="L441">
            <v>44035</v>
          </cell>
          <cell r="M441">
            <v>222</v>
          </cell>
          <cell r="N441">
            <v>272</v>
          </cell>
          <cell r="O441">
            <v>7299.8857421875</v>
          </cell>
          <cell r="P441">
            <v>11843.509824285689</v>
          </cell>
          <cell r="Q441">
            <v>6824.8876953125</v>
          </cell>
        </row>
        <row r="442">
          <cell r="A442" t="str">
            <v>KL4CJBSB3EB520915</v>
          </cell>
          <cell r="B442">
            <v>2014</v>
          </cell>
          <cell r="C442" t="str">
            <v>BUICK</v>
          </cell>
          <cell r="D442" t="str">
            <v>ENCORE</v>
          </cell>
          <cell r="E442">
            <v>116797</v>
          </cell>
          <cell r="F442" t="str">
            <v>Grade 1.7</v>
          </cell>
          <cell r="G442" t="str">
            <v>Red Light</v>
          </cell>
          <cell r="H442" t="str">
            <v>No</v>
          </cell>
          <cell r="I442" t="str">
            <v>Yes</v>
          </cell>
          <cell r="J442">
            <v>45538</v>
          </cell>
          <cell r="K442" t="str">
            <v>Yes</v>
          </cell>
          <cell r="L442">
            <v>44035</v>
          </cell>
          <cell r="M442">
            <v>222</v>
          </cell>
          <cell r="N442">
            <v>272</v>
          </cell>
          <cell r="O442">
            <v>1631.725708007812</v>
          </cell>
          <cell r="P442">
            <v>9018.3372640404395</v>
          </cell>
          <cell r="Q442">
            <v>1540.495727539062</v>
          </cell>
        </row>
        <row r="443">
          <cell r="A443" t="str">
            <v>KL7CJLSBXFB077060</v>
          </cell>
          <cell r="B443">
            <v>2015</v>
          </cell>
          <cell r="C443" t="str">
            <v>CHEVROLET</v>
          </cell>
          <cell r="D443" t="str">
            <v>TRAX</v>
          </cell>
          <cell r="E443">
            <v>163988</v>
          </cell>
          <cell r="F443" t="str">
            <v>Grade 1.3</v>
          </cell>
          <cell r="G443" t="str">
            <v>Red Light</v>
          </cell>
          <cell r="H443" t="str">
            <v>No</v>
          </cell>
          <cell r="I443" t="str">
            <v>Yes</v>
          </cell>
          <cell r="J443">
            <v>45300</v>
          </cell>
          <cell r="K443" t="str">
            <v>Yes</v>
          </cell>
          <cell r="L443">
            <v>44035</v>
          </cell>
          <cell r="M443">
            <v>222</v>
          </cell>
          <cell r="N443">
            <v>272</v>
          </cell>
          <cell r="O443">
            <v>818.10968017578125</v>
          </cell>
          <cell r="P443">
            <v>9292.8458920978792</v>
          </cell>
          <cell r="Q443">
            <v>1118.385864257812</v>
          </cell>
        </row>
        <row r="444">
          <cell r="A444" t="str">
            <v>KL8CD6SA4GC646282</v>
          </cell>
          <cell r="B444">
            <v>2016</v>
          </cell>
          <cell r="C444" t="str">
            <v>CHEVROLET</v>
          </cell>
          <cell r="D444" t="str">
            <v>SPARK</v>
          </cell>
          <cell r="E444">
            <v>92653</v>
          </cell>
          <cell r="F444" t="str">
            <v>Grade 4.1</v>
          </cell>
          <cell r="G444" t="str">
            <v>Certified</v>
          </cell>
          <cell r="H444" t="str">
            <v>Yes</v>
          </cell>
          <cell r="I444" t="str">
            <v>No</v>
          </cell>
          <cell r="J444">
            <v>45622</v>
          </cell>
          <cell r="K444" t="str">
            <v>Yes</v>
          </cell>
          <cell r="L444">
            <v>44035</v>
          </cell>
          <cell r="M444">
            <v>222</v>
          </cell>
          <cell r="N444">
            <v>272</v>
          </cell>
          <cell r="O444">
            <v>9319.3408203125</v>
          </cell>
          <cell r="P444">
            <v>10318.279269037041</v>
          </cell>
          <cell r="Q444">
            <v>9504.462890625</v>
          </cell>
        </row>
        <row r="445">
          <cell r="A445" t="str">
            <v>KM8J3CA40HU482032</v>
          </cell>
          <cell r="B445">
            <v>2017</v>
          </cell>
          <cell r="C445" t="str">
            <v>HYUNDAI</v>
          </cell>
          <cell r="D445" t="str">
            <v>TUCSON AWD 4C</v>
          </cell>
          <cell r="E445">
            <v>107222</v>
          </cell>
          <cell r="F445" t="str">
            <v>Grade 2.0</v>
          </cell>
          <cell r="G445" t="str">
            <v>Inoperable</v>
          </cell>
          <cell r="H445" t="str">
            <v>No</v>
          </cell>
          <cell r="I445" t="str">
            <v>Yes</v>
          </cell>
          <cell r="J445">
            <v>45680</v>
          </cell>
          <cell r="K445" t="str">
            <v>Yes</v>
          </cell>
          <cell r="L445">
            <v>44035</v>
          </cell>
          <cell r="M445">
            <v>222</v>
          </cell>
          <cell r="N445">
            <v>272</v>
          </cell>
          <cell r="O445">
            <v>2484.67626953125</v>
          </cell>
          <cell r="P445">
            <v>8719.5551943209048</v>
          </cell>
          <cell r="Q445">
            <v>2343.41650390625</v>
          </cell>
        </row>
        <row r="446">
          <cell r="A446" t="str">
            <v>KMHCT4AE4HU213023</v>
          </cell>
          <cell r="B446">
            <v>2017</v>
          </cell>
          <cell r="C446" t="str">
            <v>HYUNDAI</v>
          </cell>
          <cell r="D446" t="str">
            <v>ACCENT</v>
          </cell>
          <cell r="E446">
            <v>129459</v>
          </cell>
          <cell r="F446" t="str">
            <v>Grade 2.9</v>
          </cell>
          <cell r="G446" t="str">
            <v>Green Light</v>
          </cell>
          <cell r="H446" t="str">
            <v>Yes</v>
          </cell>
          <cell r="I446" t="str">
            <v>No</v>
          </cell>
          <cell r="J446">
            <v>45512</v>
          </cell>
          <cell r="K446" t="str">
            <v>Yes</v>
          </cell>
          <cell r="L446">
            <v>44035</v>
          </cell>
          <cell r="M446">
            <v>222</v>
          </cell>
          <cell r="N446">
            <v>272</v>
          </cell>
          <cell r="O446">
            <v>2449.953857421875</v>
          </cell>
          <cell r="P446">
            <v>8744.5901235586989</v>
          </cell>
          <cell r="Q446">
            <v>2319.4345703125</v>
          </cell>
        </row>
        <row r="447">
          <cell r="A447" t="str">
            <v>KMHD74LF1HU069879</v>
          </cell>
          <cell r="B447">
            <v>2017</v>
          </cell>
          <cell r="C447" t="str">
            <v>HYUNDAI</v>
          </cell>
          <cell r="D447" t="str">
            <v>ELANTRA</v>
          </cell>
          <cell r="E447">
            <v>178319</v>
          </cell>
          <cell r="F447" t="str">
            <v>Grade 1.0</v>
          </cell>
          <cell r="G447" t="str">
            <v>Inoperable</v>
          </cell>
          <cell r="H447" t="str">
            <v>No</v>
          </cell>
          <cell r="I447" t="str">
            <v>Yes</v>
          </cell>
          <cell r="J447">
            <v>45680</v>
          </cell>
          <cell r="K447" t="str">
            <v>Yes</v>
          </cell>
          <cell r="L447">
            <v>44035</v>
          </cell>
          <cell r="M447">
            <v>222</v>
          </cell>
          <cell r="N447">
            <v>272</v>
          </cell>
          <cell r="O447">
            <v>1350.629150390625</v>
          </cell>
          <cell r="P447">
            <v>8590.6956953856516</v>
          </cell>
          <cell r="Q447">
            <v>1390.846557617188</v>
          </cell>
        </row>
        <row r="448">
          <cell r="A448" t="str">
            <v>KMHDH4AE1CU205279</v>
          </cell>
          <cell r="B448">
            <v>2012</v>
          </cell>
          <cell r="C448" t="str">
            <v>HYUNDAI</v>
          </cell>
          <cell r="D448" t="str">
            <v>ELANTRA</v>
          </cell>
          <cell r="E448">
            <v>106515</v>
          </cell>
          <cell r="F448" t="str">
            <v>Grade 1.3</v>
          </cell>
          <cell r="G448" t="str">
            <v>Red Light</v>
          </cell>
          <cell r="H448" t="str">
            <v>No</v>
          </cell>
          <cell r="I448" t="str">
            <v>Yes</v>
          </cell>
          <cell r="J448">
            <v>45566</v>
          </cell>
          <cell r="K448" t="str">
            <v>Yes</v>
          </cell>
          <cell r="L448">
            <v>44035</v>
          </cell>
          <cell r="M448">
            <v>222</v>
          </cell>
          <cell r="N448">
            <v>272</v>
          </cell>
          <cell r="O448">
            <v>1134.168090820312</v>
          </cell>
          <cell r="P448">
            <v>8564.0321684423925</v>
          </cell>
          <cell r="Q448">
            <v>1286.9091796875</v>
          </cell>
        </row>
        <row r="449">
          <cell r="A449" t="str">
            <v>KMHTC6AE2DU111161</v>
          </cell>
          <cell r="B449">
            <v>2013</v>
          </cell>
          <cell r="C449" t="str">
            <v>HYUNDAI</v>
          </cell>
          <cell r="D449" t="str">
            <v>VELOSTER</v>
          </cell>
          <cell r="E449">
            <v>136008</v>
          </cell>
          <cell r="F449" t="str">
            <v>Grade 1.6</v>
          </cell>
          <cell r="G449" t="str">
            <v>Inoperable</v>
          </cell>
          <cell r="H449" t="str">
            <v>No</v>
          </cell>
          <cell r="I449" t="str">
            <v>Yes</v>
          </cell>
          <cell r="J449">
            <v>45398</v>
          </cell>
          <cell r="K449" t="str">
            <v>Yes</v>
          </cell>
          <cell r="L449">
            <v>44035</v>
          </cell>
          <cell r="M449">
            <v>222</v>
          </cell>
          <cell r="N449">
            <v>272</v>
          </cell>
          <cell r="O449">
            <v>993.3095703125</v>
          </cell>
          <cell r="P449">
            <v>8594.7938024844843</v>
          </cell>
          <cell r="Q449">
            <v>1180.456665039062</v>
          </cell>
        </row>
        <row r="450">
          <cell r="A450" t="str">
            <v>KMHTC6AE9EU209637</v>
          </cell>
          <cell r="B450">
            <v>2014</v>
          </cell>
          <cell r="C450" t="str">
            <v>HYUNDAI</v>
          </cell>
          <cell r="D450" t="str">
            <v>VELOSTER</v>
          </cell>
          <cell r="E450">
            <v>107843</v>
          </cell>
          <cell r="F450" t="str">
            <v>Grade 1.6</v>
          </cell>
          <cell r="G450" t="str">
            <v>Red Light</v>
          </cell>
          <cell r="H450" t="str">
            <v>No</v>
          </cell>
          <cell r="I450" t="str">
            <v>Yes</v>
          </cell>
          <cell r="J450">
            <v>45594</v>
          </cell>
          <cell r="K450" t="str">
            <v>Yes</v>
          </cell>
          <cell r="L450">
            <v>44035</v>
          </cell>
          <cell r="M450">
            <v>222</v>
          </cell>
          <cell r="N450">
            <v>272</v>
          </cell>
          <cell r="O450">
            <v>1233.621704101562</v>
          </cell>
          <cell r="P450">
            <v>8650.3801398295964</v>
          </cell>
          <cell r="Q450">
            <v>1284.2802734375</v>
          </cell>
        </row>
        <row r="451">
          <cell r="A451" t="str">
            <v>NMTKHMBX2KR076269</v>
          </cell>
          <cell r="B451">
            <v>2019</v>
          </cell>
          <cell r="C451" t="str">
            <v>TOYOTA</v>
          </cell>
          <cell r="D451" t="str">
            <v>C-HR</v>
          </cell>
          <cell r="E451">
            <v>99188</v>
          </cell>
          <cell r="F451" t="str">
            <v>Grade 3.5</v>
          </cell>
          <cell r="G451" t="str">
            <v>Green Light</v>
          </cell>
          <cell r="H451" t="str">
            <v>Yes</v>
          </cell>
          <cell r="I451" t="str">
            <v>No</v>
          </cell>
          <cell r="J451">
            <v>45566</v>
          </cell>
          <cell r="K451" t="str">
            <v>Yes</v>
          </cell>
          <cell r="L451">
            <v>44035</v>
          </cell>
          <cell r="M451">
            <v>222</v>
          </cell>
          <cell r="N451">
            <v>272</v>
          </cell>
          <cell r="O451">
            <v>10491.466796875</v>
          </cell>
          <cell r="P451">
            <v>9676.3583529709031</v>
          </cell>
          <cell r="Q451">
            <v>10751.208984375</v>
          </cell>
        </row>
        <row r="452">
          <cell r="A452" t="str">
            <v>WDDHF8HB9BA300967</v>
          </cell>
          <cell r="B452">
            <v>2011</v>
          </cell>
          <cell r="C452" t="str">
            <v>MERCEDES-BENZ</v>
          </cell>
          <cell r="D452" t="str">
            <v>E 350</v>
          </cell>
          <cell r="E452">
            <v>113172</v>
          </cell>
          <cell r="F452" t="str">
            <v>Grade 1.9</v>
          </cell>
          <cell r="G452" t="str">
            <v>Red Light</v>
          </cell>
          <cell r="H452" t="str">
            <v>No</v>
          </cell>
          <cell r="I452" t="str">
            <v>Yes</v>
          </cell>
          <cell r="J452">
            <v>45300</v>
          </cell>
          <cell r="K452" t="str">
            <v>Yes</v>
          </cell>
          <cell r="L452">
            <v>44035</v>
          </cell>
          <cell r="M452">
            <v>222</v>
          </cell>
          <cell r="N452">
            <v>272</v>
          </cell>
          <cell r="O452">
            <v>2286.292236328125</v>
          </cell>
          <cell r="P452">
            <v>9684.9443493206818</v>
          </cell>
          <cell r="Q452">
            <v>2255.45654296875</v>
          </cell>
        </row>
        <row r="453">
          <cell r="A453" t="str">
            <v>WDDWK4KB3HF548440</v>
          </cell>
          <cell r="B453">
            <v>2017</v>
          </cell>
          <cell r="C453" t="str">
            <v>MERCEDES-BENZ</v>
          </cell>
          <cell r="D453" t="str">
            <v>C 300</v>
          </cell>
          <cell r="E453">
            <v>47196</v>
          </cell>
          <cell r="F453" t="str">
            <v>Grade 4.1</v>
          </cell>
          <cell r="G453" t="str">
            <v>Certified</v>
          </cell>
          <cell r="H453" t="str">
            <v>Yes</v>
          </cell>
          <cell r="I453" t="str">
            <v>No</v>
          </cell>
          <cell r="J453">
            <v>45510</v>
          </cell>
          <cell r="K453" t="str">
            <v>Yes</v>
          </cell>
          <cell r="L453">
            <v>44035</v>
          </cell>
          <cell r="M453">
            <v>222</v>
          </cell>
          <cell r="N453">
            <v>272</v>
          </cell>
          <cell r="O453">
            <v>17737.9296875</v>
          </cell>
          <cell r="P453">
            <v>13122.76465323197</v>
          </cell>
          <cell r="Q453">
            <v>17612.146484375</v>
          </cell>
        </row>
        <row r="454">
          <cell r="A454" t="str">
            <v>ZACCJAAT9GPD36436</v>
          </cell>
          <cell r="B454">
            <v>2016</v>
          </cell>
          <cell r="C454" t="str">
            <v>JEEP</v>
          </cell>
          <cell r="D454" t="str">
            <v>RENEGADE</v>
          </cell>
          <cell r="E454">
            <v>61885</v>
          </cell>
          <cell r="F454" t="str">
            <v>Grade 4.3</v>
          </cell>
          <cell r="G454" t="str">
            <v>Certified</v>
          </cell>
          <cell r="H454" t="str">
            <v>Yes</v>
          </cell>
          <cell r="I454" t="str">
            <v>No</v>
          </cell>
          <cell r="J454">
            <v>45608</v>
          </cell>
          <cell r="K454" t="str">
            <v>Yes</v>
          </cell>
          <cell r="L454">
            <v>44035</v>
          </cell>
          <cell r="M454">
            <v>222</v>
          </cell>
          <cell r="N454">
            <v>272</v>
          </cell>
          <cell r="O454">
            <v>12640.9150390625</v>
          </cell>
          <cell r="P454">
            <v>12034.6066532189</v>
          </cell>
          <cell r="Q454">
            <v>12590.3173828125</v>
          </cell>
        </row>
        <row r="455">
          <cell r="A455" t="str">
            <v>ZACNJAAB7KPK06726</v>
          </cell>
          <cell r="B455">
            <v>2019</v>
          </cell>
          <cell r="C455" t="str">
            <v>JEEP</v>
          </cell>
          <cell r="D455" t="str">
            <v>RENEGADE</v>
          </cell>
          <cell r="E455">
            <v>77135</v>
          </cell>
          <cell r="F455" t="str">
            <v>Grade 3.9</v>
          </cell>
          <cell r="G455" t="str">
            <v>Certified</v>
          </cell>
          <cell r="H455" t="str">
            <v>Yes</v>
          </cell>
          <cell r="I455" t="str">
            <v>No</v>
          </cell>
          <cell r="J455">
            <v>45496</v>
          </cell>
          <cell r="K455" t="str">
            <v>Yes</v>
          </cell>
          <cell r="L455">
            <v>44035</v>
          </cell>
          <cell r="M455">
            <v>222</v>
          </cell>
          <cell r="N455">
            <v>272</v>
          </cell>
          <cell r="O455">
            <v>11937.5068359375</v>
          </cell>
          <cell r="P455">
            <v>10252.12710584034</v>
          </cell>
          <cell r="Q455">
            <v>11871.0888671875</v>
          </cell>
        </row>
        <row r="456">
          <cell r="A456" t="str">
            <v>ZACNJDB13MPM58886</v>
          </cell>
          <cell r="B456">
            <v>2021</v>
          </cell>
          <cell r="C456" t="str">
            <v>JEEP</v>
          </cell>
          <cell r="D456" t="str">
            <v>RENEGADE</v>
          </cell>
          <cell r="E456">
            <v>18976</v>
          </cell>
          <cell r="F456" t="str">
            <v>Grade 4.6</v>
          </cell>
          <cell r="G456" t="str">
            <v>Certified</v>
          </cell>
          <cell r="H456" t="str">
            <v>Yes</v>
          </cell>
          <cell r="I456" t="str">
            <v>No</v>
          </cell>
          <cell r="J456">
            <v>45706</v>
          </cell>
          <cell r="K456" t="str">
            <v>Yes</v>
          </cell>
          <cell r="L456">
            <v>44035</v>
          </cell>
          <cell r="M456">
            <v>222</v>
          </cell>
          <cell r="N456">
            <v>272</v>
          </cell>
          <cell r="O456">
            <v>21229.234375</v>
          </cell>
          <cell r="P456">
            <v>14679.82686353345</v>
          </cell>
          <cell r="Q456">
            <v>20877.73828125</v>
          </cell>
        </row>
        <row r="457">
          <cell r="A457" t="str">
            <v>1FADP3M27HL262110</v>
          </cell>
          <cell r="B457">
            <v>2017</v>
          </cell>
          <cell r="C457" t="str">
            <v>FORD</v>
          </cell>
          <cell r="D457" t="str">
            <v>FOCUS</v>
          </cell>
          <cell r="E457">
            <v>37313</v>
          </cell>
          <cell r="F457" t="str">
            <v>Grade 3.0</v>
          </cell>
          <cell r="G457" t="str">
            <v>Green Light</v>
          </cell>
          <cell r="H457" t="str">
            <v>Yes</v>
          </cell>
          <cell r="I457" t="str">
            <v>No</v>
          </cell>
          <cell r="J457">
            <v>45706</v>
          </cell>
          <cell r="K457" t="str">
            <v>Yes</v>
          </cell>
          <cell r="L457">
            <v>44052</v>
          </cell>
          <cell r="M457">
            <v>235</v>
          </cell>
          <cell r="N457">
            <v>285</v>
          </cell>
          <cell r="O457">
            <v>16642.55078125</v>
          </cell>
          <cell r="P457">
            <v>11484.400369427671</v>
          </cell>
          <cell r="Q457">
            <v>16791.2734375</v>
          </cell>
        </row>
        <row r="458">
          <cell r="A458" t="str">
            <v>1FM5K7B81GGB44228</v>
          </cell>
          <cell r="B458">
            <v>2016</v>
          </cell>
          <cell r="C458" t="str">
            <v>FORD</v>
          </cell>
          <cell r="D458" t="str">
            <v>EXPLORER</v>
          </cell>
          <cell r="E458">
            <v>60985</v>
          </cell>
          <cell r="F458" t="str">
            <v>Grade 3.8</v>
          </cell>
          <cell r="G458" t="str">
            <v>Green/Yellow</v>
          </cell>
          <cell r="H458" t="str">
            <v>Yes</v>
          </cell>
          <cell r="I458" t="str">
            <v>No</v>
          </cell>
          <cell r="J458">
            <v>45678</v>
          </cell>
          <cell r="K458" t="str">
            <v>Yes</v>
          </cell>
          <cell r="L458">
            <v>44052</v>
          </cell>
          <cell r="M458">
            <v>235</v>
          </cell>
          <cell r="N458">
            <v>285</v>
          </cell>
          <cell r="O458">
            <v>12151.185546875</v>
          </cell>
          <cell r="P458">
            <v>12129.576415072979</v>
          </cell>
          <cell r="Q458">
            <v>12070.8740234375</v>
          </cell>
        </row>
        <row r="459">
          <cell r="A459" t="str">
            <v>1FM5K7D81HGD35629</v>
          </cell>
          <cell r="B459">
            <v>2017</v>
          </cell>
          <cell r="C459" t="str">
            <v>FORD</v>
          </cell>
          <cell r="D459" t="str">
            <v>EXPLORER</v>
          </cell>
          <cell r="E459">
            <v>114069</v>
          </cell>
          <cell r="F459" t="str">
            <v>Grade 2.0</v>
          </cell>
          <cell r="G459" t="str">
            <v>Inoperable</v>
          </cell>
          <cell r="H459" t="str">
            <v>No</v>
          </cell>
          <cell r="I459" t="str">
            <v>Yes</v>
          </cell>
          <cell r="J459">
            <v>45706</v>
          </cell>
          <cell r="K459" t="str">
            <v>Yes</v>
          </cell>
          <cell r="L459">
            <v>44052</v>
          </cell>
          <cell r="M459">
            <v>235</v>
          </cell>
          <cell r="N459">
            <v>285</v>
          </cell>
          <cell r="O459">
            <v>3749.44140625</v>
          </cell>
          <cell r="P459">
            <v>9199.7270301230656</v>
          </cell>
          <cell r="Q459">
            <v>3588.97705078125</v>
          </cell>
        </row>
        <row r="460">
          <cell r="A460" t="str">
            <v>5YJ3E1EA4JF017506</v>
          </cell>
          <cell r="B460">
            <v>2018</v>
          </cell>
          <cell r="C460" t="str">
            <v>TESLA</v>
          </cell>
          <cell r="D460" t="str">
            <v>MODEL 3</v>
          </cell>
          <cell r="E460">
            <v>83220</v>
          </cell>
          <cell r="F460" t="str">
            <v>Grade 4.3</v>
          </cell>
          <cell r="G460" t="str">
            <v>Green/Yellow</v>
          </cell>
          <cell r="H460" t="str">
            <v>Yes</v>
          </cell>
          <cell r="I460" t="str">
            <v>No</v>
          </cell>
          <cell r="J460">
            <v>45692</v>
          </cell>
          <cell r="K460" t="str">
            <v>Yes</v>
          </cell>
          <cell r="L460">
            <v>44052</v>
          </cell>
          <cell r="M460">
            <v>235</v>
          </cell>
          <cell r="N460">
            <v>285</v>
          </cell>
          <cell r="O460">
            <v>12619.1396484375</v>
          </cell>
          <cell r="P460">
            <v>11133.089029953921</v>
          </cell>
          <cell r="Q460">
            <v>12732.3681640625</v>
          </cell>
        </row>
        <row r="461">
          <cell r="A461" t="str">
            <v>KL7CJLSB9GB610937</v>
          </cell>
          <cell r="B461">
            <v>2016</v>
          </cell>
          <cell r="C461" t="str">
            <v>CHEVROLET</v>
          </cell>
          <cell r="D461" t="str">
            <v>TRAX</v>
          </cell>
          <cell r="E461">
            <v>118627</v>
          </cell>
          <cell r="F461" t="str">
            <v>Grade 1.3</v>
          </cell>
          <cell r="G461" t="str">
            <v>Red Light</v>
          </cell>
          <cell r="H461" t="str">
            <v>No</v>
          </cell>
          <cell r="I461" t="str">
            <v>Yes</v>
          </cell>
          <cell r="J461">
            <v>45608</v>
          </cell>
          <cell r="K461" t="str">
            <v>Yes</v>
          </cell>
          <cell r="L461">
            <v>44052</v>
          </cell>
          <cell r="M461">
            <v>235</v>
          </cell>
          <cell r="N461">
            <v>285</v>
          </cell>
          <cell r="O461">
            <v>1592.93505859375</v>
          </cell>
          <cell r="P461">
            <v>9313.6592852679933</v>
          </cell>
          <cell r="Q461">
            <v>1575.010375976562</v>
          </cell>
        </row>
        <row r="462">
          <cell r="A462" t="str">
            <v>KNAGM4AD4D5050157</v>
          </cell>
          <cell r="B462">
            <v>2013</v>
          </cell>
          <cell r="C462" t="str">
            <v>KIA</v>
          </cell>
          <cell r="D462" t="str">
            <v>OPTIMA</v>
          </cell>
          <cell r="E462">
            <v>135138</v>
          </cell>
          <cell r="F462" t="str">
            <v>Grade 2.7</v>
          </cell>
          <cell r="G462" t="str">
            <v>Inoperable</v>
          </cell>
          <cell r="H462" t="str">
            <v>No</v>
          </cell>
          <cell r="I462" t="str">
            <v>Yes</v>
          </cell>
          <cell r="J462">
            <v>45729</v>
          </cell>
          <cell r="K462" t="str">
            <v>Yes</v>
          </cell>
          <cell r="L462">
            <v>44052</v>
          </cell>
          <cell r="M462">
            <v>235</v>
          </cell>
          <cell r="N462">
            <v>285</v>
          </cell>
          <cell r="O462">
            <v>435.56857299804688</v>
          </cell>
          <cell r="P462">
            <v>8677.2386864097152</v>
          </cell>
          <cell r="Q462">
            <v>815.262451171875</v>
          </cell>
        </row>
        <row r="463">
          <cell r="A463" t="str">
            <v>MAJ6P1WL9JC161823</v>
          </cell>
          <cell r="B463">
            <v>2018</v>
          </cell>
          <cell r="C463" t="str">
            <v>FORD</v>
          </cell>
          <cell r="D463" t="str">
            <v>ECOSPORT</v>
          </cell>
          <cell r="E463">
            <v>68155</v>
          </cell>
          <cell r="F463" t="str">
            <v>Grade 3.0</v>
          </cell>
          <cell r="G463" t="str">
            <v>Green/Yellow</v>
          </cell>
          <cell r="H463" t="str">
            <v>Yes</v>
          </cell>
          <cell r="I463" t="str">
            <v>No</v>
          </cell>
          <cell r="J463">
            <v>45622</v>
          </cell>
          <cell r="K463" t="str">
            <v>Yes</v>
          </cell>
          <cell r="L463">
            <v>44052</v>
          </cell>
          <cell r="M463">
            <v>235</v>
          </cell>
          <cell r="N463">
            <v>285</v>
          </cell>
          <cell r="O463">
            <v>12216.87890625</v>
          </cell>
          <cell r="P463">
            <v>9865.1727826131773</v>
          </cell>
          <cell r="Q463">
            <v>12452.2919921875</v>
          </cell>
        </row>
        <row r="464">
          <cell r="A464" t="str">
            <v>WDCTG4GBXGJ265787</v>
          </cell>
          <cell r="B464">
            <v>2016</v>
          </cell>
          <cell r="C464" t="str">
            <v>MERCEDES-BENZ</v>
          </cell>
          <cell r="D464" t="str">
            <v>GLA 250</v>
          </cell>
          <cell r="E464">
            <v>82468</v>
          </cell>
          <cell r="F464" t="str">
            <v>Grade 2.2</v>
          </cell>
          <cell r="G464" t="str">
            <v>Red Light</v>
          </cell>
          <cell r="H464" t="str">
            <v>No</v>
          </cell>
          <cell r="I464" t="str">
            <v>Yes</v>
          </cell>
          <cell r="J464">
            <v>45622</v>
          </cell>
          <cell r="K464" t="str">
            <v>Yes</v>
          </cell>
          <cell r="L464">
            <v>44052</v>
          </cell>
          <cell r="M464">
            <v>235</v>
          </cell>
          <cell r="N464">
            <v>285</v>
          </cell>
          <cell r="O464">
            <v>5726.10498046875</v>
          </cell>
          <cell r="P464">
            <v>9943.5334685252983</v>
          </cell>
          <cell r="Q464">
            <v>5705.099609375</v>
          </cell>
        </row>
        <row r="465">
          <cell r="A465" t="str">
            <v>1FADP5DU6JL104540</v>
          </cell>
          <cell r="B465">
            <v>2018</v>
          </cell>
          <cell r="C465" t="str">
            <v>FORD</v>
          </cell>
          <cell r="D465" t="str">
            <v>C-MAX HYBRID</v>
          </cell>
          <cell r="E465">
            <v>90921</v>
          </cell>
          <cell r="F465" t="str">
            <v>Grade 4.0</v>
          </cell>
          <cell r="G465" t="str">
            <v>Certified</v>
          </cell>
          <cell r="H465" t="str">
            <v>Yes</v>
          </cell>
          <cell r="I465" t="str">
            <v>No</v>
          </cell>
          <cell r="J465">
            <v>45412</v>
          </cell>
          <cell r="K465" t="str">
            <v>Yes</v>
          </cell>
          <cell r="L465">
            <v>44053</v>
          </cell>
          <cell r="M465">
            <v>235</v>
          </cell>
          <cell r="N465">
            <v>285</v>
          </cell>
          <cell r="O465">
            <v>12570.6591796875</v>
          </cell>
          <cell r="P465">
            <v>10307.955430199871</v>
          </cell>
          <cell r="Q465">
            <v>12728.0908203125</v>
          </cell>
        </row>
        <row r="466">
          <cell r="A466" t="str">
            <v>1C3CCCAB4GN185015</v>
          </cell>
          <cell r="B466">
            <v>2016</v>
          </cell>
          <cell r="C466" t="str">
            <v>CHRYSLER</v>
          </cell>
          <cell r="D466" t="str">
            <v>200 FWD 4C</v>
          </cell>
          <cell r="E466">
            <v>92217</v>
          </cell>
          <cell r="F466" t="str">
            <v>Grade 2.3</v>
          </cell>
          <cell r="G466" t="str">
            <v>Red Light</v>
          </cell>
          <cell r="H466" t="str">
            <v>No</v>
          </cell>
          <cell r="I466" t="str">
            <v>Yes</v>
          </cell>
          <cell r="J466">
            <v>45421</v>
          </cell>
          <cell r="K466" t="str">
            <v>Yes</v>
          </cell>
          <cell r="L466">
            <v>44054</v>
          </cell>
          <cell r="M466">
            <v>235</v>
          </cell>
          <cell r="N466">
            <v>285</v>
          </cell>
          <cell r="O466">
            <v>3750.3115234375</v>
          </cell>
          <cell r="P466">
            <v>8982.7306198927272</v>
          </cell>
          <cell r="Q466">
            <v>3588.97705078125</v>
          </cell>
        </row>
        <row r="467">
          <cell r="A467" t="str">
            <v>1C3CDZAB9EN222282</v>
          </cell>
          <cell r="B467">
            <v>2014</v>
          </cell>
          <cell r="C467" t="str">
            <v>DODGE</v>
          </cell>
          <cell r="D467" t="str">
            <v>AVENGER</v>
          </cell>
          <cell r="E467">
            <v>79863</v>
          </cell>
          <cell r="F467" t="str">
            <v>Grade 3.7</v>
          </cell>
          <cell r="G467" t="str">
            <v>Green Light</v>
          </cell>
          <cell r="H467" t="str">
            <v>Yes</v>
          </cell>
          <cell r="I467" t="str">
            <v>No</v>
          </cell>
          <cell r="J467">
            <v>45622</v>
          </cell>
          <cell r="K467" t="str">
            <v>Yes</v>
          </cell>
          <cell r="L467">
            <v>44054</v>
          </cell>
          <cell r="M467">
            <v>235</v>
          </cell>
          <cell r="N467">
            <v>285</v>
          </cell>
          <cell r="O467">
            <v>7602.46240234375</v>
          </cell>
          <cell r="P467">
            <v>9881.0084250520904</v>
          </cell>
          <cell r="Q467">
            <v>7710.37646484375</v>
          </cell>
        </row>
        <row r="468">
          <cell r="A468" t="str">
            <v>1C4PJMCB7EW252624</v>
          </cell>
          <cell r="B468">
            <v>2014</v>
          </cell>
          <cell r="C468" t="str">
            <v>JEEP</v>
          </cell>
          <cell r="D468" t="str">
            <v>CHEROKEE 4X4 4C</v>
          </cell>
          <cell r="E468">
            <v>102179</v>
          </cell>
          <cell r="F468" t="str">
            <v>Grade 2.8</v>
          </cell>
          <cell r="G468" t="str">
            <v>Green/Yellow</v>
          </cell>
          <cell r="H468" t="str">
            <v>Yes</v>
          </cell>
          <cell r="I468" t="str">
            <v>No</v>
          </cell>
          <cell r="J468">
            <v>45736</v>
          </cell>
          <cell r="K468" t="str">
            <v>Yes</v>
          </cell>
          <cell r="L468">
            <v>44054</v>
          </cell>
          <cell r="M468">
            <v>235</v>
          </cell>
          <cell r="N468">
            <v>285</v>
          </cell>
          <cell r="O468">
            <v>2794.559326171875</v>
          </cell>
          <cell r="P468">
            <v>9260.0998907527264</v>
          </cell>
          <cell r="Q468">
            <v>2645.82568359375</v>
          </cell>
        </row>
        <row r="469">
          <cell r="A469" t="str">
            <v>1FMCU9HD4JUA34445</v>
          </cell>
          <cell r="B469">
            <v>2018</v>
          </cell>
          <cell r="C469" t="str">
            <v>FORD</v>
          </cell>
          <cell r="D469" t="str">
            <v>ESCAPE</v>
          </cell>
          <cell r="E469">
            <v>87195</v>
          </cell>
          <cell r="F469" t="str">
            <v>Grade 3.6</v>
          </cell>
          <cell r="G469" t="str">
            <v>Green/Yellow</v>
          </cell>
          <cell r="H469" t="str">
            <v>Yes</v>
          </cell>
          <cell r="I469" t="str">
            <v>No</v>
          </cell>
          <cell r="J469">
            <v>45734</v>
          </cell>
          <cell r="K469" t="str">
            <v>Yes</v>
          </cell>
          <cell r="L469">
            <v>44054</v>
          </cell>
          <cell r="M469">
            <v>235</v>
          </cell>
          <cell r="N469">
            <v>285</v>
          </cell>
          <cell r="O469">
            <v>9396.537109375</v>
          </cell>
          <cell r="P469">
            <v>10338.399912703069</v>
          </cell>
          <cell r="Q469">
            <v>9504.462890625</v>
          </cell>
        </row>
        <row r="470">
          <cell r="A470" t="str">
            <v>1G1JE5SBXE4240313</v>
          </cell>
          <cell r="B470">
            <v>2014</v>
          </cell>
          <cell r="C470" t="str">
            <v>CHEVROLET</v>
          </cell>
          <cell r="D470" t="str">
            <v>SONIC</v>
          </cell>
          <cell r="E470">
            <v>70579</v>
          </cell>
          <cell r="F470" t="str">
            <v>Grade 4.4</v>
          </cell>
          <cell r="G470" t="str">
            <v>Certified</v>
          </cell>
          <cell r="H470" t="str">
            <v>Yes</v>
          </cell>
          <cell r="I470" t="str">
            <v>No</v>
          </cell>
          <cell r="J470">
            <v>45594</v>
          </cell>
          <cell r="K470" t="str">
            <v>Yes</v>
          </cell>
          <cell r="L470">
            <v>44054</v>
          </cell>
          <cell r="M470">
            <v>235</v>
          </cell>
          <cell r="N470">
            <v>285</v>
          </cell>
          <cell r="O470">
            <v>9949.4794921875</v>
          </cell>
          <cell r="P470">
            <v>10428.20666693559</v>
          </cell>
          <cell r="Q470">
            <v>9951.3173828125</v>
          </cell>
        </row>
        <row r="471">
          <cell r="A471" t="str">
            <v>1G1ZD5ST3JF188441</v>
          </cell>
          <cell r="B471">
            <v>2018</v>
          </cell>
          <cell r="C471" t="str">
            <v>CHEVROLET</v>
          </cell>
          <cell r="D471" t="str">
            <v>MALIBU</v>
          </cell>
          <cell r="E471">
            <v>66008</v>
          </cell>
          <cell r="F471" t="str">
            <v>Grade 2.1</v>
          </cell>
          <cell r="G471" t="str">
            <v>Green Light</v>
          </cell>
          <cell r="H471" t="str">
            <v>Yes</v>
          </cell>
          <cell r="I471" t="str">
            <v>No</v>
          </cell>
          <cell r="J471">
            <v>45510</v>
          </cell>
          <cell r="K471" t="str">
            <v>Yes</v>
          </cell>
          <cell r="L471">
            <v>44054</v>
          </cell>
          <cell r="M471">
            <v>235</v>
          </cell>
          <cell r="N471">
            <v>285</v>
          </cell>
          <cell r="O471">
            <v>5968.95751953125</v>
          </cell>
          <cell r="P471">
            <v>10670.606224178309</v>
          </cell>
          <cell r="Q471">
            <v>5645.8271484375</v>
          </cell>
        </row>
        <row r="472">
          <cell r="A472" t="str">
            <v>1G1ZE5STXGF329673</v>
          </cell>
          <cell r="B472">
            <v>2016</v>
          </cell>
          <cell r="C472" t="str">
            <v>CHEVROLET</v>
          </cell>
          <cell r="D472" t="str">
            <v>MALIBU</v>
          </cell>
          <cell r="E472">
            <v>129751</v>
          </cell>
          <cell r="F472" t="str">
            <v>Grade 2.8</v>
          </cell>
          <cell r="G472" t="str">
            <v>Green Light</v>
          </cell>
          <cell r="H472" t="str">
            <v>Yes</v>
          </cell>
          <cell r="I472" t="str">
            <v>No</v>
          </cell>
          <cell r="J472">
            <v>45412</v>
          </cell>
          <cell r="K472" t="str">
            <v>Yes</v>
          </cell>
          <cell r="L472">
            <v>44054</v>
          </cell>
          <cell r="M472">
            <v>235</v>
          </cell>
          <cell r="N472">
            <v>285</v>
          </cell>
          <cell r="O472">
            <v>2137.161376953125</v>
          </cell>
          <cell r="P472">
            <v>9374.3162398944296</v>
          </cell>
          <cell r="Q472">
            <v>2133.613525390625</v>
          </cell>
        </row>
        <row r="473">
          <cell r="A473" t="str">
            <v>1GNALBEK4DZ117235</v>
          </cell>
          <cell r="B473">
            <v>2013</v>
          </cell>
          <cell r="C473" t="str">
            <v>CHEVROLET</v>
          </cell>
          <cell r="D473" t="str">
            <v>EQUINOX</v>
          </cell>
          <cell r="E473">
            <v>110232</v>
          </cell>
          <cell r="F473" t="str">
            <v>Grade 2.9</v>
          </cell>
          <cell r="G473" t="str">
            <v>Green Light</v>
          </cell>
          <cell r="H473" t="str">
            <v>Yes</v>
          </cell>
          <cell r="I473" t="str">
            <v>No</v>
          </cell>
          <cell r="J473">
            <v>45566</v>
          </cell>
          <cell r="K473" t="str">
            <v>Yes</v>
          </cell>
          <cell r="L473">
            <v>44054</v>
          </cell>
          <cell r="M473">
            <v>235</v>
          </cell>
          <cell r="N473">
            <v>285</v>
          </cell>
          <cell r="O473">
            <v>1776.082275390625</v>
          </cell>
          <cell r="P473">
            <v>9351.5204961652526</v>
          </cell>
          <cell r="Q473">
            <v>1745.0400390625</v>
          </cell>
        </row>
        <row r="474">
          <cell r="A474" t="str">
            <v>1N4BL4CVXLC144467</v>
          </cell>
          <cell r="B474">
            <v>2020</v>
          </cell>
          <cell r="C474" t="str">
            <v>NISSAN</v>
          </cell>
          <cell r="D474" t="str">
            <v>ALTIMA</v>
          </cell>
          <cell r="E474">
            <v>35424</v>
          </cell>
          <cell r="F474" t="str">
            <v>Grade 4.5</v>
          </cell>
          <cell r="G474" t="str">
            <v>Certified</v>
          </cell>
          <cell r="H474" t="str">
            <v>Yes</v>
          </cell>
          <cell r="I474" t="str">
            <v>No</v>
          </cell>
          <cell r="J474">
            <v>45328</v>
          </cell>
          <cell r="K474" t="str">
            <v>Yes</v>
          </cell>
          <cell r="L474">
            <v>44054</v>
          </cell>
          <cell r="M474">
            <v>235</v>
          </cell>
          <cell r="N474">
            <v>285</v>
          </cell>
          <cell r="O474">
            <v>15128.7001953125</v>
          </cell>
          <cell r="P474">
            <v>13251.37665783708</v>
          </cell>
          <cell r="Q474">
            <v>15286.7265625</v>
          </cell>
        </row>
        <row r="475">
          <cell r="A475" t="str">
            <v>1VWAT7A30FC049538</v>
          </cell>
          <cell r="B475">
            <v>2015</v>
          </cell>
          <cell r="C475" t="str">
            <v>VOLKSWAGEN</v>
          </cell>
          <cell r="D475" t="str">
            <v>PASSAT</v>
          </cell>
          <cell r="E475">
            <v>124744</v>
          </cell>
          <cell r="F475" t="str">
            <v>Grade 4.5</v>
          </cell>
          <cell r="G475" t="str">
            <v>Red Light</v>
          </cell>
          <cell r="H475" t="str">
            <v>No</v>
          </cell>
          <cell r="I475" t="str">
            <v>Yes</v>
          </cell>
          <cell r="J475">
            <v>45692</v>
          </cell>
          <cell r="K475" t="str">
            <v>Yes</v>
          </cell>
          <cell r="L475">
            <v>44054</v>
          </cell>
          <cell r="M475">
            <v>235</v>
          </cell>
          <cell r="N475">
            <v>285</v>
          </cell>
          <cell r="O475">
            <v>4504.146484375</v>
          </cell>
          <cell r="P475">
            <v>9503.3893848758489</v>
          </cell>
          <cell r="Q475">
            <v>4499.12060546875</v>
          </cell>
        </row>
        <row r="476">
          <cell r="A476" t="str">
            <v>2C4RC1EG2HR543071</v>
          </cell>
          <cell r="B476">
            <v>2017</v>
          </cell>
          <cell r="C476" t="str">
            <v>CHRYSLER</v>
          </cell>
          <cell r="D476" t="str">
            <v>PACIFICA</v>
          </cell>
          <cell r="E476">
            <v>110161</v>
          </cell>
          <cell r="F476" t="str">
            <v>Grade 3.7</v>
          </cell>
          <cell r="G476" t="str">
            <v>Green Light</v>
          </cell>
          <cell r="H476" t="str">
            <v>Yes</v>
          </cell>
          <cell r="I476" t="str">
            <v>No</v>
          </cell>
          <cell r="J476">
            <v>45356</v>
          </cell>
          <cell r="K476" t="str">
            <v>Yes</v>
          </cell>
          <cell r="L476">
            <v>44054</v>
          </cell>
          <cell r="M476">
            <v>235</v>
          </cell>
          <cell r="N476">
            <v>285</v>
          </cell>
          <cell r="O476">
            <v>8459.134765625</v>
          </cell>
          <cell r="P476">
            <v>9713.1591969025449</v>
          </cell>
          <cell r="Q476">
            <v>8503.9990234375</v>
          </cell>
        </row>
        <row r="477">
          <cell r="A477" t="str">
            <v>2GKFLTEK8H6263230</v>
          </cell>
          <cell r="B477">
            <v>2017</v>
          </cell>
          <cell r="C477" t="str">
            <v>GMC</v>
          </cell>
          <cell r="D477" t="str">
            <v>TERRAIN</v>
          </cell>
          <cell r="E477">
            <v>99604</v>
          </cell>
          <cell r="F477" t="str">
            <v>Grade 4.4</v>
          </cell>
          <cell r="G477" t="str">
            <v>Certified</v>
          </cell>
          <cell r="H477" t="str">
            <v>Yes</v>
          </cell>
          <cell r="I477" t="str">
            <v>No</v>
          </cell>
          <cell r="J477">
            <v>45622</v>
          </cell>
          <cell r="K477" t="str">
            <v>Yes</v>
          </cell>
          <cell r="L477">
            <v>44054</v>
          </cell>
          <cell r="M477">
            <v>235</v>
          </cell>
          <cell r="N477">
            <v>285</v>
          </cell>
          <cell r="O477">
            <v>14744.814453125</v>
          </cell>
          <cell r="P477">
            <v>11069.4193024874</v>
          </cell>
          <cell r="Q477">
            <v>15237.3232421875</v>
          </cell>
        </row>
        <row r="478">
          <cell r="A478" t="str">
            <v>3C4PDDEG9HT620408</v>
          </cell>
          <cell r="B478">
            <v>2017</v>
          </cell>
          <cell r="C478" t="str">
            <v>DODGE</v>
          </cell>
          <cell r="D478" t="str">
            <v>JOURNEY</v>
          </cell>
          <cell r="E478">
            <v>77603</v>
          </cell>
          <cell r="F478" t="str">
            <v>Grade 4.0</v>
          </cell>
          <cell r="G478" t="str">
            <v>Certified</v>
          </cell>
          <cell r="H478" t="str">
            <v>Yes</v>
          </cell>
          <cell r="I478" t="str">
            <v>No</v>
          </cell>
          <cell r="J478">
            <v>45706</v>
          </cell>
          <cell r="K478" t="str">
            <v>Yes</v>
          </cell>
          <cell r="L478">
            <v>44054</v>
          </cell>
          <cell r="M478">
            <v>235</v>
          </cell>
          <cell r="N478">
            <v>285</v>
          </cell>
          <cell r="O478">
            <v>12424.9794921875</v>
          </cell>
          <cell r="P478">
            <v>9911.8607829833018</v>
          </cell>
          <cell r="Q478">
            <v>12731.189453125</v>
          </cell>
        </row>
        <row r="479">
          <cell r="A479" t="str">
            <v>3CZRU6H77JM707377</v>
          </cell>
          <cell r="B479">
            <v>2018</v>
          </cell>
          <cell r="C479" t="str">
            <v>HONDA</v>
          </cell>
          <cell r="D479" t="str">
            <v>HR-V</v>
          </cell>
          <cell r="E479">
            <v>68345</v>
          </cell>
          <cell r="F479" t="str">
            <v>Grade 3.6</v>
          </cell>
          <cell r="G479" t="str">
            <v>Certified</v>
          </cell>
          <cell r="H479" t="str">
            <v>Yes</v>
          </cell>
          <cell r="I479" t="str">
            <v>No</v>
          </cell>
          <cell r="J479">
            <v>45692</v>
          </cell>
          <cell r="K479" t="str">
            <v>Yes</v>
          </cell>
          <cell r="L479">
            <v>44054</v>
          </cell>
          <cell r="M479">
            <v>235</v>
          </cell>
          <cell r="N479">
            <v>285</v>
          </cell>
          <cell r="O479">
            <v>11406.82421875</v>
          </cell>
          <cell r="P479">
            <v>10435.93059682264</v>
          </cell>
          <cell r="Q479">
            <v>11462.9462890625</v>
          </cell>
        </row>
        <row r="480">
          <cell r="A480" t="str">
            <v>3FA6P0K97ER314694</v>
          </cell>
          <cell r="B480">
            <v>2014</v>
          </cell>
          <cell r="C480" t="str">
            <v>FORD</v>
          </cell>
          <cell r="D480" t="str">
            <v>FUSION</v>
          </cell>
          <cell r="E480">
            <v>140920</v>
          </cell>
          <cell r="F480" t="str">
            <v>Grade 1.6</v>
          </cell>
          <cell r="G480" t="str">
            <v>Red Light</v>
          </cell>
          <cell r="H480" t="str">
            <v>No</v>
          </cell>
          <cell r="I480" t="str">
            <v>Yes</v>
          </cell>
          <cell r="J480">
            <v>45510</v>
          </cell>
          <cell r="K480" t="str">
            <v>Yes</v>
          </cell>
          <cell r="L480">
            <v>44054</v>
          </cell>
          <cell r="M480">
            <v>235</v>
          </cell>
          <cell r="N480">
            <v>285</v>
          </cell>
          <cell r="O480">
            <v>2007.865112304688</v>
          </cell>
          <cell r="P480">
            <v>9066.2040941438045</v>
          </cell>
          <cell r="Q480">
            <v>1926.197143554688</v>
          </cell>
        </row>
        <row r="481">
          <cell r="A481" t="str">
            <v>3GNAXHEV4LS555072</v>
          </cell>
          <cell r="B481">
            <v>2020</v>
          </cell>
          <cell r="C481" t="str">
            <v>CHEVROLET</v>
          </cell>
          <cell r="D481" t="str">
            <v>EQUINOX</v>
          </cell>
          <cell r="E481">
            <v>71917</v>
          </cell>
          <cell r="F481" t="str">
            <v>Grade 4.2</v>
          </cell>
          <cell r="G481" t="str">
            <v>Green Light</v>
          </cell>
          <cell r="H481" t="str">
            <v>Yes</v>
          </cell>
          <cell r="I481" t="str">
            <v>No</v>
          </cell>
          <cell r="J481">
            <v>45664</v>
          </cell>
          <cell r="K481" t="str">
            <v>Yes</v>
          </cell>
          <cell r="L481">
            <v>44054</v>
          </cell>
          <cell r="M481">
            <v>235</v>
          </cell>
          <cell r="N481">
            <v>285</v>
          </cell>
          <cell r="O481">
            <v>13033.193359375</v>
          </cell>
          <cell r="P481">
            <v>11827.978521104231</v>
          </cell>
          <cell r="Q481">
            <v>13033.455078125</v>
          </cell>
        </row>
        <row r="482">
          <cell r="A482" t="str">
            <v>3GYFNAE36CS617267</v>
          </cell>
          <cell r="B482">
            <v>2012</v>
          </cell>
          <cell r="C482" t="str">
            <v>CADILLAC</v>
          </cell>
          <cell r="D482" t="str">
            <v>SRX</v>
          </cell>
          <cell r="E482">
            <v>76930</v>
          </cell>
          <cell r="F482" t="str">
            <v>Grade 2.2</v>
          </cell>
          <cell r="G482" t="str">
            <v>Red Light</v>
          </cell>
          <cell r="H482" t="str">
            <v>No</v>
          </cell>
          <cell r="I482" t="str">
            <v>Yes</v>
          </cell>
          <cell r="J482">
            <v>45412</v>
          </cell>
          <cell r="K482" t="str">
            <v>Yes</v>
          </cell>
          <cell r="L482">
            <v>44054</v>
          </cell>
          <cell r="M482">
            <v>235</v>
          </cell>
          <cell r="N482">
            <v>285</v>
          </cell>
          <cell r="O482">
            <v>3723.520751953125</v>
          </cell>
          <cell r="P482">
            <v>9184.2621245018727</v>
          </cell>
          <cell r="Q482">
            <v>3588.97705078125</v>
          </cell>
        </row>
        <row r="483">
          <cell r="A483" t="str">
            <v>3KPF54AD7ME280341</v>
          </cell>
          <cell r="B483">
            <v>2021</v>
          </cell>
          <cell r="C483" t="str">
            <v>KIA</v>
          </cell>
          <cell r="D483" t="str">
            <v>FORTE</v>
          </cell>
          <cell r="E483">
            <v>63474</v>
          </cell>
          <cell r="F483" t="str">
            <v>Grade 3.5</v>
          </cell>
          <cell r="G483" t="str">
            <v>Green Light</v>
          </cell>
          <cell r="H483" t="str">
            <v>Yes</v>
          </cell>
          <cell r="I483" t="str">
            <v>No</v>
          </cell>
          <cell r="J483">
            <v>45314</v>
          </cell>
          <cell r="K483" t="str">
            <v>Yes</v>
          </cell>
          <cell r="L483">
            <v>44054</v>
          </cell>
          <cell r="M483">
            <v>235</v>
          </cell>
          <cell r="N483">
            <v>285</v>
          </cell>
          <cell r="O483">
            <v>12340.041015625</v>
          </cell>
          <cell r="P483">
            <v>13264.431905900799</v>
          </cell>
          <cell r="Q483">
            <v>12301.90625</v>
          </cell>
        </row>
        <row r="484">
          <cell r="A484" t="str">
            <v>3LN6L2J96ER821245</v>
          </cell>
          <cell r="B484">
            <v>2014</v>
          </cell>
          <cell r="C484" t="str">
            <v>LINCOLN</v>
          </cell>
          <cell r="D484" t="str">
            <v>MKZ AWD 4C</v>
          </cell>
          <cell r="E484">
            <v>172541</v>
          </cell>
          <cell r="F484" t="str">
            <v>Grade 2.4</v>
          </cell>
          <cell r="G484" t="str">
            <v>Red Light</v>
          </cell>
          <cell r="H484" t="str">
            <v>No</v>
          </cell>
          <cell r="I484" t="str">
            <v>Yes</v>
          </cell>
          <cell r="J484">
            <v>45603</v>
          </cell>
          <cell r="K484" t="str">
            <v>Yes</v>
          </cell>
          <cell r="L484">
            <v>44054</v>
          </cell>
          <cell r="M484">
            <v>235</v>
          </cell>
          <cell r="N484">
            <v>285</v>
          </cell>
          <cell r="O484">
            <v>1832.302368164062</v>
          </cell>
          <cell r="P484">
            <v>9160.0050500885336</v>
          </cell>
          <cell r="Q484">
            <v>1755.131225585938</v>
          </cell>
        </row>
        <row r="485">
          <cell r="A485" t="str">
            <v>3LN6L2LU3GR615689</v>
          </cell>
          <cell r="B485">
            <v>2016</v>
          </cell>
          <cell r="C485" t="str">
            <v>LINCOLN</v>
          </cell>
          <cell r="D485" t="str">
            <v>MKZ HYBRID</v>
          </cell>
          <cell r="E485">
            <v>190753</v>
          </cell>
          <cell r="F485" t="str">
            <v>Grade 1.6</v>
          </cell>
          <cell r="G485" t="str">
            <v>Red Light</v>
          </cell>
          <cell r="H485" t="str">
            <v>No</v>
          </cell>
          <cell r="I485" t="str">
            <v>Yes</v>
          </cell>
          <cell r="J485">
            <v>45664</v>
          </cell>
          <cell r="K485" t="str">
            <v>Yes</v>
          </cell>
          <cell r="L485">
            <v>44054</v>
          </cell>
          <cell r="M485">
            <v>235</v>
          </cell>
          <cell r="N485">
            <v>285</v>
          </cell>
          <cell r="O485">
            <v>1921.542602539062</v>
          </cell>
          <cell r="P485">
            <v>9188.0755034387184</v>
          </cell>
          <cell r="Q485">
            <v>1785.74853515625</v>
          </cell>
        </row>
        <row r="486">
          <cell r="A486" t="str">
            <v>4S3GKAA69K3610062</v>
          </cell>
          <cell r="B486">
            <v>2019</v>
          </cell>
          <cell r="C486" t="str">
            <v>SUBARU</v>
          </cell>
          <cell r="D486" t="str">
            <v>IMPREZA</v>
          </cell>
          <cell r="E486">
            <v>60471</v>
          </cell>
          <cell r="F486" t="str">
            <v>Grade 1.3</v>
          </cell>
          <cell r="G486" t="str">
            <v>Red Light</v>
          </cell>
          <cell r="H486" t="str">
            <v>No</v>
          </cell>
          <cell r="I486" t="str">
            <v>Yes</v>
          </cell>
          <cell r="J486">
            <v>45496</v>
          </cell>
          <cell r="K486" t="str">
            <v>Yes</v>
          </cell>
          <cell r="L486">
            <v>44054</v>
          </cell>
          <cell r="M486">
            <v>235</v>
          </cell>
          <cell r="N486">
            <v>285</v>
          </cell>
          <cell r="O486">
            <v>6484.07861328125</v>
          </cell>
          <cell r="P486">
            <v>11251.397290928569</v>
          </cell>
          <cell r="Q486">
            <v>6084.47021484375</v>
          </cell>
        </row>
        <row r="487">
          <cell r="A487" t="str">
            <v>JM1GJ1U52F1204812</v>
          </cell>
          <cell r="B487">
            <v>2015</v>
          </cell>
          <cell r="C487" t="str">
            <v>MAZDA</v>
          </cell>
          <cell r="D487" t="str">
            <v>MAZDA6</v>
          </cell>
          <cell r="E487">
            <v>70025</v>
          </cell>
          <cell r="F487" t="str">
            <v>Grade 2.2</v>
          </cell>
          <cell r="G487" t="str">
            <v>Green Light</v>
          </cell>
          <cell r="H487" t="str">
            <v>Yes</v>
          </cell>
          <cell r="I487" t="str">
            <v>No</v>
          </cell>
          <cell r="J487">
            <v>45365</v>
          </cell>
          <cell r="K487" t="str">
            <v>Yes</v>
          </cell>
          <cell r="L487">
            <v>44054</v>
          </cell>
          <cell r="M487">
            <v>235</v>
          </cell>
          <cell r="N487">
            <v>285</v>
          </cell>
          <cell r="O487">
            <v>4404.2509765625</v>
          </cell>
          <cell r="P487">
            <v>9458.8672811137621</v>
          </cell>
          <cell r="Q487">
            <v>4499.12060546875</v>
          </cell>
        </row>
        <row r="488">
          <cell r="A488" t="str">
            <v>JN1BY1AR9DM603891</v>
          </cell>
          <cell r="B488">
            <v>2013</v>
          </cell>
          <cell r="C488" t="str">
            <v>INFINITI</v>
          </cell>
          <cell r="D488" t="str">
            <v>M37X</v>
          </cell>
          <cell r="E488">
            <v>119816</v>
          </cell>
          <cell r="F488" t="str">
            <v>Grade 3.0</v>
          </cell>
          <cell r="G488" t="str">
            <v>Green Light</v>
          </cell>
          <cell r="H488" t="str">
            <v>Yes</v>
          </cell>
          <cell r="I488" t="str">
            <v>No</v>
          </cell>
          <cell r="J488">
            <v>45328</v>
          </cell>
          <cell r="K488" t="str">
            <v>Yes</v>
          </cell>
          <cell r="L488">
            <v>44054</v>
          </cell>
          <cell r="M488">
            <v>235</v>
          </cell>
          <cell r="N488">
            <v>285</v>
          </cell>
          <cell r="O488">
            <v>5270.814453125</v>
          </cell>
          <cell r="P488">
            <v>9034.6404476011576</v>
          </cell>
          <cell r="Q488">
            <v>5325.609375</v>
          </cell>
        </row>
        <row r="489">
          <cell r="A489" t="str">
            <v>JTNKARJE4GJ508198</v>
          </cell>
          <cell r="B489">
            <v>2016</v>
          </cell>
          <cell r="C489" t="str">
            <v>SCION</v>
          </cell>
          <cell r="D489" t="str">
            <v>IM</v>
          </cell>
          <cell r="E489">
            <v>95484</v>
          </cell>
          <cell r="F489" t="str">
            <v>Grade 2.6</v>
          </cell>
          <cell r="G489" t="str">
            <v>Green Light</v>
          </cell>
          <cell r="H489" t="str">
            <v>Yes</v>
          </cell>
          <cell r="I489" t="str">
            <v>No</v>
          </cell>
          <cell r="J489">
            <v>45538</v>
          </cell>
          <cell r="K489" t="str">
            <v>Yes</v>
          </cell>
          <cell r="L489">
            <v>44054</v>
          </cell>
          <cell r="M489">
            <v>235</v>
          </cell>
          <cell r="N489">
            <v>285</v>
          </cell>
          <cell r="O489">
            <v>4173.91015625</v>
          </cell>
          <cell r="P489">
            <v>9143.339852774985</v>
          </cell>
          <cell r="Q489">
            <v>4010.5322265625</v>
          </cell>
        </row>
        <row r="490">
          <cell r="A490" t="str">
            <v>KL7CJKSB9FB236936</v>
          </cell>
          <cell r="B490">
            <v>2015</v>
          </cell>
          <cell r="C490" t="str">
            <v>CHEVROLET</v>
          </cell>
          <cell r="D490" t="str">
            <v>TRAX FWD</v>
          </cell>
          <cell r="E490">
            <v>187904</v>
          </cell>
          <cell r="F490" t="str">
            <v>Grade 1.5</v>
          </cell>
          <cell r="G490" t="str">
            <v>Red Light</v>
          </cell>
          <cell r="H490" t="str">
            <v>No</v>
          </cell>
          <cell r="I490" t="str">
            <v>Yes</v>
          </cell>
          <cell r="J490">
            <v>45421</v>
          </cell>
          <cell r="K490" t="str">
            <v>Yes</v>
          </cell>
          <cell r="L490">
            <v>44054</v>
          </cell>
          <cell r="M490">
            <v>235</v>
          </cell>
          <cell r="N490">
            <v>285</v>
          </cell>
          <cell r="O490">
            <v>2100.10302734375</v>
          </cell>
          <cell r="P490">
            <v>9306.6183015724837</v>
          </cell>
          <cell r="Q490">
            <v>2082.649169921875</v>
          </cell>
        </row>
        <row r="491">
          <cell r="A491" t="str">
            <v>KL7CJLSB6KB961801</v>
          </cell>
          <cell r="B491">
            <v>2019</v>
          </cell>
          <cell r="C491" t="str">
            <v>CHEVROLET</v>
          </cell>
          <cell r="D491" t="str">
            <v>TRAX</v>
          </cell>
          <cell r="E491">
            <v>114876</v>
          </cell>
          <cell r="F491" t="str">
            <v>Grade 1.3</v>
          </cell>
          <cell r="G491" t="str">
            <v>Red Light</v>
          </cell>
          <cell r="H491" t="str">
            <v>No</v>
          </cell>
          <cell r="I491" t="str">
            <v>Yes</v>
          </cell>
          <cell r="J491">
            <v>45468</v>
          </cell>
          <cell r="K491" t="str">
            <v>Yes</v>
          </cell>
          <cell r="L491">
            <v>44054</v>
          </cell>
          <cell r="M491">
            <v>235</v>
          </cell>
          <cell r="N491">
            <v>285</v>
          </cell>
          <cell r="O491">
            <v>3056.78466796875</v>
          </cell>
          <cell r="P491">
            <v>9415.545152053226</v>
          </cell>
          <cell r="Q491">
            <v>3022.21435546875</v>
          </cell>
        </row>
        <row r="492">
          <cell r="A492" t="str">
            <v>KNADN4A3XG6642944</v>
          </cell>
          <cell r="B492">
            <v>2016</v>
          </cell>
          <cell r="C492" t="str">
            <v>KIA</v>
          </cell>
          <cell r="D492" t="str">
            <v>RIO</v>
          </cell>
          <cell r="E492">
            <v>80628</v>
          </cell>
          <cell r="F492" t="str">
            <v>Grade 3.3</v>
          </cell>
          <cell r="G492" t="str">
            <v>Green Light</v>
          </cell>
          <cell r="H492" t="str">
            <v>Yes</v>
          </cell>
          <cell r="I492" t="str">
            <v>No</v>
          </cell>
          <cell r="J492">
            <v>45314</v>
          </cell>
          <cell r="K492" t="str">
            <v>Yes</v>
          </cell>
          <cell r="L492">
            <v>44054</v>
          </cell>
          <cell r="M492">
            <v>235</v>
          </cell>
          <cell r="N492">
            <v>285</v>
          </cell>
          <cell r="O492">
            <v>5459.39892578125</v>
          </cell>
          <cell r="P492">
            <v>8912.0377618539787</v>
          </cell>
          <cell r="Q492">
            <v>5436.36328125</v>
          </cell>
        </row>
        <row r="493">
          <cell r="A493" t="str">
            <v>KNDPM3AC2H7069661</v>
          </cell>
          <cell r="B493">
            <v>2017</v>
          </cell>
          <cell r="C493" t="str">
            <v>KIA</v>
          </cell>
          <cell r="D493" t="str">
            <v>SPORTAGE</v>
          </cell>
          <cell r="E493">
            <v>79887</v>
          </cell>
          <cell r="F493" t="str">
            <v>Grade 4.1</v>
          </cell>
          <cell r="G493" t="str">
            <v>Certified</v>
          </cell>
          <cell r="H493" t="str">
            <v>Yes</v>
          </cell>
          <cell r="I493" t="str">
            <v>No</v>
          </cell>
          <cell r="J493">
            <v>45440</v>
          </cell>
          <cell r="K493" t="str">
            <v>Yes</v>
          </cell>
          <cell r="L493">
            <v>44054</v>
          </cell>
          <cell r="M493">
            <v>235</v>
          </cell>
          <cell r="N493">
            <v>285</v>
          </cell>
          <cell r="O493">
            <v>9751.048828125</v>
          </cell>
          <cell r="P493">
            <v>9829.589018867413</v>
          </cell>
          <cell r="Q493">
            <v>9792.83203125</v>
          </cell>
        </row>
        <row r="494">
          <cell r="A494" t="str">
            <v>WDDLJ7DB5FA152976</v>
          </cell>
          <cell r="B494">
            <v>2015</v>
          </cell>
          <cell r="C494" t="str">
            <v>MERCEDES-BENZ</v>
          </cell>
          <cell r="D494" t="str">
            <v>CLS 550</v>
          </cell>
          <cell r="E494">
            <v>38534</v>
          </cell>
          <cell r="F494" t="str">
            <v>Grade 2.5</v>
          </cell>
          <cell r="G494" t="str">
            <v>Green/Yellow</v>
          </cell>
          <cell r="H494" t="str">
            <v>Yes</v>
          </cell>
          <cell r="I494" t="str">
            <v>No</v>
          </cell>
          <cell r="J494">
            <v>45678</v>
          </cell>
          <cell r="K494" t="str">
            <v>Yes</v>
          </cell>
          <cell r="L494">
            <v>44054</v>
          </cell>
          <cell r="M494">
            <v>235</v>
          </cell>
          <cell r="N494">
            <v>285</v>
          </cell>
          <cell r="O494">
            <v>12000.78515625</v>
          </cell>
          <cell r="P494">
            <v>12446.31242323725</v>
          </cell>
          <cell r="Q494">
            <v>11980.67578125</v>
          </cell>
        </row>
        <row r="495">
          <cell r="A495" t="str">
            <v>WVGBV7AX1CW608363</v>
          </cell>
          <cell r="B495">
            <v>2012</v>
          </cell>
          <cell r="C495" t="str">
            <v>VOLKSWAGEN</v>
          </cell>
          <cell r="D495" t="str">
            <v>TIGUAN</v>
          </cell>
          <cell r="E495">
            <v>87604</v>
          </cell>
          <cell r="F495" t="str">
            <v>Grade 4.7</v>
          </cell>
          <cell r="G495" t="str">
            <v>Certified</v>
          </cell>
          <cell r="H495" t="str">
            <v>Yes</v>
          </cell>
          <cell r="I495" t="str">
            <v>No</v>
          </cell>
          <cell r="J495">
            <v>45594</v>
          </cell>
          <cell r="K495" t="str">
            <v>Yes</v>
          </cell>
          <cell r="L495">
            <v>44054</v>
          </cell>
          <cell r="M495">
            <v>235</v>
          </cell>
          <cell r="N495">
            <v>285</v>
          </cell>
          <cell r="O495">
            <v>4873.599609375</v>
          </cell>
          <cell r="P495">
            <v>9829.5335764666215</v>
          </cell>
          <cell r="Q495">
            <v>4913.08251953125</v>
          </cell>
        </row>
        <row r="496">
          <cell r="A496" t="str">
            <v>19XFC2F62KE028904</v>
          </cell>
          <cell r="B496">
            <v>2019</v>
          </cell>
          <cell r="C496" t="str">
            <v>HONDA</v>
          </cell>
          <cell r="D496" t="str">
            <v>CIVIC</v>
          </cell>
          <cell r="E496">
            <v>41214</v>
          </cell>
          <cell r="F496" t="str">
            <v>Grade 2.9</v>
          </cell>
          <cell r="G496" t="str">
            <v>Green Light</v>
          </cell>
          <cell r="H496" t="str">
            <v>Yes</v>
          </cell>
          <cell r="I496" t="str">
            <v>No</v>
          </cell>
          <cell r="J496">
            <v>45454</v>
          </cell>
          <cell r="K496" t="str">
            <v>Yes</v>
          </cell>
          <cell r="L496">
            <v>44067</v>
          </cell>
          <cell r="M496">
            <v>235</v>
          </cell>
          <cell r="N496">
            <v>285</v>
          </cell>
          <cell r="O496">
            <v>9294.8408203125</v>
          </cell>
          <cell r="P496">
            <v>11393.16749477369</v>
          </cell>
          <cell r="Q496">
            <v>9219.1015625</v>
          </cell>
        </row>
        <row r="497">
          <cell r="A497" t="str">
            <v>1C3CCCAB3FN622906</v>
          </cell>
          <cell r="B497">
            <v>2015</v>
          </cell>
          <cell r="C497" t="str">
            <v>CHRYSLER</v>
          </cell>
          <cell r="D497">
            <v>200</v>
          </cell>
          <cell r="E497">
            <v>61226</v>
          </cell>
          <cell r="F497" t="str">
            <v>Grade 3.9</v>
          </cell>
          <cell r="G497" t="str">
            <v>Certified</v>
          </cell>
          <cell r="H497" t="str">
            <v>Yes</v>
          </cell>
          <cell r="I497" t="str">
            <v>No</v>
          </cell>
          <cell r="J497">
            <v>45482</v>
          </cell>
          <cell r="K497" t="str">
            <v>Yes</v>
          </cell>
          <cell r="L497">
            <v>44067</v>
          </cell>
          <cell r="M497">
            <v>235</v>
          </cell>
          <cell r="N497">
            <v>285</v>
          </cell>
          <cell r="O497">
            <v>9989.4345703125</v>
          </cell>
          <cell r="P497">
            <v>11731.12903455768</v>
          </cell>
          <cell r="Q497">
            <v>9628.126953125</v>
          </cell>
        </row>
        <row r="498">
          <cell r="A498" t="str">
            <v>1C3CCCAB5GN183595</v>
          </cell>
          <cell r="B498">
            <v>2016</v>
          </cell>
          <cell r="C498" t="str">
            <v>CHRYSLER</v>
          </cell>
          <cell r="D498">
            <v>200</v>
          </cell>
          <cell r="E498">
            <v>68372</v>
          </cell>
          <cell r="F498" t="str">
            <v>Grade 4.1</v>
          </cell>
          <cell r="G498" t="str">
            <v>Certified</v>
          </cell>
          <cell r="H498" t="str">
            <v>Yes</v>
          </cell>
          <cell r="I498" t="str">
            <v>No</v>
          </cell>
          <cell r="J498">
            <v>45314</v>
          </cell>
          <cell r="K498" t="str">
            <v>Yes</v>
          </cell>
          <cell r="L498">
            <v>44067</v>
          </cell>
          <cell r="M498">
            <v>235</v>
          </cell>
          <cell r="N498">
            <v>285</v>
          </cell>
          <cell r="O498">
            <v>11515.4765625</v>
          </cell>
          <cell r="P498">
            <v>10179.008117498321</v>
          </cell>
          <cell r="Q498">
            <v>11499.353515625</v>
          </cell>
        </row>
        <row r="499">
          <cell r="A499" t="str">
            <v>1C3CCCAB6FN504414</v>
          </cell>
          <cell r="B499">
            <v>2015</v>
          </cell>
          <cell r="C499" t="str">
            <v>CHRYSLER</v>
          </cell>
          <cell r="D499">
            <v>200</v>
          </cell>
          <cell r="E499">
            <v>148141</v>
          </cell>
          <cell r="F499" t="str">
            <v>Grade 1.8</v>
          </cell>
          <cell r="G499" t="str">
            <v>Inoperable</v>
          </cell>
          <cell r="H499" t="str">
            <v>No</v>
          </cell>
          <cell r="I499" t="str">
            <v>Yes</v>
          </cell>
          <cell r="J499">
            <v>45580</v>
          </cell>
          <cell r="K499" t="str">
            <v>Yes</v>
          </cell>
          <cell r="L499">
            <v>44067</v>
          </cell>
          <cell r="M499">
            <v>235</v>
          </cell>
          <cell r="N499">
            <v>285</v>
          </cell>
          <cell r="O499">
            <v>1204.5166015625</v>
          </cell>
          <cell r="P499">
            <v>8792.2673708379898</v>
          </cell>
          <cell r="Q499">
            <v>1281.388061523438</v>
          </cell>
        </row>
        <row r="500">
          <cell r="A500" t="str">
            <v>1C3CCCBB4FN721622</v>
          </cell>
          <cell r="B500">
            <v>2015</v>
          </cell>
          <cell r="C500" t="str">
            <v>CHRYSLER</v>
          </cell>
          <cell r="D500">
            <v>200</v>
          </cell>
          <cell r="E500">
            <v>92219</v>
          </cell>
          <cell r="F500" t="str">
            <v>Grade 2.9</v>
          </cell>
          <cell r="G500" t="str">
            <v>Green Light</v>
          </cell>
          <cell r="H500" t="str">
            <v>Yes</v>
          </cell>
          <cell r="I500" t="str">
            <v>No</v>
          </cell>
          <cell r="J500">
            <v>45342</v>
          </cell>
          <cell r="K500" t="str">
            <v>Yes</v>
          </cell>
          <cell r="L500">
            <v>44067</v>
          </cell>
          <cell r="M500">
            <v>235</v>
          </cell>
          <cell r="N500">
            <v>285</v>
          </cell>
          <cell r="O500">
            <v>3107.82763671875</v>
          </cell>
          <cell r="P500">
            <v>9159.5236117244458</v>
          </cell>
          <cell r="Q500">
            <v>2955.51025390625</v>
          </cell>
        </row>
        <row r="501">
          <cell r="A501" t="str">
            <v>1C3CDZBG0CN312864</v>
          </cell>
          <cell r="B501">
            <v>2012</v>
          </cell>
          <cell r="C501" t="str">
            <v>DODGE</v>
          </cell>
          <cell r="D501" t="str">
            <v>AVENGER V6</v>
          </cell>
          <cell r="E501">
            <v>123839</v>
          </cell>
          <cell r="F501" t="str">
            <v>Grade 1.9</v>
          </cell>
          <cell r="G501" t="str">
            <v>Red Light</v>
          </cell>
          <cell r="H501" t="str">
            <v>No</v>
          </cell>
          <cell r="I501" t="str">
            <v>Yes</v>
          </cell>
          <cell r="J501">
            <v>45610</v>
          </cell>
          <cell r="K501" t="str">
            <v>Yes</v>
          </cell>
          <cell r="L501">
            <v>44067</v>
          </cell>
          <cell r="M501">
            <v>235</v>
          </cell>
          <cell r="N501">
            <v>285</v>
          </cell>
          <cell r="O501">
            <v>1747.710205078125</v>
          </cell>
          <cell r="P501">
            <v>8886.932034099882</v>
          </cell>
          <cell r="Q501">
            <v>1710.525390625</v>
          </cell>
        </row>
        <row r="502">
          <cell r="A502" t="str">
            <v>1C4NJPBA1GD514203</v>
          </cell>
          <cell r="B502">
            <v>2016</v>
          </cell>
          <cell r="C502" t="str">
            <v>JEEP</v>
          </cell>
          <cell r="D502" t="str">
            <v>PATRIOT FWD 4C</v>
          </cell>
          <cell r="E502">
            <v>134209</v>
          </cell>
          <cell r="F502" t="str">
            <v>Grade 2.4</v>
          </cell>
          <cell r="G502" t="str">
            <v>Red Light</v>
          </cell>
          <cell r="H502" t="str">
            <v>No</v>
          </cell>
          <cell r="I502" t="str">
            <v>Yes</v>
          </cell>
          <cell r="J502">
            <v>45729</v>
          </cell>
          <cell r="K502" t="str">
            <v>Yes</v>
          </cell>
          <cell r="L502">
            <v>44067</v>
          </cell>
          <cell r="M502">
            <v>235</v>
          </cell>
          <cell r="N502">
            <v>285</v>
          </cell>
          <cell r="O502">
            <v>2565.341064453125</v>
          </cell>
          <cell r="P502">
            <v>9146.1040235817454</v>
          </cell>
          <cell r="Q502">
            <v>2395.5732421875</v>
          </cell>
        </row>
        <row r="503">
          <cell r="A503" t="str">
            <v>1C4NJPFA8HD137946</v>
          </cell>
          <cell r="B503">
            <v>2017</v>
          </cell>
          <cell r="C503" t="str">
            <v>JEEP</v>
          </cell>
          <cell r="D503" t="str">
            <v>PATRIOT FWD 4C</v>
          </cell>
          <cell r="E503">
            <v>90130</v>
          </cell>
          <cell r="F503" t="str">
            <v>Grade 2.6</v>
          </cell>
          <cell r="G503" t="str">
            <v>Red Light</v>
          </cell>
          <cell r="H503" t="str">
            <v>No</v>
          </cell>
          <cell r="I503" t="str">
            <v>Yes</v>
          </cell>
          <cell r="J503">
            <v>45645</v>
          </cell>
          <cell r="K503" t="str">
            <v>Yes</v>
          </cell>
          <cell r="L503">
            <v>44067</v>
          </cell>
          <cell r="M503">
            <v>235</v>
          </cell>
          <cell r="N503">
            <v>285</v>
          </cell>
          <cell r="O503">
            <v>4915.173828125</v>
          </cell>
          <cell r="P503">
            <v>9509.815242209901</v>
          </cell>
          <cell r="Q503">
            <v>4901.34814453125</v>
          </cell>
        </row>
        <row r="504">
          <cell r="A504" t="str">
            <v>1C4NJRFB2GD627771</v>
          </cell>
          <cell r="B504">
            <v>2016</v>
          </cell>
          <cell r="C504" t="str">
            <v>JEEP</v>
          </cell>
          <cell r="D504" t="str">
            <v>PATRIOT</v>
          </cell>
          <cell r="E504">
            <v>82970</v>
          </cell>
          <cell r="F504" t="str">
            <v>Grade 3.7</v>
          </cell>
          <cell r="G504" t="str">
            <v>Green Light</v>
          </cell>
          <cell r="H504" t="str">
            <v>Yes</v>
          </cell>
          <cell r="I504" t="str">
            <v>No</v>
          </cell>
          <cell r="J504">
            <v>45356</v>
          </cell>
          <cell r="K504" t="str">
            <v>Yes</v>
          </cell>
          <cell r="L504">
            <v>44067</v>
          </cell>
          <cell r="M504">
            <v>235</v>
          </cell>
          <cell r="N504">
            <v>285</v>
          </cell>
          <cell r="O504">
            <v>9580.1318359375</v>
          </cell>
          <cell r="P504">
            <v>10186.15575900867</v>
          </cell>
          <cell r="Q504">
            <v>9722.689453125</v>
          </cell>
        </row>
        <row r="505">
          <cell r="A505" t="str">
            <v>1C4PJLAB1FW617314</v>
          </cell>
          <cell r="B505">
            <v>2015</v>
          </cell>
          <cell r="C505" t="str">
            <v>JEEP</v>
          </cell>
          <cell r="D505" t="str">
            <v>CHEROKEE</v>
          </cell>
          <cell r="E505">
            <v>94760</v>
          </cell>
          <cell r="F505" t="str">
            <v>Grade 2.0</v>
          </cell>
          <cell r="G505" t="str">
            <v>Red Light</v>
          </cell>
          <cell r="H505" t="str">
            <v>No</v>
          </cell>
          <cell r="I505" t="str">
            <v>Yes</v>
          </cell>
          <cell r="J505">
            <v>45580</v>
          </cell>
          <cell r="K505" t="str">
            <v>Yes</v>
          </cell>
          <cell r="L505">
            <v>44067</v>
          </cell>
          <cell r="M505">
            <v>235</v>
          </cell>
          <cell r="N505">
            <v>285</v>
          </cell>
          <cell r="O505">
            <v>3752.6103515625</v>
          </cell>
          <cell r="P505">
            <v>9340.0101832902474</v>
          </cell>
          <cell r="Q505">
            <v>3597.75048828125</v>
          </cell>
        </row>
        <row r="506">
          <cell r="A506" t="str">
            <v>1C4PJLCB9LD648735</v>
          </cell>
          <cell r="B506">
            <v>2020</v>
          </cell>
          <cell r="C506" t="str">
            <v>JEEP</v>
          </cell>
          <cell r="D506" t="str">
            <v>CHEROKEE FWD 4C</v>
          </cell>
          <cell r="E506">
            <v>53789</v>
          </cell>
          <cell r="F506" t="str">
            <v>Grade 3.5</v>
          </cell>
          <cell r="G506" t="str">
            <v>Certified</v>
          </cell>
          <cell r="H506" t="str">
            <v>Yes</v>
          </cell>
          <cell r="I506" t="str">
            <v>No</v>
          </cell>
          <cell r="J506">
            <v>45610</v>
          </cell>
          <cell r="K506" t="str">
            <v>Yes</v>
          </cell>
          <cell r="L506">
            <v>44067</v>
          </cell>
          <cell r="M506">
            <v>235</v>
          </cell>
          <cell r="N506">
            <v>285</v>
          </cell>
          <cell r="O506">
            <v>16525.18359375</v>
          </cell>
          <cell r="P506">
            <v>13048.222071304541</v>
          </cell>
          <cell r="Q506">
            <v>16814.75390625</v>
          </cell>
        </row>
        <row r="507">
          <cell r="A507" t="str">
            <v>1FA6P0HD0E5396802</v>
          </cell>
          <cell r="B507">
            <v>2014</v>
          </cell>
          <cell r="C507" t="str">
            <v>FORD</v>
          </cell>
          <cell r="D507" t="str">
            <v>FUSION FWD 4C</v>
          </cell>
          <cell r="E507">
            <v>103896</v>
          </cell>
          <cell r="F507" t="str">
            <v>Grade 2.0</v>
          </cell>
          <cell r="G507" t="str">
            <v>Inoperable</v>
          </cell>
          <cell r="H507" t="str">
            <v>No</v>
          </cell>
          <cell r="I507" t="str">
            <v>Yes</v>
          </cell>
          <cell r="J507">
            <v>45666</v>
          </cell>
          <cell r="K507" t="str">
            <v>Yes</v>
          </cell>
          <cell r="L507">
            <v>44067</v>
          </cell>
          <cell r="M507">
            <v>235</v>
          </cell>
          <cell r="N507">
            <v>285</v>
          </cell>
          <cell r="O507">
            <v>2766.387939453125</v>
          </cell>
          <cell r="P507">
            <v>9191.0031059465873</v>
          </cell>
          <cell r="Q507">
            <v>2608.53466796875</v>
          </cell>
        </row>
        <row r="508">
          <cell r="A508" t="str">
            <v>1FAHP2F86FG108636</v>
          </cell>
          <cell r="B508">
            <v>2015</v>
          </cell>
          <cell r="C508" t="str">
            <v>FORD</v>
          </cell>
          <cell r="D508" t="str">
            <v>TAURUS FWD V6</v>
          </cell>
          <cell r="E508">
            <v>120452</v>
          </cell>
          <cell r="F508" t="str">
            <v>Grade 1.8</v>
          </cell>
          <cell r="G508" t="str">
            <v>Red Light</v>
          </cell>
          <cell r="H508" t="str">
            <v>No</v>
          </cell>
          <cell r="I508" t="str">
            <v>Yes</v>
          </cell>
          <cell r="J508">
            <v>45379</v>
          </cell>
          <cell r="K508" t="str">
            <v>Yes</v>
          </cell>
          <cell r="L508">
            <v>44067</v>
          </cell>
          <cell r="M508">
            <v>235</v>
          </cell>
          <cell r="N508">
            <v>285</v>
          </cell>
          <cell r="O508">
            <v>2878.308837890625</v>
          </cell>
          <cell r="P508">
            <v>9184.0555130922003</v>
          </cell>
          <cell r="Q508">
            <v>2700.09423828125</v>
          </cell>
        </row>
        <row r="509">
          <cell r="A509" t="str">
            <v>1FMCU0G99HUC56000</v>
          </cell>
          <cell r="B509">
            <v>2017</v>
          </cell>
          <cell r="C509" t="str">
            <v>FORD</v>
          </cell>
          <cell r="D509" t="str">
            <v>ESCAPE FWD 4C</v>
          </cell>
          <cell r="E509">
            <v>134370</v>
          </cell>
          <cell r="F509" t="str">
            <v>Grade 2.7</v>
          </cell>
          <cell r="G509" t="str">
            <v>Red Light</v>
          </cell>
          <cell r="H509" t="str">
            <v>No</v>
          </cell>
          <cell r="I509" t="str">
            <v>Yes</v>
          </cell>
          <cell r="J509">
            <v>45736</v>
          </cell>
          <cell r="K509" t="str">
            <v>Yes</v>
          </cell>
          <cell r="L509">
            <v>44067</v>
          </cell>
          <cell r="M509">
            <v>235</v>
          </cell>
          <cell r="N509">
            <v>285</v>
          </cell>
          <cell r="O509">
            <v>3030.191162109375</v>
          </cell>
          <cell r="P509">
            <v>9370.8700861595698</v>
          </cell>
          <cell r="Q509">
            <v>2926.04833984375</v>
          </cell>
        </row>
        <row r="510">
          <cell r="A510" t="str">
            <v>1FMCU0HX9DUD53026</v>
          </cell>
          <cell r="B510">
            <v>2013</v>
          </cell>
          <cell r="C510" t="str">
            <v>FORD</v>
          </cell>
          <cell r="D510" t="str">
            <v>ESCAPE</v>
          </cell>
          <cell r="E510">
            <v>79925</v>
          </cell>
          <cell r="F510" t="str">
            <v>Grade 2.2</v>
          </cell>
          <cell r="G510" t="str">
            <v>Red Light</v>
          </cell>
          <cell r="H510" t="str">
            <v>No</v>
          </cell>
          <cell r="I510" t="str">
            <v>Yes</v>
          </cell>
          <cell r="J510">
            <v>45664</v>
          </cell>
          <cell r="K510" t="str">
            <v>Yes</v>
          </cell>
          <cell r="L510">
            <v>44067</v>
          </cell>
          <cell r="M510">
            <v>235</v>
          </cell>
          <cell r="N510">
            <v>285</v>
          </cell>
          <cell r="O510">
            <v>2278.162109375</v>
          </cell>
          <cell r="P510">
            <v>9362.6924071530102</v>
          </cell>
          <cell r="Q510">
            <v>2233.980712890625</v>
          </cell>
        </row>
        <row r="511">
          <cell r="A511" t="str">
            <v>1FMCU9DGXCKB38114</v>
          </cell>
          <cell r="B511">
            <v>2012</v>
          </cell>
          <cell r="C511" t="str">
            <v>FORD</v>
          </cell>
          <cell r="D511" t="str">
            <v>ESCAPE 4WD</v>
          </cell>
          <cell r="E511">
            <v>141859</v>
          </cell>
          <cell r="F511" t="str">
            <v>Grade 1.0</v>
          </cell>
          <cell r="G511" t="str">
            <v>Inoperable</v>
          </cell>
          <cell r="H511" t="str">
            <v>No</v>
          </cell>
          <cell r="I511" t="str">
            <v>Yes</v>
          </cell>
          <cell r="J511">
            <v>45337</v>
          </cell>
          <cell r="K511" t="str">
            <v>Yes</v>
          </cell>
          <cell r="L511">
            <v>44067</v>
          </cell>
          <cell r="M511">
            <v>235</v>
          </cell>
          <cell r="N511">
            <v>285</v>
          </cell>
          <cell r="O511">
            <v>1952.824829101562</v>
          </cell>
          <cell r="P511">
            <v>9177.4537814904688</v>
          </cell>
          <cell r="Q511">
            <v>1892.78857421875</v>
          </cell>
        </row>
        <row r="512">
          <cell r="A512" t="str">
            <v>1FMCU9GD3HUA47618</v>
          </cell>
          <cell r="B512">
            <v>2017</v>
          </cell>
          <cell r="C512" t="str">
            <v>FORD</v>
          </cell>
          <cell r="D512" t="str">
            <v>ESCAPE 4X4 4C</v>
          </cell>
          <cell r="E512">
            <v>109352</v>
          </cell>
          <cell r="F512" t="str">
            <v>Grade 2.0</v>
          </cell>
          <cell r="G512" t="str">
            <v>Inoperable</v>
          </cell>
          <cell r="H512" t="str">
            <v>No</v>
          </cell>
          <cell r="I512" t="str">
            <v>Yes</v>
          </cell>
          <cell r="J512">
            <v>45393</v>
          </cell>
          <cell r="K512" t="str">
            <v>Yes</v>
          </cell>
          <cell r="L512">
            <v>44067</v>
          </cell>
          <cell r="M512">
            <v>235</v>
          </cell>
          <cell r="N512">
            <v>285</v>
          </cell>
          <cell r="O512">
            <v>4537.77978515625</v>
          </cell>
          <cell r="P512">
            <v>9214.7914438281314</v>
          </cell>
          <cell r="Q512">
            <v>4455.71044921875</v>
          </cell>
        </row>
        <row r="513">
          <cell r="A513" t="str">
            <v>1FMCU9GD3JUC20317</v>
          </cell>
          <cell r="B513">
            <v>2018</v>
          </cell>
          <cell r="C513" t="str">
            <v>FORD</v>
          </cell>
          <cell r="D513" t="str">
            <v>ESCAPE 4X4 4C</v>
          </cell>
          <cell r="E513">
            <v>106273</v>
          </cell>
          <cell r="F513" t="str">
            <v>Grade 4.5</v>
          </cell>
          <cell r="G513" t="str">
            <v>Certified</v>
          </cell>
          <cell r="H513" t="str">
            <v>Yes</v>
          </cell>
          <cell r="I513" t="str">
            <v>No</v>
          </cell>
          <cell r="J513">
            <v>45498</v>
          </cell>
          <cell r="K513" t="str">
            <v>Yes</v>
          </cell>
          <cell r="L513">
            <v>44067</v>
          </cell>
          <cell r="M513">
            <v>235</v>
          </cell>
          <cell r="N513">
            <v>285</v>
          </cell>
          <cell r="O513">
            <v>11466.59375</v>
          </cell>
          <cell r="P513">
            <v>10114.32667300815</v>
          </cell>
          <cell r="Q513">
            <v>11499.353515625</v>
          </cell>
        </row>
        <row r="514">
          <cell r="A514" t="str">
            <v>1FMJK1KT0HEA02076</v>
          </cell>
          <cell r="B514">
            <v>2017</v>
          </cell>
          <cell r="C514" t="str">
            <v>FORD</v>
          </cell>
          <cell r="D514" t="str">
            <v>EXPEDITION EL</v>
          </cell>
          <cell r="E514">
            <v>103740</v>
          </cell>
          <cell r="F514" t="str">
            <v>Grade 1.4</v>
          </cell>
          <cell r="G514" t="str">
            <v>Red Light</v>
          </cell>
          <cell r="H514" t="str">
            <v>No</v>
          </cell>
          <cell r="I514" t="str">
            <v>Yes</v>
          </cell>
          <cell r="J514">
            <v>45412</v>
          </cell>
          <cell r="K514" t="str">
            <v>Yes</v>
          </cell>
          <cell r="L514">
            <v>44067</v>
          </cell>
          <cell r="M514">
            <v>235</v>
          </cell>
          <cell r="N514">
            <v>285</v>
          </cell>
          <cell r="O514">
            <v>3937.343017578125</v>
          </cell>
          <cell r="P514">
            <v>9194.2647483014352</v>
          </cell>
          <cell r="Q514">
            <v>3857.52734375</v>
          </cell>
        </row>
        <row r="515">
          <cell r="A515" t="str">
            <v>1G1BE5SM1J7246550</v>
          </cell>
          <cell r="B515">
            <v>2018</v>
          </cell>
          <cell r="C515" t="str">
            <v>CHEVROLET</v>
          </cell>
          <cell r="D515" t="str">
            <v>CRUZE</v>
          </cell>
          <cell r="E515">
            <v>123820</v>
          </cell>
          <cell r="F515" t="str">
            <v>Grade 1.8</v>
          </cell>
          <cell r="G515" t="str">
            <v>Inoperable</v>
          </cell>
          <cell r="H515" t="str">
            <v>No</v>
          </cell>
          <cell r="I515" t="str">
            <v>Yes</v>
          </cell>
          <cell r="J515">
            <v>45596</v>
          </cell>
          <cell r="K515" t="str">
            <v>Yes</v>
          </cell>
          <cell r="L515">
            <v>44067</v>
          </cell>
          <cell r="M515">
            <v>235</v>
          </cell>
          <cell r="N515">
            <v>285</v>
          </cell>
          <cell r="O515">
            <v>3402.738037109375</v>
          </cell>
          <cell r="P515">
            <v>9311.9437338134649</v>
          </cell>
          <cell r="Q515">
            <v>3336.35888671875</v>
          </cell>
        </row>
        <row r="516">
          <cell r="A516" t="str">
            <v>1G1JA6SGXF4184386</v>
          </cell>
          <cell r="B516">
            <v>2015</v>
          </cell>
          <cell r="C516" t="str">
            <v>CHEVROLET</v>
          </cell>
          <cell r="D516" t="str">
            <v>SONIC</v>
          </cell>
          <cell r="E516">
            <v>156710</v>
          </cell>
          <cell r="F516" t="str">
            <v>Grade 2.3</v>
          </cell>
          <cell r="G516" t="str">
            <v>Red Light</v>
          </cell>
          <cell r="H516" t="str">
            <v>No</v>
          </cell>
          <cell r="I516" t="str">
            <v>Yes</v>
          </cell>
          <cell r="J516">
            <v>45568</v>
          </cell>
          <cell r="K516" t="str">
            <v>Yes</v>
          </cell>
          <cell r="L516">
            <v>44067</v>
          </cell>
          <cell r="M516">
            <v>235</v>
          </cell>
          <cell r="N516">
            <v>285</v>
          </cell>
          <cell r="O516">
            <v>2153.894775390625</v>
          </cell>
          <cell r="P516">
            <v>9194.4812679482766</v>
          </cell>
          <cell r="Q516">
            <v>2086.583740234375</v>
          </cell>
        </row>
        <row r="517">
          <cell r="A517" t="str">
            <v>1G1JE5SB0G4135427</v>
          </cell>
          <cell r="B517">
            <v>2016</v>
          </cell>
          <cell r="C517" t="str">
            <v>CHEVROLET</v>
          </cell>
          <cell r="D517" t="str">
            <v>SONIC</v>
          </cell>
          <cell r="E517">
            <v>89065</v>
          </cell>
          <cell r="F517" t="str">
            <v>Grade 2.7</v>
          </cell>
          <cell r="G517" t="str">
            <v>Green Light</v>
          </cell>
          <cell r="H517" t="str">
            <v>Yes</v>
          </cell>
          <cell r="I517" t="str">
            <v>No</v>
          </cell>
          <cell r="J517">
            <v>45449</v>
          </cell>
          <cell r="K517" t="str">
            <v>Yes</v>
          </cell>
          <cell r="L517">
            <v>44067</v>
          </cell>
          <cell r="M517">
            <v>235</v>
          </cell>
          <cell r="N517">
            <v>285</v>
          </cell>
          <cell r="O517">
            <v>4607.40087890625</v>
          </cell>
          <cell r="P517">
            <v>9472.5089224206658</v>
          </cell>
          <cell r="Q517">
            <v>4599.1796875</v>
          </cell>
        </row>
        <row r="518">
          <cell r="A518" t="str">
            <v>1G1PA5SG2F7101147</v>
          </cell>
          <cell r="B518">
            <v>2015</v>
          </cell>
          <cell r="C518" t="str">
            <v>CHEVROLET</v>
          </cell>
          <cell r="D518" t="str">
            <v>CRUZE</v>
          </cell>
          <cell r="E518">
            <v>69099</v>
          </cell>
          <cell r="F518" t="str">
            <v>Grade 2.0</v>
          </cell>
          <cell r="G518" t="str">
            <v>Red Light</v>
          </cell>
          <cell r="H518" t="str">
            <v>No</v>
          </cell>
          <cell r="I518" t="str">
            <v>Yes</v>
          </cell>
          <cell r="J518">
            <v>45323</v>
          </cell>
          <cell r="K518" t="str">
            <v>Yes</v>
          </cell>
          <cell r="L518">
            <v>44067</v>
          </cell>
          <cell r="M518">
            <v>235</v>
          </cell>
          <cell r="N518">
            <v>285</v>
          </cell>
          <cell r="O518">
            <v>4926.53125</v>
          </cell>
          <cell r="P518">
            <v>9728.9952369569164</v>
          </cell>
          <cell r="Q518">
            <v>4913.08251953125</v>
          </cell>
        </row>
        <row r="519">
          <cell r="A519" t="str">
            <v>1G1PF5SB5G7116216</v>
          </cell>
          <cell r="B519">
            <v>2016</v>
          </cell>
          <cell r="C519" t="str">
            <v>CHEVROLET</v>
          </cell>
          <cell r="D519" t="str">
            <v>CRUZE LIMITED</v>
          </cell>
          <cell r="E519">
            <v>85932</v>
          </cell>
          <cell r="F519" t="str">
            <v>Grade 1.4</v>
          </cell>
          <cell r="G519" t="str">
            <v>Inoperable</v>
          </cell>
          <cell r="H519" t="str">
            <v>No</v>
          </cell>
          <cell r="I519" t="str">
            <v>Yes</v>
          </cell>
          <cell r="J519">
            <v>45664</v>
          </cell>
          <cell r="K519" t="str">
            <v>Yes</v>
          </cell>
          <cell r="L519">
            <v>44067</v>
          </cell>
          <cell r="M519">
            <v>235</v>
          </cell>
          <cell r="N519">
            <v>285</v>
          </cell>
          <cell r="O519">
            <v>3916.809326171875</v>
          </cell>
          <cell r="P519">
            <v>9483.6972704725667</v>
          </cell>
          <cell r="Q519">
            <v>4033.81982421875</v>
          </cell>
        </row>
        <row r="520">
          <cell r="A520" t="str">
            <v>1G1ZB5ST2JF272479</v>
          </cell>
          <cell r="B520">
            <v>2018</v>
          </cell>
          <cell r="C520" t="str">
            <v>CHEVROLET</v>
          </cell>
          <cell r="D520" t="str">
            <v>MALIBU</v>
          </cell>
          <cell r="E520">
            <v>101073</v>
          </cell>
          <cell r="F520" t="str">
            <v>Grade 2.7</v>
          </cell>
          <cell r="G520" t="str">
            <v>Red Light</v>
          </cell>
          <cell r="H520" t="str">
            <v>No</v>
          </cell>
          <cell r="I520" t="str">
            <v>Yes</v>
          </cell>
          <cell r="J520">
            <v>45617</v>
          </cell>
          <cell r="K520" t="str">
            <v>Yes</v>
          </cell>
          <cell r="L520">
            <v>44067</v>
          </cell>
          <cell r="M520">
            <v>235</v>
          </cell>
          <cell r="N520">
            <v>285</v>
          </cell>
          <cell r="O520">
            <v>3667.382080078125</v>
          </cell>
          <cell r="P520">
            <v>9498.4547027368662</v>
          </cell>
          <cell r="Q520">
            <v>3639.544921875</v>
          </cell>
        </row>
        <row r="521">
          <cell r="A521" t="str">
            <v>1G1ZB5ST4HF222094</v>
          </cell>
          <cell r="B521">
            <v>2017</v>
          </cell>
          <cell r="C521" t="str">
            <v>CHEVROLET</v>
          </cell>
          <cell r="D521" t="str">
            <v>MALIBU</v>
          </cell>
          <cell r="E521">
            <v>71121</v>
          </cell>
          <cell r="F521" t="str">
            <v>Grade 2.6</v>
          </cell>
          <cell r="G521" t="str">
            <v>Green Light</v>
          </cell>
          <cell r="H521" t="str">
            <v>Yes</v>
          </cell>
          <cell r="I521" t="str">
            <v>No</v>
          </cell>
          <cell r="J521">
            <v>45666</v>
          </cell>
          <cell r="K521" t="str">
            <v>Yes</v>
          </cell>
          <cell r="L521">
            <v>44067</v>
          </cell>
          <cell r="M521">
            <v>235</v>
          </cell>
          <cell r="N521">
            <v>285</v>
          </cell>
          <cell r="O521">
            <v>5193.23388671875</v>
          </cell>
          <cell r="P521">
            <v>9645.9686113349744</v>
          </cell>
          <cell r="Q521">
            <v>5196.47265625</v>
          </cell>
        </row>
        <row r="522">
          <cell r="A522" t="str">
            <v>1G1ZE5ST7HF123504</v>
          </cell>
          <cell r="B522">
            <v>2017</v>
          </cell>
          <cell r="C522" t="str">
            <v>CHEVROLET</v>
          </cell>
          <cell r="D522" t="str">
            <v>MALIBU</v>
          </cell>
          <cell r="E522">
            <v>77863</v>
          </cell>
          <cell r="F522" t="str">
            <v>Grade 1.3</v>
          </cell>
          <cell r="G522" t="str">
            <v>Red Light</v>
          </cell>
          <cell r="H522" t="str">
            <v>No</v>
          </cell>
          <cell r="I522" t="str">
            <v>Yes</v>
          </cell>
          <cell r="J522">
            <v>45566</v>
          </cell>
          <cell r="K522" t="str">
            <v>Yes</v>
          </cell>
          <cell r="L522">
            <v>44067</v>
          </cell>
          <cell r="M522">
            <v>235</v>
          </cell>
          <cell r="N522">
            <v>285</v>
          </cell>
          <cell r="O522">
            <v>3532.621337890625</v>
          </cell>
          <cell r="P522">
            <v>9476.5367337091084</v>
          </cell>
          <cell r="Q522">
            <v>3595.61181640625</v>
          </cell>
        </row>
        <row r="523">
          <cell r="A523" t="str">
            <v>1G4GC5G32FF139132</v>
          </cell>
          <cell r="B523">
            <v>2015</v>
          </cell>
          <cell r="C523" t="str">
            <v>BUICK</v>
          </cell>
          <cell r="D523" t="str">
            <v>LACROSSE</v>
          </cell>
          <cell r="E523">
            <v>61218</v>
          </cell>
          <cell r="F523" t="str">
            <v>Grade 2.9</v>
          </cell>
          <cell r="G523" t="str">
            <v>Green Light</v>
          </cell>
          <cell r="H523" t="str">
            <v>Yes</v>
          </cell>
          <cell r="I523" t="str">
            <v>No</v>
          </cell>
          <cell r="J523">
            <v>45538</v>
          </cell>
          <cell r="K523" t="str">
            <v>Yes</v>
          </cell>
          <cell r="L523">
            <v>44067</v>
          </cell>
          <cell r="M523">
            <v>235</v>
          </cell>
          <cell r="N523">
            <v>285</v>
          </cell>
          <cell r="O523">
            <v>3956.15185546875</v>
          </cell>
          <cell r="P523">
            <v>10907.920865569949</v>
          </cell>
          <cell r="Q523">
            <v>3744.46630859375</v>
          </cell>
        </row>
        <row r="524">
          <cell r="A524" t="str">
            <v>1G4PP5SKXD4192124</v>
          </cell>
          <cell r="B524">
            <v>2013</v>
          </cell>
          <cell r="C524" t="str">
            <v>BUICK</v>
          </cell>
          <cell r="D524" t="str">
            <v>VERANO</v>
          </cell>
          <cell r="E524">
            <v>95891</v>
          </cell>
          <cell r="F524" t="str">
            <v>Grade 2.0</v>
          </cell>
          <cell r="G524" t="str">
            <v>Inoperable</v>
          </cell>
          <cell r="H524" t="str">
            <v>No</v>
          </cell>
          <cell r="I524" t="str">
            <v>Yes</v>
          </cell>
          <cell r="J524">
            <v>45533</v>
          </cell>
          <cell r="K524" t="str">
            <v>Yes</v>
          </cell>
          <cell r="L524">
            <v>44067</v>
          </cell>
          <cell r="M524">
            <v>235</v>
          </cell>
          <cell r="N524">
            <v>285</v>
          </cell>
          <cell r="O524">
            <v>2108.68310546875</v>
          </cell>
          <cell r="P524">
            <v>9165.3452611871598</v>
          </cell>
          <cell r="Q524">
            <v>2045.358154296875</v>
          </cell>
        </row>
        <row r="525">
          <cell r="A525" t="str">
            <v>1GKS2GKC1JR320562</v>
          </cell>
          <cell r="B525">
            <v>2018</v>
          </cell>
          <cell r="C525" t="str">
            <v>GMC</v>
          </cell>
          <cell r="D525" t="str">
            <v>YUKON XL</v>
          </cell>
          <cell r="E525">
            <v>114191</v>
          </cell>
          <cell r="F525" t="str">
            <v>Grade 3.4</v>
          </cell>
          <cell r="G525" t="str">
            <v>Green Light</v>
          </cell>
          <cell r="H525" t="str">
            <v>Yes</v>
          </cell>
          <cell r="I525" t="str">
            <v>No</v>
          </cell>
          <cell r="J525">
            <v>45412</v>
          </cell>
          <cell r="K525" t="str">
            <v>Yes</v>
          </cell>
          <cell r="L525">
            <v>44067</v>
          </cell>
          <cell r="M525">
            <v>235</v>
          </cell>
          <cell r="N525">
            <v>285</v>
          </cell>
          <cell r="O525">
            <v>16045.1962890625</v>
          </cell>
          <cell r="P525">
            <v>10606.54914773382</v>
          </cell>
          <cell r="Q525">
            <v>16330.7470703125</v>
          </cell>
        </row>
        <row r="526">
          <cell r="A526" t="str">
            <v>1GNERGKW9KJ227195</v>
          </cell>
          <cell r="B526">
            <v>2019</v>
          </cell>
          <cell r="C526" t="str">
            <v>CHEVROLET</v>
          </cell>
          <cell r="D526" t="str">
            <v>TRAVERSE FWD V6</v>
          </cell>
          <cell r="E526">
            <v>120500</v>
          </cell>
          <cell r="F526" t="str">
            <v>Grade 4.3</v>
          </cell>
          <cell r="G526" t="str">
            <v>Red Light</v>
          </cell>
          <cell r="H526" t="str">
            <v>No</v>
          </cell>
          <cell r="I526" t="str">
            <v>Yes</v>
          </cell>
          <cell r="J526">
            <v>45631</v>
          </cell>
          <cell r="K526" t="str">
            <v>Yes</v>
          </cell>
          <cell r="L526">
            <v>44067</v>
          </cell>
          <cell r="M526">
            <v>235</v>
          </cell>
          <cell r="N526">
            <v>285</v>
          </cell>
          <cell r="O526">
            <v>11072.2001953125</v>
          </cell>
          <cell r="P526">
            <v>10343.29917718087</v>
          </cell>
          <cell r="Q526">
            <v>11166.2685546875</v>
          </cell>
        </row>
        <row r="527">
          <cell r="A527" t="str">
            <v>1HGCR2E33EA174746</v>
          </cell>
          <cell r="B527">
            <v>2014</v>
          </cell>
          <cell r="C527" t="str">
            <v>HONDA</v>
          </cell>
          <cell r="D527" t="str">
            <v>ACCORD</v>
          </cell>
          <cell r="E527">
            <v>71661</v>
          </cell>
          <cell r="F527" t="str">
            <v>Grade 1.3</v>
          </cell>
          <cell r="G527" t="str">
            <v>Green/Yellow</v>
          </cell>
          <cell r="H527" t="str">
            <v>Yes</v>
          </cell>
          <cell r="I527" t="str">
            <v>No</v>
          </cell>
          <cell r="J527">
            <v>45552</v>
          </cell>
          <cell r="K527" t="str">
            <v>Yes</v>
          </cell>
          <cell r="L527">
            <v>44067</v>
          </cell>
          <cell r="M527">
            <v>235</v>
          </cell>
          <cell r="N527">
            <v>285</v>
          </cell>
          <cell r="O527">
            <v>4735.8046875</v>
          </cell>
          <cell r="P527">
            <v>9201.6444728789484</v>
          </cell>
          <cell r="Q527">
            <v>4646.1630859375</v>
          </cell>
        </row>
        <row r="528">
          <cell r="A528" t="str">
            <v>1HGCR2F3XEA121802</v>
          </cell>
          <cell r="B528">
            <v>2014</v>
          </cell>
          <cell r="C528" t="str">
            <v>HONDA</v>
          </cell>
          <cell r="D528" t="str">
            <v>ACCORD 4C</v>
          </cell>
          <cell r="E528">
            <v>125420</v>
          </cell>
          <cell r="F528" t="str">
            <v>Grade 1.9</v>
          </cell>
          <cell r="G528" t="str">
            <v>Red Light</v>
          </cell>
          <cell r="H528" t="str">
            <v>No</v>
          </cell>
          <cell r="I528" t="str">
            <v>Yes</v>
          </cell>
          <cell r="J528">
            <v>45309</v>
          </cell>
          <cell r="K528" t="str">
            <v>Yes</v>
          </cell>
          <cell r="L528">
            <v>44067</v>
          </cell>
          <cell r="M528">
            <v>235</v>
          </cell>
          <cell r="N528">
            <v>285</v>
          </cell>
          <cell r="O528">
            <v>3186.99609375</v>
          </cell>
          <cell r="P528">
            <v>9007.7370691510041</v>
          </cell>
          <cell r="Q528">
            <v>3044.94580078125</v>
          </cell>
        </row>
        <row r="529">
          <cell r="A529" t="str">
            <v>1N4AA6AP5HC371073</v>
          </cell>
          <cell r="B529">
            <v>2017</v>
          </cell>
          <cell r="C529" t="str">
            <v>NISSAN</v>
          </cell>
          <cell r="D529" t="str">
            <v>MAXIMA</v>
          </cell>
          <cell r="E529">
            <v>96507</v>
          </cell>
          <cell r="F529" t="str">
            <v>Grade 2.2</v>
          </cell>
          <cell r="G529" t="str">
            <v>Green/Yellow</v>
          </cell>
          <cell r="H529" t="str">
            <v>Yes</v>
          </cell>
          <cell r="I529" t="str">
            <v>No</v>
          </cell>
          <cell r="J529">
            <v>45596</v>
          </cell>
          <cell r="K529" t="str">
            <v>Yes</v>
          </cell>
          <cell r="L529">
            <v>44067</v>
          </cell>
          <cell r="M529">
            <v>235</v>
          </cell>
          <cell r="N529">
            <v>285</v>
          </cell>
          <cell r="O529">
            <v>3881.18798828125</v>
          </cell>
          <cell r="P529">
            <v>9092.8815689863095</v>
          </cell>
          <cell r="Q529">
            <v>3803.46435546875</v>
          </cell>
        </row>
        <row r="530">
          <cell r="A530" t="str">
            <v>1N4AL3AP0JC240194</v>
          </cell>
          <cell r="B530">
            <v>2018</v>
          </cell>
          <cell r="C530" t="str">
            <v>NISSAN</v>
          </cell>
          <cell r="D530" t="str">
            <v>ALTIMA 4C</v>
          </cell>
          <cell r="E530">
            <v>96938</v>
          </cell>
          <cell r="F530" t="str">
            <v>Grade 4.8</v>
          </cell>
          <cell r="G530" t="str">
            <v>Certified</v>
          </cell>
          <cell r="H530" t="str">
            <v>Yes</v>
          </cell>
          <cell r="I530" t="str">
            <v>No</v>
          </cell>
          <cell r="J530">
            <v>45498</v>
          </cell>
          <cell r="K530" t="str">
            <v>Yes</v>
          </cell>
          <cell r="L530">
            <v>44067</v>
          </cell>
          <cell r="M530">
            <v>235</v>
          </cell>
          <cell r="N530">
            <v>285</v>
          </cell>
          <cell r="O530">
            <v>9674.337890625</v>
          </cell>
          <cell r="P530">
            <v>9872.6089170548457</v>
          </cell>
          <cell r="Q530">
            <v>9731.642578125</v>
          </cell>
        </row>
        <row r="531">
          <cell r="A531" t="str">
            <v>1N4AL3AP0JC257173</v>
          </cell>
          <cell r="B531">
            <v>2018</v>
          </cell>
          <cell r="C531" t="str">
            <v>NISSAN</v>
          </cell>
          <cell r="D531" t="str">
            <v>ALTIMA</v>
          </cell>
          <cell r="E531">
            <v>191606</v>
          </cell>
          <cell r="F531" t="str">
            <v>Grade 2.8</v>
          </cell>
          <cell r="G531" t="str">
            <v>Red Light</v>
          </cell>
          <cell r="H531" t="str">
            <v>No</v>
          </cell>
          <cell r="I531" t="str">
            <v>Yes</v>
          </cell>
          <cell r="J531">
            <v>45692</v>
          </cell>
          <cell r="K531" t="str">
            <v>Yes</v>
          </cell>
          <cell r="L531">
            <v>44067</v>
          </cell>
          <cell r="M531">
            <v>235</v>
          </cell>
          <cell r="N531">
            <v>285</v>
          </cell>
          <cell r="O531">
            <v>2077.765625</v>
          </cell>
          <cell r="P531">
            <v>8950.3078434228373</v>
          </cell>
          <cell r="Q531">
            <v>2006.667602539062</v>
          </cell>
        </row>
        <row r="532">
          <cell r="A532" t="str">
            <v>1N4AL3AP4GC145369</v>
          </cell>
          <cell r="B532">
            <v>2016</v>
          </cell>
          <cell r="C532" t="str">
            <v>NISSAN</v>
          </cell>
          <cell r="D532" t="str">
            <v>ALTIMA 4C</v>
          </cell>
          <cell r="E532">
            <v>102723</v>
          </cell>
          <cell r="F532" t="str">
            <v>Grade 3.9</v>
          </cell>
          <cell r="G532" t="str">
            <v>Green Light</v>
          </cell>
          <cell r="H532" t="str">
            <v>Yes</v>
          </cell>
          <cell r="I532" t="str">
            <v>No</v>
          </cell>
          <cell r="J532">
            <v>45610</v>
          </cell>
          <cell r="K532" t="str">
            <v>Yes</v>
          </cell>
          <cell r="L532">
            <v>44067</v>
          </cell>
          <cell r="M532">
            <v>235</v>
          </cell>
          <cell r="N532">
            <v>285</v>
          </cell>
          <cell r="O532">
            <v>6023.4482421875</v>
          </cell>
          <cell r="P532">
            <v>9653.9754101945255</v>
          </cell>
          <cell r="Q532">
            <v>6116.380859375</v>
          </cell>
        </row>
        <row r="533">
          <cell r="A533" t="str">
            <v>1N4AL3AP6EC168746</v>
          </cell>
          <cell r="B533">
            <v>2014</v>
          </cell>
          <cell r="C533" t="str">
            <v>NISSAN</v>
          </cell>
          <cell r="D533" t="str">
            <v>ALTIMA 4C</v>
          </cell>
          <cell r="E533">
            <v>84451</v>
          </cell>
          <cell r="F533" t="str">
            <v>Grade 3.4</v>
          </cell>
          <cell r="G533" t="str">
            <v>Green Light</v>
          </cell>
          <cell r="H533" t="str">
            <v>Yes</v>
          </cell>
          <cell r="I533" t="str">
            <v>No</v>
          </cell>
          <cell r="J533">
            <v>45449</v>
          </cell>
          <cell r="K533" t="str">
            <v>Yes</v>
          </cell>
          <cell r="L533">
            <v>44067</v>
          </cell>
          <cell r="M533">
            <v>235</v>
          </cell>
          <cell r="N533">
            <v>285</v>
          </cell>
          <cell r="O533">
            <v>5220.32373046875</v>
          </cell>
          <cell r="P533">
            <v>9079.7872718494582</v>
          </cell>
          <cell r="Q533">
            <v>5096.6005859375</v>
          </cell>
        </row>
        <row r="534">
          <cell r="A534" t="str">
            <v>1N4AZ0CP9FC332924</v>
          </cell>
          <cell r="B534">
            <v>2015</v>
          </cell>
          <cell r="C534" t="str">
            <v>NISSAN</v>
          </cell>
          <cell r="D534" t="str">
            <v>LEAF</v>
          </cell>
          <cell r="E534">
            <v>68512</v>
          </cell>
          <cell r="F534" t="str">
            <v>Grade 4.6</v>
          </cell>
          <cell r="G534" t="str">
            <v>Certified</v>
          </cell>
          <cell r="H534" t="str">
            <v>Yes</v>
          </cell>
          <cell r="I534" t="str">
            <v>No</v>
          </cell>
          <cell r="J534">
            <v>45356</v>
          </cell>
          <cell r="K534" t="str">
            <v>Yes</v>
          </cell>
          <cell r="L534">
            <v>44067</v>
          </cell>
          <cell r="M534">
            <v>235</v>
          </cell>
          <cell r="N534">
            <v>285</v>
          </cell>
          <cell r="O534">
            <v>7301.41650390625</v>
          </cell>
          <cell r="P534">
            <v>9847.8853041607072</v>
          </cell>
          <cell r="Q534">
            <v>7304.02099609375</v>
          </cell>
        </row>
        <row r="535">
          <cell r="A535" t="str">
            <v>1VWAP7A38EC007167</v>
          </cell>
          <cell r="B535">
            <v>2014</v>
          </cell>
          <cell r="C535" t="str">
            <v>VOLKSWAGEN</v>
          </cell>
          <cell r="D535" t="str">
            <v>PASSAT 5C</v>
          </cell>
          <cell r="E535">
            <v>182745</v>
          </cell>
          <cell r="F535" t="str">
            <v>Grade 2.5</v>
          </cell>
          <cell r="G535" t="str">
            <v>Red Light</v>
          </cell>
          <cell r="H535" t="str">
            <v>No</v>
          </cell>
          <cell r="I535" t="str">
            <v>Yes</v>
          </cell>
          <cell r="J535">
            <v>45610</v>
          </cell>
          <cell r="K535" t="str">
            <v>Yes</v>
          </cell>
          <cell r="L535">
            <v>44067</v>
          </cell>
          <cell r="M535">
            <v>235</v>
          </cell>
          <cell r="N535">
            <v>285</v>
          </cell>
          <cell r="O535">
            <v>861.92852783203125</v>
          </cell>
          <cell r="P535">
            <v>8936.3605561875611</v>
          </cell>
          <cell r="Q535">
            <v>1083.871215820312</v>
          </cell>
        </row>
        <row r="536">
          <cell r="A536" t="str">
            <v>1ZVBP8AM8D5281507</v>
          </cell>
          <cell r="B536">
            <v>2013</v>
          </cell>
          <cell r="C536" t="str">
            <v>FORD</v>
          </cell>
          <cell r="D536" t="str">
            <v>MUSTANG</v>
          </cell>
          <cell r="E536">
            <v>75176</v>
          </cell>
          <cell r="F536" t="str">
            <v>Grade 1.3</v>
          </cell>
          <cell r="G536" t="str">
            <v>Red Light</v>
          </cell>
          <cell r="H536" t="str">
            <v>No</v>
          </cell>
          <cell r="I536" t="str">
            <v>Yes</v>
          </cell>
          <cell r="J536">
            <v>45454</v>
          </cell>
          <cell r="K536" t="str">
            <v>Yes</v>
          </cell>
          <cell r="L536">
            <v>44067</v>
          </cell>
          <cell r="M536">
            <v>235</v>
          </cell>
          <cell r="N536">
            <v>285</v>
          </cell>
          <cell r="O536">
            <v>4865.548828125</v>
          </cell>
          <cell r="P536">
            <v>9759.5868988664297</v>
          </cell>
          <cell r="Q536">
            <v>4913.08251953125</v>
          </cell>
        </row>
        <row r="537">
          <cell r="A537" t="str">
            <v>2C3CCAET2CH268114</v>
          </cell>
          <cell r="B537">
            <v>2012</v>
          </cell>
          <cell r="C537" t="str">
            <v>CHRYSLER</v>
          </cell>
          <cell r="D537" t="str">
            <v>300C</v>
          </cell>
          <cell r="E537">
            <v>85352</v>
          </cell>
          <cell r="F537" t="str">
            <v>Grade 1.2</v>
          </cell>
          <cell r="G537" t="str">
            <v>Inoperable</v>
          </cell>
          <cell r="H537" t="str">
            <v>No</v>
          </cell>
          <cell r="I537" t="str">
            <v>Yes</v>
          </cell>
          <cell r="J537">
            <v>45426</v>
          </cell>
          <cell r="K537" t="str">
            <v>Yes</v>
          </cell>
          <cell r="L537">
            <v>44067</v>
          </cell>
          <cell r="M537">
            <v>235</v>
          </cell>
          <cell r="N537">
            <v>285</v>
          </cell>
          <cell r="O537">
            <v>2205.5966796875</v>
          </cell>
          <cell r="P537">
            <v>9127.5959301339972</v>
          </cell>
          <cell r="Q537">
            <v>2098.140869140625</v>
          </cell>
        </row>
        <row r="538">
          <cell r="A538" t="str">
            <v>2C3CCAHG5CH184786</v>
          </cell>
          <cell r="B538">
            <v>2012</v>
          </cell>
          <cell r="C538" t="str">
            <v>CHRYSLER</v>
          </cell>
          <cell r="D538">
            <v>300</v>
          </cell>
          <cell r="E538">
            <v>155376</v>
          </cell>
          <cell r="F538" t="str">
            <v>Grade 2.1</v>
          </cell>
          <cell r="G538" t="str">
            <v>Green Light</v>
          </cell>
          <cell r="H538" t="str">
            <v>Yes</v>
          </cell>
          <cell r="I538" t="str">
            <v>No</v>
          </cell>
          <cell r="J538">
            <v>45594</v>
          </cell>
          <cell r="K538" t="str">
            <v>Yes</v>
          </cell>
          <cell r="L538">
            <v>44067</v>
          </cell>
          <cell r="M538">
            <v>235</v>
          </cell>
          <cell r="N538">
            <v>285</v>
          </cell>
          <cell r="O538">
            <v>540.25604248046875</v>
          </cell>
          <cell r="P538">
            <v>8785.0048706129637</v>
          </cell>
          <cell r="Q538">
            <v>815.262451171875</v>
          </cell>
        </row>
        <row r="539">
          <cell r="A539" t="str">
            <v>2C3CDXJG1HH544170</v>
          </cell>
          <cell r="B539">
            <v>2017</v>
          </cell>
          <cell r="C539" t="str">
            <v>DODGE</v>
          </cell>
          <cell r="D539" t="str">
            <v>CHARGER</v>
          </cell>
          <cell r="E539">
            <v>148251</v>
          </cell>
          <cell r="F539" t="str">
            <v>Grade 3.1</v>
          </cell>
          <cell r="G539" t="str">
            <v>Green Light</v>
          </cell>
          <cell r="H539" t="str">
            <v>Yes</v>
          </cell>
          <cell r="I539" t="str">
            <v>No</v>
          </cell>
          <cell r="J539">
            <v>45454</v>
          </cell>
          <cell r="K539" t="str">
            <v>Yes</v>
          </cell>
          <cell r="L539">
            <v>44067</v>
          </cell>
          <cell r="M539">
            <v>235</v>
          </cell>
          <cell r="N539">
            <v>285</v>
          </cell>
          <cell r="O539">
            <v>7280.1669921875</v>
          </cell>
          <cell r="P539">
            <v>9656.5744493446145</v>
          </cell>
          <cell r="Q539">
            <v>7316.7119140625</v>
          </cell>
        </row>
        <row r="540">
          <cell r="A540" t="str">
            <v>2C4RDGEG3KR764122</v>
          </cell>
          <cell r="B540">
            <v>2019</v>
          </cell>
          <cell r="C540" t="str">
            <v>DODGE</v>
          </cell>
          <cell r="D540" t="str">
            <v>GRAND CARAVAN</v>
          </cell>
          <cell r="E540">
            <v>117119</v>
          </cell>
          <cell r="F540" t="str">
            <v>Grade 1.9</v>
          </cell>
          <cell r="G540" t="str">
            <v>Green/Yellow</v>
          </cell>
          <cell r="H540" t="str">
            <v>Yes</v>
          </cell>
          <cell r="I540" t="str">
            <v>No</v>
          </cell>
          <cell r="J540">
            <v>45580</v>
          </cell>
          <cell r="K540" t="str">
            <v>Yes</v>
          </cell>
          <cell r="L540">
            <v>44067</v>
          </cell>
          <cell r="M540">
            <v>235</v>
          </cell>
          <cell r="N540">
            <v>285</v>
          </cell>
          <cell r="O540">
            <v>4363.7978515625</v>
          </cell>
          <cell r="P540">
            <v>8989.6085346297805</v>
          </cell>
          <cell r="Q540">
            <v>4268.8701171875</v>
          </cell>
        </row>
        <row r="541">
          <cell r="A541" t="str">
            <v>2G1FK1EJ0E9299930</v>
          </cell>
          <cell r="B541">
            <v>2014</v>
          </cell>
          <cell r="C541" t="str">
            <v>CHEVROLET</v>
          </cell>
          <cell r="D541" t="str">
            <v>CAMARO</v>
          </cell>
          <cell r="E541">
            <v>107207</v>
          </cell>
          <cell r="F541" t="str">
            <v>Grade 2.0</v>
          </cell>
          <cell r="G541" t="str">
            <v>Red Light</v>
          </cell>
          <cell r="H541" t="str">
            <v>No</v>
          </cell>
          <cell r="I541" t="str">
            <v>Yes</v>
          </cell>
          <cell r="J541">
            <v>45524</v>
          </cell>
          <cell r="K541" t="str">
            <v>Yes</v>
          </cell>
          <cell r="L541">
            <v>44067</v>
          </cell>
          <cell r="M541">
            <v>235</v>
          </cell>
          <cell r="N541">
            <v>285</v>
          </cell>
          <cell r="O541">
            <v>3083.3544921875</v>
          </cell>
          <cell r="P541">
            <v>9335.8234238796322</v>
          </cell>
          <cell r="Q541">
            <v>2992.80126953125</v>
          </cell>
        </row>
        <row r="542">
          <cell r="A542" t="str">
            <v>2GKALNEK6H6279674</v>
          </cell>
          <cell r="B542">
            <v>2017</v>
          </cell>
          <cell r="C542" t="str">
            <v>GMC</v>
          </cell>
          <cell r="D542" t="str">
            <v>TERRAIN FWD 4C</v>
          </cell>
          <cell r="E542">
            <v>191353</v>
          </cell>
          <cell r="F542" t="str">
            <v>Grade 1.9</v>
          </cell>
          <cell r="G542" t="str">
            <v>Inoperable</v>
          </cell>
          <cell r="H542" t="str">
            <v>No</v>
          </cell>
          <cell r="I542" t="str">
            <v>Yes</v>
          </cell>
          <cell r="J542">
            <v>45610</v>
          </cell>
          <cell r="K542" t="str">
            <v>Yes</v>
          </cell>
          <cell r="L542">
            <v>44067</v>
          </cell>
          <cell r="M542">
            <v>235</v>
          </cell>
          <cell r="N542">
            <v>285</v>
          </cell>
          <cell r="O542">
            <v>4343.28076171875</v>
          </cell>
          <cell r="P542">
            <v>10096.8340447965</v>
          </cell>
          <cell r="Q542">
            <v>4176.4921875</v>
          </cell>
        </row>
        <row r="543">
          <cell r="A543" t="str">
            <v>2GNALCEK4H1605539</v>
          </cell>
          <cell r="B543">
            <v>2017</v>
          </cell>
          <cell r="C543" t="str">
            <v>CHEVROLET</v>
          </cell>
          <cell r="D543" t="str">
            <v>EQUINOX FWD 4C</v>
          </cell>
          <cell r="E543">
            <v>85996</v>
          </cell>
          <cell r="F543" t="str">
            <v>Grade 3.6</v>
          </cell>
          <cell r="G543" t="str">
            <v>Green Light</v>
          </cell>
          <cell r="H543" t="str">
            <v>Yes</v>
          </cell>
          <cell r="I543" t="str">
            <v>No</v>
          </cell>
          <cell r="J543">
            <v>45568</v>
          </cell>
          <cell r="K543" t="str">
            <v>Yes</v>
          </cell>
          <cell r="L543">
            <v>44067</v>
          </cell>
          <cell r="M543">
            <v>235</v>
          </cell>
          <cell r="N543">
            <v>285</v>
          </cell>
          <cell r="O543">
            <v>10273.0390625</v>
          </cell>
          <cell r="P543">
            <v>10378.931242430341</v>
          </cell>
          <cell r="Q543">
            <v>10374.080078125</v>
          </cell>
        </row>
        <row r="544">
          <cell r="A544" t="str">
            <v>2GNALCEK8H6296841</v>
          </cell>
          <cell r="B544">
            <v>2017</v>
          </cell>
          <cell r="C544" t="str">
            <v>CHEVROLET</v>
          </cell>
          <cell r="D544" t="str">
            <v>EQUINOX FWD 4C</v>
          </cell>
          <cell r="E544">
            <v>157068</v>
          </cell>
          <cell r="F544" t="str">
            <v>Grade 2.0</v>
          </cell>
          <cell r="G544" t="str">
            <v>Inoperable</v>
          </cell>
          <cell r="H544" t="str">
            <v>No</v>
          </cell>
          <cell r="I544" t="str">
            <v>Yes</v>
          </cell>
          <cell r="J544">
            <v>45561</v>
          </cell>
          <cell r="K544" t="str">
            <v>Yes</v>
          </cell>
          <cell r="L544">
            <v>44067</v>
          </cell>
          <cell r="M544">
            <v>235</v>
          </cell>
          <cell r="N544">
            <v>285</v>
          </cell>
          <cell r="O544">
            <v>2995.284912109375</v>
          </cell>
          <cell r="P544">
            <v>9340.893233204135</v>
          </cell>
          <cell r="Q544">
            <v>2903.884765625</v>
          </cell>
        </row>
        <row r="545">
          <cell r="A545" t="str">
            <v>2GNAXKEV8L6137996</v>
          </cell>
          <cell r="B545">
            <v>2020</v>
          </cell>
          <cell r="C545" t="str">
            <v>CHEVROLET</v>
          </cell>
          <cell r="D545" t="str">
            <v>EQUINOX FWD 4C</v>
          </cell>
          <cell r="E545">
            <v>90526</v>
          </cell>
          <cell r="F545" t="str">
            <v>Grade 3.4</v>
          </cell>
          <cell r="G545" t="str">
            <v>Certified</v>
          </cell>
          <cell r="H545" t="str">
            <v>Yes</v>
          </cell>
          <cell r="I545" t="str">
            <v>No</v>
          </cell>
          <cell r="J545">
            <v>45645</v>
          </cell>
          <cell r="K545" t="str">
            <v>Yes</v>
          </cell>
          <cell r="L545">
            <v>44067</v>
          </cell>
          <cell r="M545">
            <v>235</v>
          </cell>
          <cell r="N545">
            <v>285</v>
          </cell>
          <cell r="O545">
            <v>12349.099609375</v>
          </cell>
          <cell r="P545">
            <v>11020.860067679119</v>
          </cell>
          <cell r="Q545">
            <v>12199.5048828125</v>
          </cell>
        </row>
        <row r="546">
          <cell r="A546" t="str">
            <v>2GNFLFEK7H6324975</v>
          </cell>
          <cell r="B546">
            <v>2017</v>
          </cell>
          <cell r="C546" t="str">
            <v>CHEVROLET</v>
          </cell>
          <cell r="D546" t="str">
            <v>EQUINOX AWD 4C</v>
          </cell>
          <cell r="E546">
            <v>85601</v>
          </cell>
          <cell r="F546" t="str">
            <v>Grade 3.2</v>
          </cell>
          <cell r="G546" t="str">
            <v>Green Light</v>
          </cell>
          <cell r="H546" t="str">
            <v>Yes</v>
          </cell>
          <cell r="I546" t="str">
            <v>No</v>
          </cell>
          <cell r="J546">
            <v>45498</v>
          </cell>
          <cell r="K546" t="str">
            <v>Yes</v>
          </cell>
          <cell r="L546">
            <v>44067</v>
          </cell>
          <cell r="M546">
            <v>235</v>
          </cell>
          <cell r="N546">
            <v>285</v>
          </cell>
          <cell r="O546">
            <v>10485.6357421875</v>
          </cell>
          <cell r="P546">
            <v>9612.0597244306355</v>
          </cell>
          <cell r="Q546">
            <v>10751.208984375</v>
          </cell>
        </row>
        <row r="547">
          <cell r="A547" t="str">
            <v>2HKRW5H37KH415808</v>
          </cell>
          <cell r="B547">
            <v>2019</v>
          </cell>
          <cell r="C547" t="str">
            <v>HONDA</v>
          </cell>
          <cell r="D547" t="str">
            <v>CR-V FWD 4C</v>
          </cell>
          <cell r="E547">
            <v>70646</v>
          </cell>
          <cell r="F547" t="str">
            <v>Grade 2.7</v>
          </cell>
          <cell r="G547" t="str">
            <v>Green Light</v>
          </cell>
          <cell r="H547" t="str">
            <v>Yes</v>
          </cell>
          <cell r="I547" t="str">
            <v>No</v>
          </cell>
          <cell r="J547">
            <v>45309</v>
          </cell>
          <cell r="K547" t="str">
            <v>Yes</v>
          </cell>
          <cell r="L547">
            <v>44067</v>
          </cell>
          <cell r="M547">
            <v>235</v>
          </cell>
          <cell r="N547">
            <v>285</v>
          </cell>
          <cell r="O547">
            <v>8350.7646484375</v>
          </cell>
          <cell r="P547">
            <v>9545.9791889994558</v>
          </cell>
          <cell r="Q547">
            <v>8406.125</v>
          </cell>
        </row>
        <row r="548">
          <cell r="A548" t="str">
            <v>2LMTJ6LR2GBL39780</v>
          </cell>
          <cell r="B548">
            <v>2016</v>
          </cell>
          <cell r="C548" t="str">
            <v>LINCOLN</v>
          </cell>
          <cell r="D548" t="str">
            <v>MKX</v>
          </cell>
          <cell r="E548">
            <v>92402</v>
          </cell>
          <cell r="F548" t="str">
            <v>Grade 3.0</v>
          </cell>
          <cell r="G548" t="str">
            <v>Green Light</v>
          </cell>
          <cell r="H548" t="str">
            <v>Yes</v>
          </cell>
          <cell r="I548" t="str">
            <v>No</v>
          </cell>
          <cell r="J548">
            <v>45300</v>
          </cell>
          <cell r="K548" t="str">
            <v>Yes</v>
          </cell>
          <cell r="L548">
            <v>44067</v>
          </cell>
          <cell r="M548">
            <v>235</v>
          </cell>
          <cell r="N548">
            <v>285</v>
          </cell>
          <cell r="O548">
            <v>9143.3349609375</v>
          </cell>
          <cell r="P548">
            <v>9419.3927943290564</v>
          </cell>
          <cell r="Q548">
            <v>9214.724609375</v>
          </cell>
        </row>
        <row r="549">
          <cell r="A549" t="str">
            <v>2T1BURHE0HC806326</v>
          </cell>
          <cell r="B549">
            <v>2017</v>
          </cell>
          <cell r="C549" t="str">
            <v>TOYOTA</v>
          </cell>
          <cell r="D549" t="str">
            <v>COROLLA</v>
          </cell>
          <cell r="E549">
            <v>84237</v>
          </cell>
          <cell r="F549" t="str">
            <v>Grade 0.0</v>
          </cell>
          <cell r="G549" t="str">
            <v>Inoperable</v>
          </cell>
          <cell r="H549" t="str">
            <v>No</v>
          </cell>
          <cell r="I549" t="str">
            <v>Yes</v>
          </cell>
          <cell r="J549">
            <v>45566</v>
          </cell>
          <cell r="K549" t="str">
            <v>Yes</v>
          </cell>
          <cell r="L549">
            <v>44067</v>
          </cell>
          <cell r="M549">
            <v>235</v>
          </cell>
          <cell r="N549">
            <v>285</v>
          </cell>
          <cell r="O549">
            <v>5142.5595703125</v>
          </cell>
          <cell r="P549">
            <v>9566.667144385965</v>
          </cell>
          <cell r="Q549">
            <v>5081.0556640625</v>
          </cell>
        </row>
        <row r="550">
          <cell r="A550" t="str">
            <v>2T1BURHE8JC992848</v>
          </cell>
          <cell r="B550">
            <v>2018</v>
          </cell>
          <cell r="C550" t="str">
            <v>TOYOTA</v>
          </cell>
          <cell r="D550" t="str">
            <v>COROLLA</v>
          </cell>
          <cell r="E550">
            <v>139387</v>
          </cell>
          <cell r="F550" t="str">
            <v>Grade 2.9</v>
          </cell>
          <cell r="G550" t="str">
            <v>Green Light</v>
          </cell>
          <cell r="H550" t="str">
            <v>Yes</v>
          </cell>
          <cell r="I550" t="str">
            <v>No</v>
          </cell>
          <cell r="J550">
            <v>45568</v>
          </cell>
          <cell r="K550" t="str">
            <v>Yes</v>
          </cell>
          <cell r="L550">
            <v>44067</v>
          </cell>
          <cell r="M550">
            <v>235</v>
          </cell>
          <cell r="N550">
            <v>285</v>
          </cell>
          <cell r="O550">
            <v>4062.200439453125</v>
          </cell>
          <cell r="P550">
            <v>9560.6747939215293</v>
          </cell>
          <cell r="Q550">
            <v>4161.6396484375</v>
          </cell>
        </row>
        <row r="551">
          <cell r="A551" t="str">
            <v>3FA6P0H77HR213228</v>
          </cell>
          <cell r="B551">
            <v>2017</v>
          </cell>
          <cell r="C551" t="str">
            <v>FORD</v>
          </cell>
          <cell r="D551" t="str">
            <v>FUSION FWD 4C</v>
          </cell>
          <cell r="E551">
            <v>186530</v>
          </cell>
          <cell r="F551" t="str">
            <v>Grade 2.6</v>
          </cell>
          <cell r="G551" t="str">
            <v>Red Light</v>
          </cell>
          <cell r="H551" t="str">
            <v>No</v>
          </cell>
          <cell r="I551" t="str">
            <v>Yes</v>
          </cell>
          <cell r="J551">
            <v>45568</v>
          </cell>
          <cell r="K551" t="str">
            <v>Yes</v>
          </cell>
          <cell r="L551">
            <v>44067</v>
          </cell>
          <cell r="M551">
            <v>235</v>
          </cell>
          <cell r="N551">
            <v>285</v>
          </cell>
          <cell r="O551">
            <v>2995.87841796875</v>
          </cell>
          <cell r="P551">
            <v>9329.2772548248558</v>
          </cell>
          <cell r="Q551">
            <v>2903.884765625</v>
          </cell>
        </row>
        <row r="552">
          <cell r="A552" t="str">
            <v>3FADP4FJ7BM124938</v>
          </cell>
          <cell r="B552">
            <v>2011</v>
          </cell>
          <cell r="C552" t="str">
            <v>FORD</v>
          </cell>
          <cell r="D552" t="str">
            <v>FIESTA</v>
          </cell>
          <cell r="E552">
            <v>87888</v>
          </cell>
          <cell r="F552" t="str">
            <v>Grade 3.9</v>
          </cell>
          <cell r="G552" t="str">
            <v>Certified</v>
          </cell>
          <cell r="H552" t="str">
            <v>Yes</v>
          </cell>
          <cell r="I552" t="str">
            <v>No</v>
          </cell>
          <cell r="J552">
            <v>45692</v>
          </cell>
          <cell r="K552" t="str">
            <v>Yes</v>
          </cell>
          <cell r="L552">
            <v>44067</v>
          </cell>
          <cell r="M552">
            <v>235</v>
          </cell>
          <cell r="N552">
            <v>285</v>
          </cell>
          <cell r="O552">
            <v>5399.32763671875</v>
          </cell>
          <cell r="P552">
            <v>10187.18661635386</v>
          </cell>
          <cell r="Q552">
            <v>5263.06396484375</v>
          </cell>
        </row>
        <row r="553">
          <cell r="A553" t="str">
            <v>3GNAXKEV0LS695259</v>
          </cell>
          <cell r="B553">
            <v>2020</v>
          </cell>
          <cell r="C553" t="str">
            <v>CHEVROLET</v>
          </cell>
          <cell r="D553" t="str">
            <v>EQUINOX FWD 4C</v>
          </cell>
          <cell r="E553">
            <v>88200</v>
          </cell>
          <cell r="F553" t="str">
            <v>Grade 1.0</v>
          </cell>
          <cell r="G553" t="str">
            <v>Salvage</v>
          </cell>
          <cell r="H553" t="str">
            <v>No</v>
          </cell>
          <cell r="I553" t="str">
            <v>Yes</v>
          </cell>
          <cell r="J553">
            <v>45715</v>
          </cell>
          <cell r="K553" t="str">
            <v>Yes</v>
          </cell>
          <cell r="L553">
            <v>44067</v>
          </cell>
          <cell r="M553">
            <v>235</v>
          </cell>
          <cell r="N553">
            <v>285</v>
          </cell>
          <cell r="O553">
            <v>5468.74755859375</v>
          </cell>
          <cell r="P553">
            <v>10962.44168304459</v>
          </cell>
          <cell r="Q553">
            <v>5126.93896484375</v>
          </cell>
        </row>
        <row r="554">
          <cell r="A554" t="str">
            <v>3GNAXUEV1MS171566</v>
          </cell>
          <cell r="B554">
            <v>2021</v>
          </cell>
          <cell r="C554" t="str">
            <v>CHEVROLET</v>
          </cell>
          <cell r="D554" t="str">
            <v>EQUINOX</v>
          </cell>
          <cell r="E554">
            <v>66462</v>
          </cell>
          <cell r="F554" t="str">
            <v>Grade 3.5</v>
          </cell>
          <cell r="G554" t="str">
            <v>Green Light</v>
          </cell>
          <cell r="H554" t="str">
            <v>Yes</v>
          </cell>
          <cell r="I554" t="str">
            <v>No</v>
          </cell>
          <cell r="J554">
            <v>45664</v>
          </cell>
          <cell r="K554" t="str">
            <v>Yes</v>
          </cell>
          <cell r="L554">
            <v>44067</v>
          </cell>
          <cell r="M554">
            <v>235</v>
          </cell>
          <cell r="N554">
            <v>285</v>
          </cell>
          <cell r="O554">
            <v>17047.1015625</v>
          </cell>
          <cell r="P554">
            <v>13151.1579503884</v>
          </cell>
          <cell r="Q554">
            <v>16902.841796875</v>
          </cell>
        </row>
        <row r="555">
          <cell r="A555" t="str">
            <v>3GNCJLSB2JL275410</v>
          </cell>
          <cell r="B555">
            <v>2018</v>
          </cell>
          <cell r="C555" t="str">
            <v>CHEVROLET</v>
          </cell>
          <cell r="D555" t="str">
            <v>TRAX</v>
          </cell>
          <cell r="E555">
            <v>107949</v>
          </cell>
          <cell r="F555" t="str">
            <v>Grade 1.8</v>
          </cell>
          <cell r="G555" t="str">
            <v>Inoperable</v>
          </cell>
          <cell r="H555" t="str">
            <v>No</v>
          </cell>
          <cell r="I555" t="str">
            <v>Yes</v>
          </cell>
          <cell r="J555">
            <v>45370</v>
          </cell>
          <cell r="K555" t="str">
            <v>Yes</v>
          </cell>
          <cell r="L555">
            <v>44067</v>
          </cell>
          <cell r="M555">
            <v>235</v>
          </cell>
          <cell r="N555">
            <v>285</v>
          </cell>
          <cell r="O555">
            <v>2744.503662109375</v>
          </cell>
          <cell r="P555">
            <v>9351.2847731104266</v>
          </cell>
          <cell r="Q555">
            <v>2645.82568359375</v>
          </cell>
        </row>
        <row r="556">
          <cell r="A556" t="str">
            <v>3GNKBJRS4NS133932</v>
          </cell>
          <cell r="B556">
            <v>2022</v>
          </cell>
          <cell r="C556" t="str">
            <v>CHEVROLET</v>
          </cell>
          <cell r="D556" t="str">
            <v>BLAZER</v>
          </cell>
          <cell r="E556">
            <v>46376</v>
          </cell>
          <cell r="F556" t="str">
            <v>Grade 2.8</v>
          </cell>
          <cell r="G556" t="str">
            <v>Green Light</v>
          </cell>
          <cell r="H556" t="str">
            <v>Yes</v>
          </cell>
          <cell r="I556" t="str">
            <v>No</v>
          </cell>
          <cell r="J556">
            <v>45426</v>
          </cell>
          <cell r="K556" t="str">
            <v>Yes</v>
          </cell>
          <cell r="L556">
            <v>44067</v>
          </cell>
          <cell r="M556">
            <v>235</v>
          </cell>
          <cell r="N556">
            <v>285</v>
          </cell>
          <cell r="O556">
            <v>12942.400390625</v>
          </cell>
          <cell r="P556">
            <v>14319.565336369709</v>
          </cell>
          <cell r="Q556">
            <v>12300.2958984375</v>
          </cell>
        </row>
        <row r="557">
          <cell r="A557" t="str">
            <v>3KPFK4A76HE136742</v>
          </cell>
          <cell r="B557">
            <v>2017</v>
          </cell>
          <cell r="C557" t="str">
            <v>KIA</v>
          </cell>
          <cell r="D557" t="str">
            <v>FORTE</v>
          </cell>
          <cell r="E557">
            <v>97116</v>
          </cell>
          <cell r="F557" t="str">
            <v>Grade 4.1</v>
          </cell>
          <cell r="G557" t="str">
            <v>Certified</v>
          </cell>
          <cell r="H557" t="str">
            <v>Yes</v>
          </cell>
          <cell r="I557" t="str">
            <v>No</v>
          </cell>
          <cell r="J557">
            <v>45538</v>
          </cell>
          <cell r="K557" t="str">
            <v>Yes</v>
          </cell>
          <cell r="L557">
            <v>44067</v>
          </cell>
          <cell r="M557">
            <v>235</v>
          </cell>
          <cell r="N557">
            <v>285</v>
          </cell>
          <cell r="O557">
            <v>8172.10986328125</v>
          </cell>
          <cell r="P557">
            <v>9725.1279499166576</v>
          </cell>
          <cell r="Q557">
            <v>8225.224609375</v>
          </cell>
        </row>
        <row r="558">
          <cell r="A558" t="str">
            <v>3N1AB7AP2EY308967</v>
          </cell>
          <cell r="B558">
            <v>2014</v>
          </cell>
          <cell r="C558" t="str">
            <v>NISSAN</v>
          </cell>
          <cell r="D558" t="str">
            <v>SENTRA</v>
          </cell>
          <cell r="E558">
            <v>119104</v>
          </cell>
          <cell r="F558" t="str">
            <v>Grade 1.3</v>
          </cell>
          <cell r="G558" t="str">
            <v>Red Light</v>
          </cell>
          <cell r="H558" t="str">
            <v>No</v>
          </cell>
          <cell r="I558" t="str">
            <v>Yes</v>
          </cell>
          <cell r="J558">
            <v>45454</v>
          </cell>
          <cell r="K558" t="str">
            <v>Yes</v>
          </cell>
          <cell r="L558">
            <v>44067</v>
          </cell>
          <cell r="M558">
            <v>235</v>
          </cell>
          <cell r="N558">
            <v>285</v>
          </cell>
          <cell r="O558">
            <v>1655.741821289062</v>
          </cell>
          <cell r="P558">
            <v>8641.4273217065711</v>
          </cell>
          <cell r="Q558">
            <v>1609.140869140625</v>
          </cell>
        </row>
        <row r="559">
          <cell r="A559" t="str">
            <v>3N1AB7AP4EY286292</v>
          </cell>
          <cell r="B559">
            <v>2014</v>
          </cell>
          <cell r="C559" t="str">
            <v>NISSAN</v>
          </cell>
          <cell r="D559" t="str">
            <v>SENTRA</v>
          </cell>
          <cell r="E559">
            <v>133971</v>
          </cell>
          <cell r="F559" t="str">
            <v>Grade 2.0</v>
          </cell>
          <cell r="G559" t="str">
            <v>Red Light</v>
          </cell>
          <cell r="H559" t="str">
            <v>No</v>
          </cell>
          <cell r="I559" t="str">
            <v>Yes</v>
          </cell>
          <cell r="J559">
            <v>45540</v>
          </cell>
          <cell r="K559" t="str">
            <v>Yes</v>
          </cell>
          <cell r="L559">
            <v>44067</v>
          </cell>
          <cell r="M559">
            <v>235</v>
          </cell>
          <cell r="N559">
            <v>285</v>
          </cell>
          <cell r="O559">
            <v>1383.715209960938</v>
          </cell>
          <cell r="P559">
            <v>8644.440854426126</v>
          </cell>
          <cell r="Q559">
            <v>1388.217651367188</v>
          </cell>
        </row>
        <row r="560">
          <cell r="A560" t="str">
            <v>3N1CN7AP3HK462045</v>
          </cell>
          <cell r="B560">
            <v>2017</v>
          </cell>
          <cell r="C560" t="str">
            <v>NISSAN</v>
          </cell>
          <cell r="D560" t="str">
            <v>VERSA</v>
          </cell>
          <cell r="E560">
            <v>160625</v>
          </cell>
          <cell r="F560" t="str">
            <v>Grade 1.8</v>
          </cell>
          <cell r="G560" t="str">
            <v>Red Light</v>
          </cell>
          <cell r="H560" t="str">
            <v>No</v>
          </cell>
          <cell r="I560" t="str">
            <v>Yes</v>
          </cell>
          <cell r="J560">
            <v>45680</v>
          </cell>
          <cell r="K560" t="str">
            <v>Yes</v>
          </cell>
          <cell r="L560">
            <v>44067</v>
          </cell>
          <cell r="M560">
            <v>235</v>
          </cell>
          <cell r="N560">
            <v>285</v>
          </cell>
          <cell r="O560">
            <v>1418.170166015625</v>
          </cell>
          <cell r="P560">
            <v>8771.775125825603</v>
          </cell>
          <cell r="Q560">
            <v>1385.325439453125</v>
          </cell>
        </row>
        <row r="561">
          <cell r="A561" t="str">
            <v>3VV2B7AX3KM089734</v>
          </cell>
          <cell r="B561">
            <v>2019</v>
          </cell>
          <cell r="C561" t="str">
            <v>VOLKSWAGEN</v>
          </cell>
          <cell r="D561" t="str">
            <v>TIGUAN</v>
          </cell>
          <cell r="E561">
            <v>96718</v>
          </cell>
          <cell r="F561" t="str">
            <v>Grade 3.6</v>
          </cell>
          <cell r="G561" t="str">
            <v>Red Light</v>
          </cell>
          <cell r="H561" t="str">
            <v>No</v>
          </cell>
          <cell r="I561" t="str">
            <v>Yes</v>
          </cell>
          <cell r="J561">
            <v>45664</v>
          </cell>
          <cell r="K561" t="str">
            <v>Yes</v>
          </cell>
          <cell r="L561">
            <v>44067</v>
          </cell>
          <cell r="M561">
            <v>235</v>
          </cell>
          <cell r="N561">
            <v>285</v>
          </cell>
          <cell r="O561">
            <v>8765.361328125</v>
          </cell>
          <cell r="P561">
            <v>9989.2797633196496</v>
          </cell>
          <cell r="Q561">
            <v>8636.41015625</v>
          </cell>
        </row>
        <row r="562">
          <cell r="A562" t="str">
            <v>4S3GTAU67K3714526</v>
          </cell>
          <cell r="B562">
            <v>2019</v>
          </cell>
          <cell r="C562" t="str">
            <v>SUBARU</v>
          </cell>
          <cell r="D562" t="str">
            <v>IMPREZA</v>
          </cell>
          <cell r="E562">
            <v>37562</v>
          </cell>
          <cell r="F562" t="str">
            <v>Grade 3.5</v>
          </cell>
          <cell r="G562" t="str">
            <v>Green Light</v>
          </cell>
          <cell r="H562" t="str">
            <v>Yes</v>
          </cell>
          <cell r="I562" t="str">
            <v>No</v>
          </cell>
          <cell r="J562">
            <v>45678</v>
          </cell>
          <cell r="K562" t="str">
            <v>Yes</v>
          </cell>
          <cell r="L562">
            <v>44067</v>
          </cell>
          <cell r="M562">
            <v>235</v>
          </cell>
          <cell r="N562">
            <v>285</v>
          </cell>
          <cell r="O562">
            <v>16146.1025390625</v>
          </cell>
          <cell r="P562">
            <v>11692.97070315002</v>
          </cell>
          <cell r="Q562">
            <v>15963.310546875</v>
          </cell>
        </row>
        <row r="563">
          <cell r="A563" t="str">
            <v>5N1AZ2MH2GN109798</v>
          </cell>
          <cell r="B563">
            <v>2016</v>
          </cell>
          <cell r="C563" t="str">
            <v>NISSAN</v>
          </cell>
          <cell r="D563" t="str">
            <v>MURANO</v>
          </cell>
          <cell r="E563">
            <v>111675</v>
          </cell>
          <cell r="F563" t="str">
            <v>Grade 2.0</v>
          </cell>
          <cell r="G563" t="str">
            <v>Red Light</v>
          </cell>
          <cell r="H563" t="str">
            <v>No</v>
          </cell>
          <cell r="I563" t="str">
            <v>Yes</v>
          </cell>
          <cell r="J563">
            <v>45608</v>
          </cell>
          <cell r="K563" t="str">
            <v>Yes</v>
          </cell>
          <cell r="L563">
            <v>44067</v>
          </cell>
          <cell r="M563">
            <v>235</v>
          </cell>
          <cell r="N563">
            <v>285</v>
          </cell>
          <cell r="O563">
            <v>2274.854248046875</v>
          </cell>
          <cell r="P563">
            <v>8805.4539053479602</v>
          </cell>
          <cell r="Q563">
            <v>2176.38525390625</v>
          </cell>
        </row>
        <row r="564">
          <cell r="A564" t="str">
            <v>5N1DR2MN3KC648289</v>
          </cell>
          <cell r="B564">
            <v>2019</v>
          </cell>
          <cell r="C564" t="str">
            <v>NISSAN</v>
          </cell>
          <cell r="D564" t="str">
            <v>PATHFIND FWD</v>
          </cell>
          <cell r="E564">
            <v>121856</v>
          </cell>
          <cell r="F564" t="str">
            <v>Grade 2.8</v>
          </cell>
          <cell r="G564" t="str">
            <v>Green/Yellow</v>
          </cell>
          <cell r="H564" t="str">
            <v>Yes</v>
          </cell>
          <cell r="I564" t="str">
            <v>No</v>
          </cell>
          <cell r="J564">
            <v>45622</v>
          </cell>
          <cell r="K564" t="str">
            <v>Yes</v>
          </cell>
          <cell r="L564">
            <v>44067</v>
          </cell>
          <cell r="M564">
            <v>235</v>
          </cell>
          <cell r="N564">
            <v>285</v>
          </cell>
          <cell r="O564">
            <v>3319.9375</v>
          </cell>
          <cell r="P564">
            <v>8990.6797664237783</v>
          </cell>
          <cell r="Q564">
            <v>3234.11572265625</v>
          </cell>
        </row>
        <row r="565">
          <cell r="A565" t="str">
            <v>5NMS2CAD6KH087654</v>
          </cell>
          <cell r="B565">
            <v>2019</v>
          </cell>
          <cell r="C565" t="str">
            <v>HYUNDAI</v>
          </cell>
          <cell r="D565" t="str">
            <v>SANTA FE</v>
          </cell>
          <cell r="E565">
            <v>130821</v>
          </cell>
          <cell r="F565" t="str">
            <v>Grade 4.0</v>
          </cell>
          <cell r="G565" t="str">
            <v>Green Light</v>
          </cell>
          <cell r="H565" t="str">
            <v>Yes</v>
          </cell>
          <cell r="I565" t="str">
            <v>No</v>
          </cell>
          <cell r="J565">
            <v>45734</v>
          </cell>
          <cell r="K565" t="str">
            <v>Yes</v>
          </cell>
          <cell r="L565">
            <v>44067</v>
          </cell>
          <cell r="M565">
            <v>235</v>
          </cell>
          <cell r="N565">
            <v>285</v>
          </cell>
          <cell r="O565">
            <v>7110.0849609375</v>
          </cell>
          <cell r="P565">
            <v>9642.0207875808101</v>
          </cell>
          <cell r="Q565">
            <v>7131.20751953125</v>
          </cell>
        </row>
        <row r="566">
          <cell r="A566" t="str">
            <v>5NPD84LF4KH443047</v>
          </cell>
          <cell r="B566">
            <v>2019</v>
          </cell>
          <cell r="C566" t="str">
            <v>HYUNDAI</v>
          </cell>
          <cell r="D566" t="str">
            <v>ELANTRA</v>
          </cell>
          <cell r="E566">
            <v>92150</v>
          </cell>
          <cell r="F566" t="str">
            <v>Grade 2.0</v>
          </cell>
          <cell r="G566" t="str">
            <v>Inoperable</v>
          </cell>
          <cell r="H566" t="str">
            <v>No</v>
          </cell>
          <cell r="I566" t="str">
            <v>Yes</v>
          </cell>
          <cell r="J566">
            <v>45505</v>
          </cell>
          <cell r="K566" t="str">
            <v>Yes</v>
          </cell>
          <cell r="L566">
            <v>44067</v>
          </cell>
          <cell r="M566">
            <v>235</v>
          </cell>
          <cell r="N566">
            <v>285</v>
          </cell>
          <cell r="O566">
            <v>4475.57470703125</v>
          </cell>
          <cell r="P566">
            <v>8888.9675750854658</v>
          </cell>
          <cell r="Q566">
            <v>4365.63232421875</v>
          </cell>
        </row>
        <row r="567">
          <cell r="A567" t="str">
            <v>5NPD84LF7HH200745</v>
          </cell>
          <cell r="B567">
            <v>2017</v>
          </cell>
          <cell r="C567" t="str">
            <v>HYUNDAI</v>
          </cell>
          <cell r="D567" t="str">
            <v>ELANTRA</v>
          </cell>
          <cell r="E567">
            <v>106125</v>
          </cell>
          <cell r="F567" t="str">
            <v>Grade 3.1</v>
          </cell>
          <cell r="G567" t="str">
            <v>Green Light</v>
          </cell>
          <cell r="H567" t="str">
            <v>Yes</v>
          </cell>
          <cell r="I567" t="str">
            <v>No</v>
          </cell>
          <cell r="J567">
            <v>45435</v>
          </cell>
          <cell r="K567" t="str">
            <v>Yes</v>
          </cell>
          <cell r="L567">
            <v>44067</v>
          </cell>
          <cell r="M567">
            <v>235</v>
          </cell>
          <cell r="N567">
            <v>285</v>
          </cell>
          <cell r="O567">
            <v>6102.1982421875</v>
          </cell>
          <cell r="P567">
            <v>8683.9702984058422</v>
          </cell>
          <cell r="Q567">
            <v>5960.9638671875</v>
          </cell>
        </row>
        <row r="568">
          <cell r="A568" t="str">
            <v>5NPDH4AE3EH486390</v>
          </cell>
          <cell r="B568">
            <v>2014</v>
          </cell>
          <cell r="C568" t="str">
            <v>HYUNDAI</v>
          </cell>
          <cell r="D568" t="str">
            <v>ELANTRA</v>
          </cell>
          <cell r="E568">
            <v>162609</v>
          </cell>
          <cell r="F568" t="str">
            <v>Grade 2.4</v>
          </cell>
          <cell r="G568" t="str">
            <v>Red Light</v>
          </cell>
          <cell r="H568" t="str">
            <v>No</v>
          </cell>
          <cell r="I568" t="str">
            <v>Yes</v>
          </cell>
          <cell r="J568">
            <v>45505</v>
          </cell>
          <cell r="K568" t="str">
            <v>Yes</v>
          </cell>
          <cell r="L568">
            <v>44067</v>
          </cell>
          <cell r="M568">
            <v>235</v>
          </cell>
          <cell r="N568">
            <v>285</v>
          </cell>
          <cell r="O568">
            <v>977.668701171875</v>
          </cell>
          <cell r="P568">
            <v>8565.006194416419</v>
          </cell>
          <cell r="Q568">
            <v>1180.456665039062</v>
          </cell>
        </row>
        <row r="569">
          <cell r="A569" t="str">
            <v>5NPE24AF5FH214715</v>
          </cell>
          <cell r="B569">
            <v>2015</v>
          </cell>
          <cell r="C569" t="str">
            <v>HYUNDAI</v>
          </cell>
          <cell r="D569" t="str">
            <v>SONATA</v>
          </cell>
          <cell r="E569">
            <v>138417</v>
          </cell>
          <cell r="F569" t="str">
            <v>Grade 3.0</v>
          </cell>
          <cell r="G569" t="str">
            <v>Green Light</v>
          </cell>
          <cell r="H569" t="str">
            <v>Yes</v>
          </cell>
          <cell r="I569" t="str">
            <v>No</v>
          </cell>
          <cell r="J569">
            <v>45715</v>
          </cell>
          <cell r="K569" t="str">
            <v>Yes</v>
          </cell>
          <cell r="L569">
            <v>44067</v>
          </cell>
          <cell r="M569">
            <v>235</v>
          </cell>
          <cell r="N569">
            <v>285</v>
          </cell>
          <cell r="O569">
            <v>3254.367919921875</v>
          </cell>
          <cell r="P569">
            <v>8707.8692455657274</v>
          </cell>
          <cell r="Q569">
            <v>3109.43505859375</v>
          </cell>
        </row>
        <row r="570">
          <cell r="A570" t="str">
            <v>5NPE24AF5HH587773</v>
          </cell>
          <cell r="B570">
            <v>2017</v>
          </cell>
          <cell r="C570" t="str">
            <v>HYUNDAI</v>
          </cell>
          <cell r="D570" t="str">
            <v>SONATA</v>
          </cell>
          <cell r="E570">
            <v>113777</v>
          </cell>
          <cell r="F570" t="str">
            <v>Grade 3.1</v>
          </cell>
          <cell r="G570" t="str">
            <v>Green/Yellow</v>
          </cell>
          <cell r="H570" t="str">
            <v>Yes</v>
          </cell>
          <cell r="I570" t="str">
            <v>No</v>
          </cell>
          <cell r="J570">
            <v>45666</v>
          </cell>
          <cell r="K570" t="str">
            <v>Yes</v>
          </cell>
          <cell r="L570">
            <v>44067</v>
          </cell>
          <cell r="M570">
            <v>235</v>
          </cell>
          <cell r="N570">
            <v>285</v>
          </cell>
          <cell r="O570">
            <v>4764.90380859375</v>
          </cell>
          <cell r="P570">
            <v>8734.4723068133517</v>
          </cell>
          <cell r="Q570">
            <v>4667.08935546875</v>
          </cell>
        </row>
        <row r="571">
          <cell r="A571" t="str">
            <v>5NPE24AF7HH548327</v>
          </cell>
          <cell r="B571">
            <v>2017</v>
          </cell>
          <cell r="C571" t="str">
            <v>HYUNDAI</v>
          </cell>
          <cell r="D571" t="str">
            <v>SONATA</v>
          </cell>
          <cell r="E571">
            <v>124466</v>
          </cell>
          <cell r="F571" t="str">
            <v>Grade 1.5</v>
          </cell>
          <cell r="G571" t="str">
            <v>Red Light</v>
          </cell>
          <cell r="H571" t="str">
            <v>No</v>
          </cell>
          <cell r="I571" t="str">
            <v>Yes</v>
          </cell>
          <cell r="J571">
            <v>45554</v>
          </cell>
          <cell r="K571" t="str">
            <v>Yes</v>
          </cell>
          <cell r="L571">
            <v>44067</v>
          </cell>
          <cell r="M571">
            <v>235</v>
          </cell>
          <cell r="N571">
            <v>285</v>
          </cell>
          <cell r="O571">
            <v>2562.561279296875</v>
          </cell>
          <cell r="P571">
            <v>8571.1423229716347</v>
          </cell>
          <cell r="Q571">
            <v>2378.35205078125</v>
          </cell>
        </row>
        <row r="572">
          <cell r="A572" t="str">
            <v>5NPE24AF9JH601745</v>
          </cell>
          <cell r="B572">
            <v>2018</v>
          </cell>
          <cell r="C572" t="str">
            <v>HYUNDAI</v>
          </cell>
          <cell r="D572" t="str">
            <v>SONATA</v>
          </cell>
          <cell r="E572">
            <v>98193</v>
          </cell>
          <cell r="F572" t="str">
            <v>Grade 1.7</v>
          </cell>
          <cell r="G572" t="str">
            <v>Green/Yellow</v>
          </cell>
          <cell r="H572" t="str">
            <v>Yes</v>
          </cell>
          <cell r="I572" t="str">
            <v>No</v>
          </cell>
          <cell r="J572">
            <v>45589</v>
          </cell>
          <cell r="K572" t="str">
            <v>Yes</v>
          </cell>
          <cell r="L572">
            <v>44067</v>
          </cell>
          <cell r="M572">
            <v>235</v>
          </cell>
          <cell r="N572">
            <v>285</v>
          </cell>
          <cell r="O572">
            <v>3188.6806640625</v>
          </cell>
          <cell r="P572">
            <v>8911.5084246015558</v>
          </cell>
          <cell r="Q572">
            <v>3044.94580078125</v>
          </cell>
        </row>
        <row r="573">
          <cell r="A573" t="str">
            <v>5NPE34AF1FH098393</v>
          </cell>
          <cell r="B573">
            <v>2015</v>
          </cell>
          <cell r="C573" t="str">
            <v>HYUNDAI</v>
          </cell>
          <cell r="D573" t="str">
            <v>SONATA</v>
          </cell>
          <cell r="E573">
            <v>100857</v>
          </cell>
          <cell r="F573" t="str">
            <v>Grade 1.8</v>
          </cell>
          <cell r="G573" t="str">
            <v>Inoperable</v>
          </cell>
          <cell r="H573" t="str">
            <v>No</v>
          </cell>
          <cell r="I573" t="str">
            <v>Yes</v>
          </cell>
          <cell r="J573">
            <v>45524</v>
          </cell>
          <cell r="K573" t="str">
            <v>Yes</v>
          </cell>
          <cell r="L573">
            <v>44067</v>
          </cell>
          <cell r="M573">
            <v>235</v>
          </cell>
          <cell r="N573">
            <v>285</v>
          </cell>
          <cell r="O573">
            <v>1847.588989257812</v>
          </cell>
          <cell r="P573">
            <v>8625.1611315002356</v>
          </cell>
          <cell r="Q573">
            <v>1786.465209960938</v>
          </cell>
        </row>
        <row r="574">
          <cell r="A574" t="str">
            <v>5NPEB4AC4DH800325</v>
          </cell>
          <cell r="B574">
            <v>2013</v>
          </cell>
          <cell r="C574" t="str">
            <v>HYUNDAI</v>
          </cell>
          <cell r="D574" t="str">
            <v>SONATA</v>
          </cell>
          <cell r="E574">
            <v>116096</v>
          </cell>
          <cell r="F574" t="str">
            <v>Grade 2.1</v>
          </cell>
          <cell r="G574" t="str">
            <v>Red Light</v>
          </cell>
          <cell r="H574" t="str">
            <v>No</v>
          </cell>
          <cell r="I574" t="str">
            <v>Yes</v>
          </cell>
          <cell r="J574">
            <v>45701</v>
          </cell>
          <cell r="K574" t="str">
            <v>Yes</v>
          </cell>
          <cell r="L574">
            <v>44067</v>
          </cell>
          <cell r="M574">
            <v>235</v>
          </cell>
          <cell r="N574">
            <v>285</v>
          </cell>
          <cell r="O574">
            <v>791.76654052734375</v>
          </cell>
          <cell r="P574">
            <v>8556.4587647161297</v>
          </cell>
          <cell r="Q574">
            <v>1089.763549804688</v>
          </cell>
        </row>
        <row r="575">
          <cell r="A575" t="str">
            <v>5NPEC4AB6CH391232</v>
          </cell>
          <cell r="B575">
            <v>2012</v>
          </cell>
          <cell r="C575" t="str">
            <v>HYUNDAI</v>
          </cell>
          <cell r="D575" t="str">
            <v>SONATA</v>
          </cell>
          <cell r="E575">
            <v>91749</v>
          </cell>
          <cell r="F575" t="str">
            <v>Grade 4.2</v>
          </cell>
          <cell r="G575" t="str">
            <v>Green Light</v>
          </cell>
          <cell r="H575" t="str">
            <v>Yes</v>
          </cell>
          <cell r="I575" t="str">
            <v>No</v>
          </cell>
          <cell r="J575">
            <v>45498</v>
          </cell>
          <cell r="K575" t="str">
            <v>Yes</v>
          </cell>
          <cell r="L575">
            <v>44067</v>
          </cell>
          <cell r="M575">
            <v>235</v>
          </cell>
          <cell r="N575">
            <v>285</v>
          </cell>
          <cell r="O575">
            <v>5022.763671875</v>
          </cell>
          <cell r="P575">
            <v>9590.5064321316295</v>
          </cell>
          <cell r="Q575">
            <v>5016.734375</v>
          </cell>
        </row>
        <row r="576">
          <cell r="A576" t="str">
            <v>5XXGN4A77DG094837</v>
          </cell>
          <cell r="B576">
            <v>2013</v>
          </cell>
          <cell r="C576" t="str">
            <v>KIA</v>
          </cell>
          <cell r="D576" t="str">
            <v>OPTIMA</v>
          </cell>
          <cell r="E576">
            <v>99178</v>
          </cell>
          <cell r="F576" t="str">
            <v>Grade 2.9</v>
          </cell>
          <cell r="G576" t="str">
            <v>Green Light</v>
          </cell>
          <cell r="H576" t="str">
            <v>Yes</v>
          </cell>
          <cell r="I576" t="str">
            <v>No</v>
          </cell>
          <cell r="J576">
            <v>45484</v>
          </cell>
          <cell r="K576" t="str">
            <v>Yes</v>
          </cell>
          <cell r="L576">
            <v>44067</v>
          </cell>
          <cell r="M576">
            <v>235</v>
          </cell>
          <cell r="N576">
            <v>285</v>
          </cell>
          <cell r="O576">
            <v>1386.6513671875</v>
          </cell>
          <cell r="P576">
            <v>8849.4301978718086</v>
          </cell>
          <cell r="Q576">
            <v>1380.25</v>
          </cell>
        </row>
        <row r="577">
          <cell r="A577" t="str">
            <v>5XYKUCA17BG101281</v>
          </cell>
          <cell r="B577">
            <v>2011</v>
          </cell>
          <cell r="C577" t="str">
            <v>KIA</v>
          </cell>
          <cell r="D577" t="str">
            <v>SORENTO AWD 4C</v>
          </cell>
          <cell r="E577">
            <v>123251</v>
          </cell>
          <cell r="F577" t="str">
            <v>Grade 2.5</v>
          </cell>
          <cell r="G577" t="str">
            <v>Red Light</v>
          </cell>
          <cell r="H577" t="str">
            <v>No</v>
          </cell>
          <cell r="I577" t="str">
            <v>Yes</v>
          </cell>
          <cell r="J577">
            <v>45498</v>
          </cell>
          <cell r="K577" t="str">
            <v>Yes</v>
          </cell>
          <cell r="L577">
            <v>44067</v>
          </cell>
          <cell r="M577">
            <v>235</v>
          </cell>
          <cell r="N577">
            <v>285</v>
          </cell>
          <cell r="O577">
            <v>641.63031005859375</v>
          </cell>
          <cell r="P577">
            <v>8711.1789896348728</v>
          </cell>
          <cell r="Q577">
            <v>932.59674072265625</v>
          </cell>
        </row>
        <row r="578">
          <cell r="A578" t="str">
            <v>5XYPG4A36HG218573</v>
          </cell>
          <cell r="B578">
            <v>2017</v>
          </cell>
          <cell r="C578" t="str">
            <v>KIA</v>
          </cell>
          <cell r="D578" t="str">
            <v>SORENTO FWD 4C</v>
          </cell>
          <cell r="E578">
            <v>56400</v>
          </cell>
          <cell r="F578" t="str">
            <v>Grade 1.1</v>
          </cell>
          <cell r="G578" t="str">
            <v>Salvage</v>
          </cell>
          <cell r="H578" t="str">
            <v>No</v>
          </cell>
          <cell r="I578" t="str">
            <v>Yes</v>
          </cell>
          <cell r="J578">
            <v>45435</v>
          </cell>
          <cell r="K578" t="str">
            <v>Yes</v>
          </cell>
          <cell r="L578">
            <v>44067</v>
          </cell>
          <cell r="M578">
            <v>235</v>
          </cell>
          <cell r="N578">
            <v>285</v>
          </cell>
          <cell r="O578">
            <v>4043.2421875</v>
          </cell>
          <cell r="P578">
            <v>10770.50551619814</v>
          </cell>
          <cell r="Q578">
            <v>3734.36181640625</v>
          </cell>
        </row>
        <row r="579">
          <cell r="A579" t="str">
            <v>JA4AZ3A39EZ016182</v>
          </cell>
          <cell r="B579">
            <v>2014</v>
          </cell>
          <cell r="C579" t="str">
            <v>MITSUBISHI</v>
          </cell>
          <cell r="D579" t="str">
            <v>OUTLANDER</v>
          </cell>
          <cell r="E579">
            <v>100776</v>
          </cell>
          <cell r="F579" t="str">
            <v>Grade 2.0</v>
          </cell>
          <cell r="G579" t="str">
            <v>Inoperable</v>
          </cell>
          <cell r="H579" t="str">
            <v>No</v>
          </cell>
          <cell r="I579" t="str">
            <v>Yes</v>
          </cell>
          <cell r="J579">
            <v>45370</v>
          </cell>
          <cell r="K579" t="str">
            <v>Yes</v>
          </cell>
          <cell r="L579">
            <v>44067</v>
          </cell>
          <cell r="M579">
            <v>235</v>
          </cell>
          <cell r="N579">
            <v>285</v>
          </cell>
          <cell r="O579">
            <v>1927.290771484375</v>
          </cell>
          <cell r="P579">
            <v>9185.4663320793534</v>
          </cell>
          <cell r="Q579">
            <v>1892.78857421875</v>
          </cell>
        </row>
        <row r="580">
          <cell r="A580" t="str">
            <v>JF1GJAB68GH019867</v>
          </cell>
          <cell r="B580">
            <v>2016</v>
          </cell>
          <cell r="C580" t="str">
            <v>SUBARU</v>
          </cell>
          <cell r="D580" t="str">
            <v>IMPREZA</v>
          </cell>
          <cell r="E580">
            <v>60315</v>
          </cell>
          <cell r="F580" t="str">
            <v>Grade 2.3</v>
          </cell>
          <cell r="G580" t="str">
            <v>Green Light</v>
          </cell>
          <cell r="H580" t="str">
            <v>Yes</v>
          </cell>
          <cell r="I580" t="str">
            <v>No</v>
          </cell>
          <cell r="J580">
            <v>45594</v>
          </cell>
          <cell r="K580" t="str">
            <v>Yes</v>
          </cell>
          <cell r="L580">
            <v>44067</v>
          </cell>
          <cell r="M580">
            <v>235</v>
          </cell>
          <cell r="N580">
            <v>285</v>
          </cell>
          <cell r="O580">
            <v>6340.5849609375</v>
          </cell>
          <cell r="P580">
            <v>11170.26803786498</v>
          </cell>
          <cell r="Q580">
            <v>5960.42333984375</v>
          </cell>
        </row>
        <row r="581">
          <cell r="A581" t="str">
            <v>JM1BN1V77H1116985</v>
          </cell>
          <cell r="B581">
            <v>2017</v>
          </cell>
          <cell r="C581" t="str">
            <v>MAZDA</v>
          </cell>
          <cell r="D581" t="str">
            <v>MAZDA3</v>
          </cell>
          <cell r="E581">
            <v>103861</v>
          </cell>
          <cell r="F581" t="str">
            <v>Grade 2.3</v>
          </cell>
          <cell r="G581" t="str">
            <v>Green Light</v>
          </cell>
          <cell r="H581" t="str">
            <v>Yes</v>
          </cell>
          <cell r="I581" t="str">
            <v>No</v>
          </cell>
          <cell r="J581">
            <v>45678</v>
          </cell>
          <cell r="K581" t="str">
            <v>Yes</v>
          </cell>
          <cell r="L581">
            <v>44067</v>
          </cell>
          <cell r="M581">
            <v>235</v>
          </cell>
          <cell r="N581">
            <v>285</v>
          </cell>
          <cell r="O581">
            <v>3498.422607421875</v>
          </cell>
          <cell r="P581">
            <v>9150.4651278756373</v>
          </cell>
          <cell r="Q581">
            <v>3447.5703125</v>
          </cell>
        </row>
        <row r="582">
          <cell r="A582" t="str">
            <v>JN8AT2MT2GW010455</v>
          </cell>
          <cell r="B582">
            <v>2016</v>
          </cell>
          <cell r="C582" t="str">
            <v>NISSAN</v>
          </cell>
          <cell r="D582" t="str">
            <v>ROGUE</v>
          </cell>
          <cell r="E582">
            <v>62400</v>
          </cell>
          <cell r="F582" t="str">
            <v>Grade 4.5</v>
          </cell>
          <cell r="G582" t="str">
            <v>Certified</v>
          </cell>
          <cell r="H582" t="str">
            <v>Yes</v>
          </cell>
          <cell r="I582" t="str">
            <v>No</v>
          </cell>
          <cell r="J582">
            <v>45524</v>
          </cell>
          <cell r="K582" t="str">
            <v>Yes</v>
          </cell>
          <cell r="L582">
            <v>44067</v>
          </cell>
          <cell r="M582">
            <v>235</v>
          </cell>
          <cell r="N582">
            <v>285</v>
          </cell>
          <cell r="O582">
            <v>10753.4453125</v>
          </cell>
          <cell r="P582">
            <v>11851.67964171038</v>
          </cell>
          <cell r="Q582">
            <v>10494.6142578125</v>
          </cell>
        </row>
        <row r="583">
          <cell r="A583" t="str">
            <v>KL4CJASB7HB107085</v>
          </cell>
          <cell r="B583">
            <v>2017</v>
          </cell>
          <cell r="C583" t="str">
            <v>BUICK</v>
          </cell>
          <cell r="D583" t="str">
            <v>ENCORE FWD</v>
          </cell>
          <cell r="E583">
            <v>129974</v>
          </cell>
          <cell r="F583" t="str">
            <v>Grade 2.6</v>
          </cell>
          <cell r="G583" t="str">
            <v>Red Light</v>
          </cell>
          <cell r="H583" t="str">
            <v>No</v>
          </cell>
          <cell r="I583" t="str">
            <v>Yes</v>
          </cell>
          <cell r="J583">
            <v>45631</v>
          </cell>
          <cell r="K583" t="str">
            <v>Yes</v>
          </cell>
          <cell r="L583">
            <v>44067</v>
          </cell>
          <cell r="M583">
            <v>235</v>
          </cell>
          <cell r="N583">
            <v>285</v>
          </cell>
          <cell r="O583">
            <v>2524.83154296875</v>
          </cell>
          <cell r="P583">
            <v>9156.6114129187044</v>
          </cell>
          <cell r="Q583">
            <v>2338.3408203125</v>
          </cell>
        </row>
        <row r="584">
          <cell r="A584" t="str">
            <v>KL7CJKSB2HB213520</v>
          </cell>
          <cell r="B584">
            <v>2017</v>
          </cell>
          <cell r="C584" t="str">
            <v>CHEVROLET</v>
          </cell>
          <cell r="D584" t="str">
            <v>TRAX</v>
          </cell>
          <cell r="E584">
            <v>78733</v>
          </cell>
          <cell r="F584" t="str">
            <v>Grade 1.1</v>
          </cell>
          <cell r="G584" t="str">
            <v>Inoperable</v>
          </cell>
          <cell r="H584" t="str">
            <v>No</v>
          </cell>
          <cell r="I584" t="str">
            <v>Yes</v>
          </cell>
          <cell r="J584">
            <v>45356</v>
          </cell>
          <cell r="K584" t="str">
            <v>Yes</v>
          </cell>
          <cell r="L584">
            <v>44067</v>
          </cell>
          <cell r="M584">
            <v>235</v>
          </cell>
          <cell r="N584">
            <v>285</v>
          </cell>
          <cell r="O584">
            <v>3450.427490234375</v>
          </cell>
          <cell r="P584">
            <v>9470.3757342957379</v>
          </cell>
          <cell r="Q584">
            <v>3493.63818359375</v>
          </cell>
        </row>
        <row r="585">
          <cell r="A585" t="str">
            <v>KL7CJKSB7FB138097</v>
          </cell>
          <cell r="B585">
            <v>2015</v>
          </cell>
          <cell r="C585" t="str">
            <v>CHEVROLET</v>
          </cell>
          <cell r="D585" t="str">
            <v>TRAX</v>
          </cell>
          <cell r="E585">
            <v>106030</v>
          </cell>
          <cell r="F585" t="str">
            <v>Grade 2.8</v>
          </cell>
          <cell r="G585" t="str">
            <v>Green Light</v>
          </cell>
          <cell r="H585" t="str">
            <v>Yes</v>
          </cell>
          <cell r="I585" t="str">
            <v>No</v>
          </cell>
          <cell r="J585">
            <v>45314</v>
          </cell>
          <cell r="K585" t="str">
            <v>Yes</v>
          </cell>
          <cell r="L585">
            <v>44067</v>
          </cell>
          <cell r="M585">
            <v>235</v>
          </cell>
          <cell r="N585">
            <v>285</v>
          </cell>
          <cell r="O585">
            <v>2060.852783203125</v>
          </cell>
          <cell r="P585">
            <v>9416.2475008238725</v>
          </cell>
          <cell r="Q585">
            <v>2082.42431640625</v>
          </cell>
        </row>
        <row r="586">
          <cell r="A586" t="str">
            <v>KL8CD6SA6LC429620</v>
          </cell>
          <cell r="B586">
            <v>2020</v>
          </cell>
          <cell r="C586" t="str">
            <v>CHEVROLET</v>
          </cell>
          <cell r="D586" t="str">
            <v>SPARK</v>
          </cell>
          <cell r="E586">
            <v>60027</v>
          </cell>
          <cell r="F586" t="str">
            <v>Grade 3.4</v>
          </cell>
          <cell r="G586" t="str">
            <v>Green Light</v>
          </cell>
          <cell r="H586" t="str">
            <v>Yes</v>
          </cell>
          <cell r="I586" t="str">
            <v>No</v>
          </cell>
          <cell r="J586">
            <v>45342</v>
          </cell>
          <cell r="K586" t="str">
            <v>Yes</v>
          </cell>
          <cell r="L586">
            <v>44067</v>
          </cell>
          <cell r="M586">
            <v>235</v>
          </cell>
          <cell r="N586">
            <v>285</v>
          </cell>
          <cell r="O586">
            <v>15861.7841796875</v>
          </cell>
          <cell r="P586">
            <v>12634.726024588401</v>
          </cell>
          <cell r="Q586">
            <v>15945.18359375</v>
          </cell>
        </row>
        <row r="587">
          <cell r="A587" t="str">
            <v>KM8J33A42GU196004</v>
          </cell>
          <cell r="B587">
            <v>2016</v>
          </cell>
          <cell r="C587" t="str">
            <v>HYUNDAI</v>
          </cell>
          <cell r="D587" t="str">
            <v>TUCSON</v>
          </cell>
          <cell r="E587">
            <v>133336</v>
          </cell>
          <cell r="F587" t="str">
            <v>Grade 2.5</v>
          </cell>
          <cell r="G587" t="str">
            <v>Green Light</v>
          </cell>
          <cell r="H587" t="str">
            <v>Yes</v>
          </cell>
          <cell r="I587" t="str">
            <v>No</v>
          </cell>
          <cell r="J587">
            <v>45734</v>
          </cell>
          <cell r="K587" t="str">
            <v>Yes</v>
          </cell>
          <cell r="L587">
            <v>44067</v>
          </cell>
          <cell r="M587">
            <v>235</v>
          </cell>
          <cell r="N587">
            <v>285</v>
          </cell>
          <cell r="O587">
            <v>1099.516723632812</v>
          </cell>
          <cell r="P587">
            <v>8872.5997088185704</v>
          </cell>
          <cell r="Q587">
            <v>1169.860107421875</v>
          </cell>
        </row>
        <row r="588">
          <cell r="A588" t="str">
            <v>KM8JU3AC6DU573904</v>
          </cell>
          <cell r="B588">
            <v>2013</v>
          </cell>
          <cell r="C588" t="str">
            <v>HYUNDAI</v>
          </cell>
          <cell r="D588" t="str">
            <v>TUCSON FWD 4C</v>
          </cell>
          <cell r="E588">
            <v>122914</v>
          </cell>
          <cell r="F588" t="str">
            <v>Grade 2.9</v>
          </cell>
          <cell r="G588" t="str">
            <v>Green Light</v>
          </cell>
          <cell r="H588" t="str">
            <v>Yes</v>
          </cell>
          <cell r="I588" t="str">
            <v>No</v>
          </cell>
          <cell r="J588">
            <v>45302</v>
          </cell>
          <cell r="K588" t="str">
            <v>Yes</v>
          </cell>
          <cell r="L588">
            <v>44067</v>
          </cell>
          <cell r="M588">
            <v>235</v>
          </cell>
          <cell r="N588">
            <v>285</v>
          </cell>
          <cell r="O588">
            <v>1175.796752929688</v>
          </cell>
          <cell r="P588">
            <v>8736.5793255886601</v>
          </cell>
          <cell r="Q588">
            <v>1281.388061523438</v>
          </cell>
        </row>
        <row r="589">
          <cell r="A589" t="str">
            <v>KM8K22AA9KU211811</v>
          </cell>
          <cell r="B589">
            <v>2019</v>
          </cell>
          <cell r="C589" t="str">
            <v>HYUNDAI</v>
          </cell>
          <cell r="D589" t="str">
            <v>KONA</v>
          </cell>
          <cell r="E589">
            <v>15087</v>
          </cell>
          <cell r="F589" t="str">
            <v>Grade 3.1</v>
          </cell>
          <cell r="G589" t="str">
            <v>Green Light</v>
          </cell>
          <cell r="H589" t="str">
            <v>Yes</v>
          </cell>
          <cell r="I589" t="str">
            <v>No</v>
          </cell>
          <cell r="J589">
            <v>45398</v>
          </cell>
          <cell r="K589" t="str">
            <v>Yes</v>
          </cell>
          <cell r="L589">
            <v>44067</v>
          </cell>
          <cell r="M589">
            <v>235</v>
          </cell>
          <cell r="N589">
            <v>285</v>
          </cell>
          <cell r="O589">
            <v>22088.1796875</v>
          </cell>
          <cell r="P589">
            <v>11421.78881411262</v>
          </cell>
          <cell r="Q589">
            <v>22521.041015625</v>
          </cell>
        </row>
        <row r="590">
          <cell r="A590" t="str">
            <v>KMHCT5AEXFU233408</v>
          </cell>
          <cell r="B590">
            <v>2015</v>
          </cell>
          <cell r="C590" t="str">
            <v>HYUNDAI</v>
          </cell>
          <cell r="D590" t="str">
            <v>ACCENT</v>
          </cell>
          <cell r="E590">
            <v>91590</v>
          </cell>
          <cell r="F590" t="str">
            <v>Grade 2.1</v>
          </cell>
          <cell r="G590" t="str">
            <v>Green Light</v>
          </cell>
          <cell r="H590" t="str">
            <v>Yes</v>
          </cell>
          <cell r="I590" t="str">
            <v>No</v>
          </cell>
          <cell r="J590">
            <v>45575</v>
          </cell>
          <cell r="K590" t="str">
            <v>Yes</v>
          </cell>
          <cell r="L590">
            <v>44067</v>
          </cell>
          <cell r="M590">
            <v>235</v>
          </cell>
          <cell r="N590">
            <v>285</v>
          </cell>
          <cell r="O590">
            <v>2519.216552734375</v>
          </cell>
          <cell r="P590">
            <v>8845.4666705803647</v>
          </cell>
          <cell r="Q590">
            <v>2338.3408203125</v>
          </cell>
        </row>
        <row r="591">
          <cell r="A591" t="str">
            <v>KMHD35LH9FU241088</v>
          </cell>
          <cell r="B591">
            <v>2015</v>
          </cell>
          <cell r="C591" t="str">
            <v>HYUNDAI</v>
          </cell>
          <cell r="D591" t="str">
            <v>ELANTRA GT</v>
          </cell>
          <cell r="E591">
            <v>136242</v>
          </cell>
          <cell r="F591" t="str">
            <v>Grade 2.6</v>
          </cell>
          <cell r="G591" t="str">
            <v>Green Light</v>
          </cell>
          <cell r="H591" t="str">
            <v>Yes</v>
          </cell>
          <cell r="I591" t="str">
            <v>No</v>
          </cell>
          <cell r="J591">
            <v>45603</v>
          </cell>
          <cell r="K591" t="str">
            <v>Yes</v>
          </cell>
          <cell r="L591">
            <v>44067</v>
          </cell>
          <cell r="M591">
            <v>235</v>
          </cell>
          <cell r="N591">
            <v>285</v>
          </cell>
          <cell r="O591">
            <v>1305.67626953125</v>
          </cell>
          <cell r="P591">
            <v>8692.4263797578042</v>
          </cell>
          <cell r="Q591">
            <v>1330.663208007812</v>
          </cell>
        </row>
        <row r="592">
          <cell r="A592" t="str">
            <v>KMHDH4AH9FU348754</v>
          </cell>
          <cell r="B592">
            <v>2015</v>
          </cell>
          <cell r="C592" t="str">
            <v>HYUNDAI</v>
          </cell>
          <cell r="D592" t="str">
            <v>ELANTRA</v>
          </cell>
          <cell r="E592">
            <v>154058</v>
          </cell>
          <cell r="F592" t="str">
            <v>Grade 2.6</v>
          </cell>
          <cell r="G592" t="str">
            <v>Red Light</v>
          </cell>
          <cell r="H592" t="str">
            <v>No</v>
          </cell>
          <cell r="I592" t="str">
            <v>Yes</v>
          </cell>
          <cell r="J592">
            <v>45736</v>
          </cell>
          <cell r="K592" t="str">
            <v>Yes</v>
          </cell>
          <cell r="L592">
            <v>44067</v>
          </cell>
          <cell r="M592">
            <v>235</v>
          </cell>
          <cell r="N592">
            <v>285</v>
          </cell>
          <cell r="O592">
            <v>940.4462890625</v>
          </cell>
          <cell r="P592">
            <v>8733.8498405443443</v>
          </cell>
          <cell r="Q592">
            <v>1088.946655273438</v>
          </cell>
        </row>
        <row r="593">
          <cell r="A593" t="str">
            <v>KMHE34L12HA057228</v>
          </cell>
          <cell r="B593">
            <v>2017</v>
          </cell>
          <cell r="C593" t="str">
            <v>HYUNDAI</v>
          </cell>
          <cell r="D593" t="str">
            <v>SONATA HYBRID</v>
          </cell>
          <cell r="E593">
            <v>124252</v>
          </cell>
          <cell r="F593" t="str">
            <v>Grade 2.7</v>
          </cell>
          <cell r="G593" t="str">
            <v>Red Light</v>
          </cell>
          <cell r="H593" t="str">
            <v>No</v>
          </cell>
          <cell r="I593" t="str">
            <v>Yes</v>
          </cell>
          <cell r="J593">
            <v>45370</v>
          </cell>
          <cell r="K593" t="str">
            <v>Yes</v>
          </cell>
          <cell r="L593">
            <v>44067</v>
          </cell>
          <cell r="M593">
            <v>235</v>
          </cell>
          <cell r="N593">
            <v>285</v>
          </cell>
          <cell r="O593">
            <v>3025.92822265625</v>
          </cell>
          <cell r="P593">
            <v>8748.8459234978909</v>
          </cell>
          <cell r="Q593">
            <v>2868.453125</v>
          </cell>
        </row>
        <row r="594">
          <cell r="A594" t="str">
            <v>KMHFH4JGXEA348469</v>
          </cell>
          <cell r="B594">
            <v>2014</v>
          </cell>
          <cell r="C594" t="str">
            <v>HYUNDAI</v>
          </cell>
          <cell r="D594" t="str">
            <v>AZERA</v>
          </cell>
          <cell r="E594">
            <v>159228</v>
          </cell>
          <cell r="F594" t="str">
            <v>Grade 1.2</v>
          </cell>
          <cell r="G594" t="str">
            <v>Inoperable</v>
          </cell>
          <cell r="H594" t="str">
            <v>No</v>
          </cell>
          <cell r="I594" t="str">
            <v>Yes</v>
          </cell>
          <cell r="J594">
            <v>45580</v>
          </cell>
          <cell r="K594" t="str">
            <v>Yes</v>
          </cell>
          <cell r="L594">
            <v>44067</v>
          </cell>
          <cell r="M594">
            <v>235</v>
          </cell>
          <cell r="N594">
            <v>285</v>
          </cell>
          <cell r="O594">
            <v>798.64703369140625</v>
          </cell>
          <cell r="P594">
            <v>8637.3560559852504</v>
          </cell>
          <cell r="Q594">
            <v>1091.8388671875</v>
          </cell>
        </row>
        <row r="595">
          <cell r="A595" t="str">
            <v>KNDJP3A51J7904735</v>
          </cell>
          <cell r="B595">
            <v>2018</v>
          </cell>
          <cell r="C595" t="str">
            <v>KIA</v>
          </cell>
          <cell r="D595" t="str">
            <v>SOUL</v>
          </cell>
          <cell r="E595">
            <v>149084</v>
          </cell>
          <cell r="F595" t="str">
            <v>Grade 2.0</v>
          </cell>
          <cell r="G595" t="str">
            <v>Inoperable</v>
          </cell>
          <cell r="H595" t="str">
            <v>No</v>
          </cell>
          <cell r="I595" t="str">
            <v>Yes</v>
          </cell>
          <cell r="J595">
            <v>45526</v>
          </cell>
          <cell r="K595" t="str">
            <v>Yes</v>
          </cell>
          <cell r="L595">
            <v>44067</v>
          </cell>
          <cell r="M595">
            <v>235</v>
          </cell>
          <cell r="N595">
            <v>285</v>
          </cell>
          <cell r="O595">
            <v>2546.605712890625</v>
          </cell>
          <cell r="P595">
            <v>8635.5098207763167</v>
          </cell>
          <cell r="Q595">
            <v>2349.4912109375</v>
          </cell>
        </row>
        <row r="596">
          <cell r="A596" t="str">
            <v>KNDPBCAC6G7876818</v>
          </cell>
          <cell r="B596">
            <v>2016</v>
          </cell>
          <cell r="C596" t="str">
            <v>KIA</v>
          </cell>
          <cell r="D596" t="str">
            <v>SPORTAGE AWD 4C</v>
          </cell>
          <cell r="E596">
            <v>73415</v>
          </cell>
          <cell r="F596" t="str">
            <v>Grade 2.8</v>
          </cell>
          <cell r="G596" t="str">
            <v>Green Light</v>
          </cell>
          <cell r="H596" t="str">
            <v>Yes</v>
          </cell>
          <cell r="I596" t="str">
            <v>No</v>
          </cell>
          <cell r="J596">
            <v>45323</v>
          </cell>
          <cell r="K596" t="str">
            <v>Yes</v>
          </cell>
          <cell r="L596">
            <v>44067</v>
          </cell>
          <cell r="M596">
            <v>235</v>
          </cell>
          <cell r="N596">
            <v>285</v>
          </cell>
          <cell r="O596">
            <v>3148.620849609375</v>
          </cell>
          <cell r="P596">
            <v>8956.8242440303802</v>
          </cell>
          <cell r="Q596">
            <v>3011.75048828125</v>
          </cell>
        </row>
        <row r="597">
          <cell r="A597" t="str">
            <v>KNMAT2MVXGP672999</v>
          </cell>
          <cell r="B597">
            <v>2016</v>
          </cell>
          <cell r="C597" t="str">
            <v>NISSAN</v>
          </cell>
          <cell r="D597" t="str">
            <v>ROGUE AWD 4C</v>
          </cell>
          <cell r="E597">
            <v>100929</v>
          </cell>
          <cell r="F597" t="str">
            <v>Grade 2.0</v>
          </cell>
          <cell r="G597" t="str">
            <v>Inoperable</v>
          </cell>
          <cell r="H597" t="str">
            <v>No</v>
          </cell>
          <cell r="I597" t="str">
            <v>Yes</v>
          </cell>
          <cell r="J597">
            <v>45645</v>
          </cell>
          <cell r="K597" t="str">
            <v>Yes</v>
          </cell>
          <cell r="L597">
            <v>44067</v>
          </cell>
          <cell r="M597">
            <v>235</v>
          </cell>
          <cell r="N597">
            <v>285</v>
          </cell>
          <cell r="O597">
            <v>2369.74169921875</v>
          </cell>
          <cell r="P597">
            <v>8885.0475216927025</v>
          </cell>
          <cell r="Q597">
            <v>2226.78125</v>
          </cell>
        </row>
        <row r="598">
          <cell r="A598" t="str">
            <v>MAJ3S2FE5KC292080</v>
          </cell>
          <cell r="B598">
            <v>2019</v>
          </cell>
          <cell r="C598" t="str">
            <v>FORD</v>
          </cell>
          <cell r="D598" t="str">
            <v>ECOSPORT</v>
          </cell>
          <cell r="E598">
            <v>81245</v>
          </cell>
          <cell r="F598" t="str">
            <v>Grade 3.9</v>
          </cell>
          <cell r="G598" t="str">
            <v>Certified</v>
          </cell>
          <cell r="H598" t="str">
            <v>Yes</v>
          </cell>
          <cell r="I598" t="str">
            <v>No</v>
          </cell>
          <cell r="J598">
            <v>45678</v>
          </cell>
          <cell r="K598" t="str">
            <v>Yes</v>
          </cell>
          <cell r="L598">
            <v>44067</v>
          </cell>
          <cell r="M598">
            <v>235</v>
          </cell>
          <cell r="N598">
            <v>285</v>
          </cell>
          <cell r="O598">
            <v>12315.2958984375</v>
          </cell>
          <cell r="P598">
            <v>10276.57136000233</v>
          </cell>
          <cell r="Q598">
            <v>12346.5283203125</v>
          </cell>
        </row>
        <row r="599">
          <cell r="A599" t="str">
            <v>WVWHD7AJ6DW013040</v>
          </cell>
          <cell r="B599">
            <v>2013</v>
          </cell>
          <cell r="C599" t="str">
            <v>VOLKSWAGEN</v>
          </cell>
          <cell r="D599" t="str">
            <v>GTI</v>
          </cell>
          <cell r="E599">
            <v>48391</v>
          </cell>
          <cell r="F599" t="str">
            <v>Grade 4.4</v>
          </cell>
          <cell r="G599" t="str">
            <v>Certified</v>
          </cell>
          <cell r="H599" t="str">
            <v>Yes</v>
          </cell>
          <cell r="I599" t="str">
            <v>No</v>
          </cell>
          <cell r="J599">
            <v>45692</v>
          </cell>
          <cell r="K599" t="str">
            <v>Yes</v>
          </cell>
          <cell r="L599">
            <v>44067</v>
          </cell>
          <cell r="M599">
            <v>235</v>
          </cell>
          <cell r="N599">
            <v>285</v>
          </cell>
          <cell r="O599">
            <v>7881.66015625</v>
          </cell>
          <cell r="P599">
            <v>11929.10519392981</v>
          </cell>
          <cell r="Q599">
            <v>7738.39990234375</v>
          </cell>
        </row>
        <row r="600">
          <cell r="A600" t="str">
            <v>ZACCJAAB6HPF11251</v>
          </cell>
          <cell r="B600">
            <v>2017</v>
          </cell>
          <cell r="C600" t="str">
            <v>JEEP</v>
          </cell>
          <cell r="D600" t="str">
            <v>RENEGADE</v>
          </cell>
          <cell r="E600">
            <v>51149</v>
          </cell>
          <cell r="F600" t="str">
            <v>Grade 4.0</v>
          </cell>
          <cell r="G600" t="str">
            <v>Certified</v>
          </cell>
          <cell r="H600" t="str">
            <v>Yes</v>
          </cell>
          <cell r="I600" t="str">
            <v>No</v>
          </cell>
          <cell r="J600">
            <v>45356</v>
          </cell>
          <cell r="K600" t="str">
            <v>Yes</v>
          </cell>
          <cell r="L600">
            <v>44067</v>
          </cell>
          <cell r="M600">
            <v>235</v>
          </cell>
          <cell r="N600">
            <v>285</v>
          </cell>
          <cell r="O600">
            <v>14749.951171875</v>
          </cell>
          <cell r="P600">
            <v>12262.25180429494</v>
          </cell>
          <cell r="Q600">
            <v>15282.5029296875</v>
          </cell>
        </row>
        <row r="601">
          <cell r="A601" t="str">
            <v>ZACCJABT1GPC47118</v>
          </cell>
          <cell r="B601">
            <v>2016</v>
          </cell>
          <cell r="C601" t="str">
            <v>JEEP</v>
          </cell>
          <cell r="D601" t="str">
            <v>RENEGADE FWD 4C</v>
          </cell>
          <cell r="E601">
            <v>103604</v>
          </cell>
          <cell r="F601" t="str">
            <v>Grade 2.7</v>
          </cell>
          <cell r="G601" t="str">
            <v>Green Light</v>
          </cell>
          <cell r="H601" t="str">
            <v>Yes</v>
          </cell>
          <cell r="I601" t="str">
            <v>No</v>
          </cell>
          <cell r="J601">
            <v>45463</v>
          </cell>
          <cell r="K601" t="str">
            <v>Yes</v>
          </cell>
          <cell r="L601">
            <v>44067</v>
          </cell>
          <cell r="M601">
            <v>235</v>
          </cell>
          <cell r="N601">
            <v>285</v>
          </cell>
          <cell r="O601">
            <v>3994.066162109375</v>
          </cell>
          <cell r="P601">
            <v>9338.7847903853872</v>
          </cell>
          <cell r="Q601">
            <v>3890.6611328125</v>
          </cell>
        </row>
        <row r="602">
          <cell r="A602" t="str">
            <v>ZFBCFABH7EZ025634</v>
          </cell>
          <cell r="B602">
            <v>2014</v>
          </cell>
          <cell r="C602" t="str">
            <v>FIAT</v>
          </cell>
          <cell r="D602" t="str">
            <v>500L</v>
          </cell>
          <cell r="E602">
            <v>117221</v>
          </cell>
          <cell r="F602" t="str">
            <v>Grade 1.3</v>
          </cell>
          <cell r="G602" t="str">
            <v>Inoperable</v>
          </cell>
          <cell r="H602" t="str">
            <v>No</v>
          </cell>
          <cell r="I602" t="str">
            <v>Yes</v>
          </cell>
          <cell r="J602">
            <v>45484</v>
          </cell>
          <cell r="K602" t="str">
            <v>Yes</v>
          </cell>
          <cell r="L602">
            <v>44067</v>
          </cell>
          <cell r="M602">
            <v>235</v>
          </cell>
          <cell r="N602">
            <v>285</v>
          </cell>
          <cell r="O602">
            <v>1470.76708984375</v>
          </cell>
          <cell r="P602">
            <v>8686.2258279334492</v>
          </cell>
          <cell r="Q602">
            <v>1400.44287109375</v>
          </cell>
        </row>
        <row r="603">
          <cell r="A603" t="str">
            <v>1G11C5SA1GF101191</v>
          </cell>
          <cell r="B603">
            <v>2016</v>
          </cell>
          <cell r="C603" t="str">
            <v>CHEVROLET</v>
          </cell>
          <cell r="D603" t="str">
            <v>MALIBU LIMITED</v>
          </cell>
          <cell r="E603">
            <v>68117</v>
          </cell>
          <cell r="F603" t="str">
            <v>Grade 3.0</v>
          </cell>
          <cell r="G603" t="str">
            <v>Certified</v>
          </cell>
          <cell r="H603" t="str">
            <v>Yes</v>
          </cell>
          <cell r="I603" t="str">
            <v>No</v>
          </cell>
          <cell r="J603">
            <v>45582</v>
          </cell>
          <cell r="K603" t="str">
            <v>Yes</v>
          </cell>
          <cell r="L603">
            <v>44074</v>
          </cell>
          <cell r="M603">
            <v>179</v>
          </cell>
          <cell r="N603">
            <v>229</v>
          </cell>
          <cell r="O603">
            <v>10788.9345703125</v>
          </cell>
          <cell r="P603">
            <v>9937.7555092613002</v>
          </cell>
          <cell r="Q603">
            <v>10783.1630859375</v>
          </cell>
        </row>
        <row r="604">
          <cell r="A604" t="str">
            <v>1G1JC5SH5G4154761</v>
          </cell>
          <cell r="B604">
            <v>2016</v>
          </cell>
          <cell r="C604" t="str">
            <v>CHEVROLET</v>
          </cell>
          <cell r="D604" t="str">
            <v>SONIC</v>
          </cell>
          <cell r="E604">
            <v>63009</v>
          </cell>
          <cell r="F604" t="str">
            <v>Grade 3.4</v>
          </cell>
          <cell r="G604" t="str">
            <v>Green Light</v>
          </cell>
          <cell r="H604" t="str">
            <v>Yes</v>
          </cell>
          <cell r="I604" t="str">
            <v>No</v>
          </cell>
          <cell r="J604">
            <v>45622</v>
          </cell>
          <cell r="K604" t="str">
            <v>Yes</v>
          </cell>
          <cell r="L604">
            <v>44074</v>
          </cell>
          <cell r="M604">
            <v>179</v>
          </cell>
          <cell r="N604">
            <v>229</v>
          </cell>
          <cell r="O604">
            <v>11747.1875</v>
          </cell>
          <cell r="P604">
            <v>11393.771999267001</v>
          </cell>
          <cell r="Q604">
            <v>11654.806640625</v>
          </cell>
        </row>
        <row r="605">
          <cell r="A605" t="str">
            <v>1G1ZE5ST4HF181778</v>
          </cell>
          <cell r="B605">
            <v>2017</v>
          </cell>
          <cell r="C605" t="str">
            <v>CHEVROLET</v>
          </cell>
          <cell r="D605" t="str">
            <v>MALIBU</v>
          </cell>
          <cell r="E605">
            <v>102225</v>
          </cell>
          <cell r="F605" t="str">
            <v>Grade 1.9</v>
          </cell>
          <cell r="G605" t="str">
            <v>Green Light</v>
          </cell>
          <cell r="H605" t="str">
            <v>Yes</v>
          </cell>
          <cell r="I605" t="str">
            <v>No</v>
          </cell>
          <cell r="J605">
            <v>45678</v>
          </cell>
          <cell r="K605" t="str">
            <v>Yes</v>
          </cell>
          <cell r="L605">
            <v>44074</v>
          </cell>
          <cell r="M605">
            <v>179</v>
          </cell>
          <cell r="N605">
            <v>229</v>
          </cell>
          <cell r="O605">
            <v>2089.234375</v>
          </cell>
          <cell r="P605">
            <v>9286.1134826892012</v>
          </cell>
          <cell r="Q605">
            <v>2051.209716796875</v>
          </cell>
        </row>
        <row r="606">
          <cell r="A606" t="str">
            <v>1G1ZE5STXGF349390</v>
          </cell>
          <cell r="B606">
            <v>2016</v>
          </cell>
          <cell r="C606" t="str">
            <v>CHEVROLET</v>
          </cell>
          <cell r="D606" t="str">
            <v>MALIBU</v>
          </cell>
          <cell r="E606">
            <v>132553</v>
          </cell>
          <cell r="F606" t="str">
            <v>Grade 0.0</v>
          </cell>
          <cell r="G606" t="str">
            <v>Inoperable</v>
          </cell>
          <cell r="H606" t="str">
            <v>No</v>
          </cell>
          <cell r="I606" t="str">
            <v>Yes</v>
          </cell>
          <cell r="J606">
            <v>45664</v>
          </cell>
          <cell r="K606" t="str">
            <v>Yes</v>
          </cell>
          <cell r="L606">
            <v>44074</v>
          </cell>
          <cell r="M606">
            <v>179</v>
          </cell>
          <cell r="N606">
            <v>229</v>
          </cell>
          <cell r="O606">
            <v>900.98529052734375</v>
          </cell>
          <cell r="P606">
            <v>9286.1134826892012</v>
          </cell>
          <cell r="Q606">
            <v>1118.385864257812</v>
          </cell>
        </row>
        <row r="607">
          <cell r="A607" t="str">
            <v>1GKKNRLAXJZ183864</v>
          </cell>
          <cell r="B607">
            <v>2018</v>
          </cell>
          <cell r="C607" t="str">
            <v>GMC</v>
          </cell>
          <cell r="D607" t="str">
            <v>ACADIA</v>
          </cell>
          <cell r="E607">
            <v>79088</v>
          </cell>
          <cell r="F607" t="str">
            <v>Grade 4.3</v>
          </cell>
          <cell r="G607" t="str">
            <v>Certified</v>
          </cell>
          <cell r="H607" t="str">
            <v>Yes</v>
          </cell>
          <cell r="I607" t="str">
            <v>No</v>
          </cell>
          <cell r="J607">
            <v>45468</v>
          </cell>
          <cell r="K607" t="str">
            <v>Yes</v>
          </cell>
          <cell r="L607">
            <v>44074</v>
          </cell>
          <cell r="M607">
            <v>179</v>
          </cell>
          <cell r="N607">
            <v>229</v>
          </cell>
          <cell r="O607">
            <v>17897.9609375</v>
          </cell>
          <cell r="P607">
            <v>11219.367362270321</v>
          </cell>
          <cell r="Q607">
            <v>18427.8203125</v>
          </cell>
        </row>
        <row r="608">
          <cell r="A608" t="str">
            <v>2GKFLTEK0G6181653</v>
          </cell>
          <cell r="B608">
            <v>2016</v>
          </cell>
          <cell r="C608" t="str">
            <v>GMC</v>
          </cell>
          <cell r="D608" t="str">
            <v>TERRAIN</v>
          </cell>
          <cell r="E608">
            <v>70173</v>
          </cell>
          <cell r="F608" t="str">
            <v>Grade 4.2</v>
          </cell>
          <cell r="G608" t="str">
            <v>Certified</v>
          </cell>
          <cell r="H608" t="str">
            <v>Yes</v>
          </cell>
          <cell r="I608" t="str">
            <v>No</v>
          </cell>
          <cell r="J608">
            <v>45678</v>
          </cell>
          <cell r="K608" t="str">
            <v>Yes</v>
          </cell>
          <cell r="L608">
            <v>44074</v>
          </cell>
          <cell r="M608">
            <v>179</v>
          </cell>
          <cell r="N608">
            <v>229</v>
          </cell>
          <cell r="O608">
            <v>14464.2314453125</v>
          </cell>
          <cell r="P608">
            <v>11371.132485334419</v>
          </cell>
          <cell r="Q608">
            <v>14574.2236328125</v>
          </cell>
        </row>
        <row r="609">
          <cell r="A609" t="str">
            <v>WBA3C3C58EP662546</v>
          </cell>
          <cell r="B609">
            <v>2014</v>
          </cell>
          <cell r="C609" t="str">
            <v>BMW</v>
          </cell>
          <cell r="D609" t="str">
            <v>320I</v>
          </cell>
          <cell r="E609">
            <v>156747</v>
          </cell>
          <cell r="F609" t="str">
            <v>Grade 3.0</v>
          </cell>
          <cell r="G609" t="str">
            <v>Red Light</v>
          </cell>
          <cell r="H609" t="str">
            <v>No</v>
          </cell>
          <cell r="I609" t="str">
            <v>Yes</v>
          </cell>
          <cell r="J609">
            <v>45678</v>
          </cell>
          <cell r="K609" t="str">
            <v>Yes</v>
          </cell>
          <cell r="L609">
            <v>44074</v>
          </cell>
          <cell r="M609">
            <v>179</v>
          </cell>
          <cell r="N609">
            <v>229</v>
          </cell>
          <cell r="O609">
            <v>3482.77734375</v>
          </cell>
          <cell r="P609">
            <v>9479.2094196117996</v>
          </cell>
          <cell r="Q609">
            <v>3523.06982421875</v>
          </cell>
        </row>
        <row r="610">
          <cell r="A610" t="str">
            <v>1G1FA1RX1G0162820</v>
          </cell>
          <cell r="B610">
            <v>2016</v>
          </cell>
          <cell r="C610" t="str">
            <v>CHEVROLET</v>
          </cell>
          <cell r="D610" t="str">
            <v>CAMARO</v>
          </cell>
          <cell r="E610">
            <v>77831</v>
          </cell>
          <cell r="F610" t="str">
            <v>Grade 2.8</v>
          </cell>
          <cell r="G610" t="str">
            <v>Green Light</v>
          </cell>
          <cell r="H610" t="str">
            <v>Yes</v>
          </cell>
          <cell r="I610" t="str">
            <v>No</v>
          </cell>
          <cell r="J610">
            <v>45398</v>
          </cell>
          <cell r="K610" t="str">
            <v>Yes</v>
          </cell>
          <cell r="L610">
            <v>44077</v>
          </cell>
          <cell r="M610">
            <v>280</v>
          </cell>
          <cell r="N610">
            <v>330</v>
          </cell>
          <cell r="O610">
            <v>6212.7705078125</v>
          </cell>
          <cell r="P610">
            <v>9847.960757533252</v>
          </cell>
          <cell r="Q610">
            <v>6192.2958984375</v>
          </cell>
        </row>
        <row r="611">
          <cell r="A611" t="str">
            <v>19XFC2F66LE216231</v>
          </cell>
          <cell r="B611">
            <v>2020</v>
          </cell>
          <cell r="C611" t="str">
            <v>HONDA</v>
          </cell>
          <cell r="D611" t="str">
            <v>CIVIC</v>
          </cell>
          <cell r="E611">
            <v>45725</v>
          </cell>
          <cell r="F611" t="str">
            <v>Grade 2.6</v>
          </cell>
          <cell r="G611" t="str">
            <v>Green Light</v>
          </cell>
          <cell r="H611" t="str">
            <v>Yes</v>
          </cell>
          <cell r="I611" t="str">
            <v>No</v>
          </cell>
          <cell r="J611">
            <v>45468</v>
          </cell>
          <cell r="K611" t="str">
            <v>Yes</v>
          </cell>
          <cell r="L611">
            <v>44081</v>
          </cell>
          <cell r="M611">
            <v>325</v>
          </cell>
          <cell r="N611">
            <v>375</v>
          </cell>
          <cell r="O611">
            <v>11122.1396484375</v>
          </cell>
          <cell r="P611">
            <v>12624.750394784051</v>
          </cell>
          <cell r="Q611">
            <v>10897.6533203125</v>
          </cell>
        </row>
        <row r="612">
          <cell r="A612" t="str">
            <v>1C6RREBT8KN757422</v>
          </cell>
          <cell r="B612">
            <v>2019</v>
          </cell>
          <cell r="C612" t="str">
            <v>RAM</v>
          </cell>
          <cell r="D612">
            <v>1500</v>
          </cell>
          <cell r="E612">
            <v>73106</v>
          </cell>
          <cell r="F612" t="str">
            <v>Grade 3.9</v>
          </cell>
          <cell r="G612" t="str">
            <v>Certified</v>
          </cell>
          <cell r="H612" t="str">
            <v>Yes</v>
          </cell>
          <cell r="I612" t="str">
            <v>No</v>
          </cell>
          <cell r="J612">
            <v>45356</v>
          </cell>
          <cell r="K612" t="str">
            <v>Yes</v>
          </cell>
          <cell r="L612">
            <v>44081</v>
          </cell>
          <cell r="M612">
            <v>325</v>
          </cell>
          <cell r="N612">
            <v>375</v>
          </cell>
          <cell r="O612">
            <v>17661.54296875</v>
          </cell>
          <cell r="P612">
            <v>11856.59672512545</v>
          </cell>
          <cell r="Q612">
            <v>17555.337890625</v>
          </cell>
        </row>
        <row r="613">
          <cell r="A613" t="str">
            <v>1FMCU0GX0EUE34919</v>
          </cell>
          <cell r="B613">
            <v>2014</v>
          </cell>
          <cell r="C613" t="str">
            <v>FORD</v>
          </cell>
          <cell r="D613" t="str">
            <v>ESCAPE</v>
          </cell>
          <cell r="E613">
            <v>147178</v>
          </cell>
          <cell r="F613" t="str">
            <v>Grade 1.8</v>
          </cell>
          <cell r="G613" t="str">
            <v>Red Light</v>
          </cell>
          <cell r="H613" t="str">
            <v>No</v>
          </cell>
          <cell r="I613" t="str">
            <v>Yes</v>
          </cell>
          <cell r="J613">
            <v>45426</v>
          </cell>
          <cell r="K613" t="str">
            <v>Yes</v>
          </cell>
          <cell r="L613">
            <v>44081</v>
          </cell>
          <cell r="M613">
            <v>325</v>
          </cell>
          <cell r="N613">
            <v>375</v>
          </cell>
          <cell r="O613">
            <v>1047.282470703125</v>
          </cell>
          <cell r="P613">
            <v>9140.7394673329618</v>
          </cell>
          <cell r="Q613">
            <v>1169.860107421875</v>
          </cell>
        </row>
        <row r="614">
          <cell r="A614" t="str">
            <v>1FTEX1EP8FFC13118</v>
          </cell>
          <cell r="B614">
            <v>2015</v>
          </cell>
          <cell r="C614" t="str">
            <v>FORD</v>
          </cell>
          <cell r="D614" t="str">
            <v>F-150</v>
          </cell>
          <cell r="E614">
            <v>31163</v>
          </cell>
          <cell r="F614" t="str">
            <v>Grade 4.0</v>
          </cell>
          <cell r="G614" t="str">
            <v>Certified</v>
          </cell>
          <cell r="H614" t="str">
            <v>Yes</v>
          </cell>
          <cell r="I614" t="str">
            <v>No</v>
          </cell>
          <cell r="J614">
            <v>45314</v>
          </cell>
          <cell r="K614" t="str">
            <v>Yes</v>
          </cell>
          <cell r="L614">
            <v>44081</v>
          </cell>
          <cell r="M614">
            <v>325</v>
          </cell>
          <cell r="N614">
            <v>375</v>
          </cell>
          <cell r="O614">
            <v>14709.7265625</v>
          </cell>
          <cell r="P614">
            <v>12714.62078173265</v>
          </cell>
          <cell r="Q614">
            <v>14589.0830078125</v>
          </cell>
        </row>
        <row r="615">
          <cell r="A615" t="str">
            <v>1FTMF1CF4DFC69675</v>
          </cell>
          <cell r="B615">
            <v>2013</v>
          </cell>
          <cell r="C615" t="str">
            <v>FORD</v>
          </cell>
          <cell r="D615" t="str">
            <v>F-150</v>
          </cell>
          <cell r="E615">
            <v>101529</v>
          </cell>
          <cell r="F615" t="str">
            <v>Grade 4.3</v>
          </cell>
          <cell r="G615" t="str">
            <v>Certified</v>
          </cell>
          <cell r="H615" t="str">
            <v>Yes</v>
          </cell>
          <cell r="I615" t="str">
            <v>No</v>
          </cell>
          <cell r="J615">
            <v>45300</v>
          </cell>
          <cell r="K615" t="str">
            <v>Yes</v>
          </cell>
          <cell r="L615">
            <v>44081</v>
          </cell>
          <cell r="M615">
            <v>325</v>
          </cell>
          <cell r="N615">
            <v>375</v>
          </cell>
          <cell r="O615">
            <v>10533.2568359375</v>
          </cell>
          <cell r="P615">
            <v>10039.24567316807</v>
          </cell>
          <cell r="Q615">
            <v>10720.7578125</v>
          </cell>
        </row>
        <row r="616">
          <cell r="A616" t="str">
            <v>1G1ZD5ST7KF165214</v>
          </cell>
          <cell r="B616">
            <v>2019</v>
          </cell>
          <cell r="C616" t="str">
            <v>CHEVROLET</v>
          </cell>
          <cell r="D616" t="str">
            <v>MALIBU</v>
          </cell>
          <cell r="E616">
            <v>87657</v>
          </cell>
          <cell r="F616" t="str">
            <v>Grade 2.2</v>
          </cell>
          <cell r="G616" t="str">
            <v>Green Light</v>
          </cell>
          <cell r="H616" t="str">
            <v>Yes</v>
          </cell>
          <cell r="I616" t="str">
            <v>No</v>
          </cell>
          <cell r="J616">
            <v>45426</v>
          </cell>
          <cell r="K616" t="str">
            <v>Yes</v>
          </cell>
          <cell r="L616">
            <v>44081</v>
          </cell>
          <cell r="M616">
            <v>325</v>
          </cell>
          <cell r="N616">
            <v>375</v>
          </cell>
          <cell r="O616">
            <v>4569.78515625</v>
          </cell>
          <cell r="P616">
            <v>9629.5522537146117</v>
          </cell>
          <cell r="Q616">
            <v>4596.041015625</v>
          </cell>
        </row>
        <row r="617">
          <cell r="A617" t="str">
            <v>1G1ZE5ST9HF265207</v>
          </cell>
          <cell r="B617">
            <v>2017</v>
          </cell>
          <cell r="C617" t="str">
            <v>CHEVROLET</v>
          </cell>
          <cell r="D617" t="str">
            <v>MALIBU</v>
          </cell>
          <cell r="E617">
            <v>80173</v>
          </cell>
          <cell r="F617" t="str">
            <v>Grade 3.6</v>
          </cell>
          <cell r="G617" t="str">
            <v>Green/Yellow</v>
          </cell>
          <cell r="H617" t="str">
            <v>Yes</v>
          </cell>
          <cell r="I617" t="str">
            <v>No</v>
          </cell>
          <cell r="J617">
            <v>45302</v>
          </cell>
          <cell r="K617" t="str">
            <v>Yes</v>
          </cell>
          <cell r="L617">
            <v>44081</v>
          </cell>
          <cell r="M617">
            <v>325</v>
          </cell>
          <cell r="N617">
            <v>375</v>
          </cell>
          <cell r="O617">
            <v>9980.06640625</v>
          </cell>
          <cell r="P617">
            <v>10385.313617301819</v>
          </cell>
          <cell r="Q617">
            <v>9994.708984375</v>
          </cell>
        </row>
        <row r="618">
          <cell r="A618" t="str">
            <v>1GNKRGKDXGJ296812</v>
          </cell>
          <cell r="B618">
            <v>2016</v>
          </cell>
          <cell r="C618" t="str">
            <v>CHEVROLET</v>
          </cell>
          <cell r="D618" t="str">
            <v>TRAVERSE</v>
          </cell>
          <cell r="E618">
            <v>94104</v>
          </cell>
          <cell r="F618" t="str">
            <v>Grade 3.3</v>
          </cell>
          <cell r="G618" t="str">
            <v>Green Light</v>
          </cell>
          <cell r="H618" t="str">
            <v>Yes</v>
          </cell>
          <cell r="I618" t="str">
            <v>No</v>
          </cell>
          <cell r="J618">
            <v>45426</v>
          </cell>
          <cell r="K618" t="str">
            <v>Yes</v>
          </cell>
          <cell r="L618">
            <v>44081</v>
          </cell>
          <cell r="M618">
            <v>325</v>
          </cell>
          <cell r="N618">
            <v>375</v>
          </cell>
          <cell r="O618">
            <v>8885.8115234375</v>
          </cell>
          <cell r="P618">
            <v>9484.5612324018366</v>
          </cell>
          <cell r="Q618">
            <v>8924.6142578125</v>
          </cell>
        </row>
        <row r="619">
          <cell r="A619" t="str">
            <v>1GNKRJED7CJ311222</v>
          </cell>
          <cell r="B619">
            <v>2012</v>
          </cell>
          <cell r="C619" t="str">
            <v>CHEVROLET</v>
          </cell>
          <cell r="D619" t="str">
            <v>TRAVERSE FWD</v>
          </cell>
          <cell r="E619">
            <v>144372</v>
          </cell>
          <cell r="F619" t="str">
            <v>Grade 1.7</v>
          </cell>
          <cell r="G619" t="str">
            <v>Red Light</v>
          </cell>
          <cell r="H619" t="str">
            <v>No</v>
          </cell>
          <cell r="I619" t="str">
            <v>Yes</v>
          </cell>
          <cell r="J619">
            <v>45610</v>
          </cell>
          <cell r="K619" t="str">
            <v>Yes</v>
          </cell>
          <cell r="L619">
            <v>44081</v>
          </cell>
          <cell r="M619">
            <v>325</v>
          </cell>
          <cell r="N619">
            <v>375</v>
          </cell>
          <cell r="O619">
            <v>1281.292358398438</v>
          </cell>
          <cell r="P619">
            <v>9312.8227798539483</v>
          </cell>
          <cell r="Q619">
            <v>1360.102416992188</v>
          </cell>
        </row>
        <row r="620">
          <cell r="A620" t="str">
            <v>1N4AL3AP5FC594199</v>
          </cell>
          <cell r="B620">
            <v>2015</v>
          </cell>
          <cell r="C620" t="str">
            <v>NISSAN</v>
          </cell>
          <cell r="D620" t="str">
            <v>ALTIMA 4C</v>
          </cell>
          <cell r="E620">
            <v>85191</v>
          </cell>
          <cell r="F620" t="str">
            <v>Grade 3.7</v>
          </cell>
          <cell r="G620" t="str">
            <v>Red Light</v>
          </cell>
          <cell r="H620" t="str">
            <v>No</v>
          </cell>
          <cell r="I620" t="str">
            <v>Yes</v>
          </cell>
          <cell r="J620">
            <v>45393</v>
          </cell>
          <cell r="K620" t="str">
            <v>Yes</v>
          </cell>
          <cell r="L620">
            <v>44081</v>
          </cell>
          <cell r="M620">
            <v>325</v>
          </cell>
          <cell r="N620">
            <v>375</v>
          </cell>
          <cell r="O620">
            <v>5715.67724609375</v>
          </cell>
          <cell r="P620">
            <v>9837.8265355512467</v>
          </cell>
          <cell r="Q620">
            <v>5713.1025390625</v>
          </cell>
        </row>
        <row r="621">
          <cell r="A621" t="str">
            <v>2B3CJ4DG9BH569972</v>
          </cell>
          <cell r="B621">
            <v>2011</v>
          </cell>
          <cell r="C621" t="str">
            <v>DODGE</v>
          </cell>
          <cell r="D621" t="str">
            <v>CHALLENGER</v>
          </cell>
          <cell r="E621">
            <v>41365</v>
          </cell>
          <cell r="F621" t="str">
            <v>Grade 2.1</v>
          </cell>
          <cell r="G621" t="str">
            <v>Red Light</v>
          </cell>
          <cell r="H621" t="str">
            <v>No</v>
          </cell>
          <cell r="I621" t="str">
            <v>Yes</v>
          </cell>
          <cell r="J621">
            <v>45496</v>
          </cell>
          <cell r="K621" t="str">
            <v>Yes</v>
          </cell>
          <cell r="L621">
            <v>44081</v>
          </cell>
          <cell r="M621">
            <v>325</v>
          </cell>
          <cell r="N621">
            <v>375</v>
          </cell>
          <cell r="O621">
            <v>7603.7900390625</v>
          </cell>
          <cell r="P621">
            <v>12175.2532136841</v>
          </cell>
          <cell r="Q621">
            <v>7962.17724609375</v>
          </cell>
        </row>
        <row r="622">
          <cell r="A622" t="str">
            <v>2GKALMEK9H6264354</v>
          </cell>
          <cell r="B622">
            <v>2017</v>
          </cell>
          <cell r="C622" t="str">
            <v>GMC</v>
          </cell>
          <cell r="D622" t="str">
            <v>TERRAIN</v>
          </cell>
          <cell r="E622">
            <v>106477</v>
          </cell>
          <cell r="F622" t="str">
            <v>Grade 1.9</v>
          </cell>
          <cell r="G622" t="str">
            <v>Red Light</v>
          </cell>
          <cell r="H622" t="str">
            <v>No</v>
          </cell>
          <cell r="I622" t="str">
            <v>Yes</v>
          </cell>
          <cell r="J622">
            <v>45440</v>
          </cell>
          <cell r="K622" t="str">
            <v>Yes</v>
          </cell>
          <cell r="L622">
            <v>44081</v>
          </cell>
          <cell r="M622">
            <v>325</v>
          </cell>
          <cell r="N622">
            <v>375</v>
          </cell>
          <cell r="O622">
            <v>5196.91259765625</v>
          </cell>
          <cell r="P622">
            <v>10035.61361726518</v>
          </cell>
          <cell r="Q622">
            <v>5051.259765625</v>
          </cell>
        </row>
        <row r="623">
          <cell r="A623" t="str">
            <v>3C3CFFHH0DT620157</v>
          </cell>
          <cell r="B623">
            <v>2013</v>
          </cell>
          <cell r="C623" t="str">
            <v>FIAT</v>
          </cell>
          <cell r="D623">
            <v>500</v>
          </cell>
          <cell r="E623">
            <v>72398</v>
          </cell>
          <cell r="F623" t="str">
            <v>Grade 3.2</v>
          </cell>
          <cell r="G623" t="str">
            <v>Green Light</v>
          </cell>
          <cell r="H623" t="str">
            <v>Yes</v>
          </cell>
          <cell r="I623" t="str">
            <v>No</v>
          </cell>
          <cell r="J623">
            <v>45412</v>
          </cell>
          <cell r="K623" t="str">
            <v>Yes</v>
          </cell>
          <cell r="L623">
            <v>44081</v>
          </cell>
          <cell r="M623">
            <v>325</v>
          </cell>
          <cell r="N623">
            <v>375</v>
          </cell>
          <cell r="O623">
            <v>6109.42626953125</v>
          </cell>
          <cell r="P623">
            <v>9249.021754773401</v>
          </cell>
          <cell r="Q623">
            <v>6084.98291015625</v>
          </cell>
        </row>
        <row r="624">
          <cell r="A624" t="str">
            <v>3C4PDDBG3ET251030</v>
          </cell>
          <cell r="B624">
            <v>2014</v>
          </cell>
          <cell r="C624" t="str">
            <v>DODGE</v>
          </cell>
          <cell r="D624" t="str">
            <v>JOURNEY</v>
          </cell>
          <cell r="E624">
            <v>109646</v>
          </cell>
          <cell r="F624" t="str">
            <v>Grade 3.5</v>
          </cell>
          <cell r="G624" t="str">
            <v>Green/Yellow</v>
          </cell>
          <cell r="H624" t="str">
            <v>Yes</v>
          </cell>
          <cell r="I624" t="str">
            <v>No</v>
          </cell>
          <cell r="J624">
            <v>45384</v>
          </cell>
          <cell r="K624" t="str">
            <v>Yes</v>
          </cell>
          <cell r="L624">
            <v>44081</v>
          </cell>
          <cell r="M624">
            <v>325</v>
          </cell>
          <cell r="N624">
            <v>375</v>
          </cell>
          <cell r="O624">
            <v>6278.2001953125</v>
          </cell>
          <cell r="P624">
            <v>8879.1280962788842</v>
          </cell>
          <cell r="Q624">
            <v>6204.3603515625</v>
          </cell>
        </row>
        <row r="625">
          <cell r="A625" t="str">
            <v>3CZRU5H36LM706683</v>
          </cell>
          <cell r="B625">
            <v>2020</v>
          </cell>
          <cell r="C625" t="str">
            <v>HONDA</v>
          </cell>
          <cell r="D625" t="str">
            <v>HR-V</v>
          </cell>
          <cell r="E625">
            <v>45048</v>
          </cell>
          <cell r="F625" t="str">
            <v>Grade 2.7</v>
          </cell>
          <cell r="G625" t="str">
            <v>Green Light</v>
          </cell>
          <cell r="H625" t="str">
            <v>Yes</v>
          </cell>
          <cell r="I625" t="str">
            <v>No</v>
          </cell>
          <cell r="J625">
            <v>45398</v>
          </cell>
          <cell r="K625" t="str">
            <v>Yes</v>
          </cell>
          <cell r="L625">
            <v>44081</v>
          </cell>
          <cell r="M625">
            <v>325</v>
          </cell>
          <cell r="N625">
            <v>375</v>
          </cell>
          <cell r="O625">
            <v>9259.4990234375</v>
          </cell>
          <cell r="P625">
            <v>12564.12090137385</v>
          </cell>
          <cell r="Q625">
            <v>9297.71875</v>
          </cell>
        </row>
        <row r="626">
          <cell r="A626" t="str">
            <v>3GNCJKSB4HL169030</v>
          </cell>
          <cell r="B626">
            <v>2017</v>
          </cell>
          <cell r="C626" t="str">
            <v>CHEVROLET</v>
          </cell>
          <cell r="D626" t="str">
            <v>TRAX</v>
          </cell>
          <cell r="E626">
            <v>159806</v>
          </cell>
          <cell r="F626" t="str">
            <v>Grade 1.3</v>
          </cell>
          <cell r="G626" t="str">
            <v>Red Light</v>
          </cell>
          <cell r="H626" t="str">
            <v>No</v>
          </cell>
          <cell r="I626" t="str">
            <v>Yes</v>
          </cell>
          <cell r="J626">
            <v>45468</v>
          </cell>
          <cell r="K626" t="str">
            <v>Yes</v>
          </cell>
          <cell r="L626">
            <v>44081</v>
          </cell>
          <cell r="M626">
            <v>325</v>
          </cell>
          <cell r="N626">
            <v>375</v>
          </cell>
          <cell r="O626">
            <v>1173.80126953125</v>
          </cell>
          <cell r="P626">
            <v>9317.6806931986557</v>
          </cell>
          <cell r="Q626">
            <v>1310.827270507812</v>
          </cell>
        </row>
        <row r="627">
          <cell r="A627" t="str">
            <v>3N1AB7AP1KY273785</v>
          </cell>
          <cell r="B627">
            <v>2019</v>
          </cell>
          <cell r="C627" t="str">
            <v>NISSAN</v>
          </cell>
          <cell r="D627" t="str">
            <v>SENTRA</v>
          </cell>
          <cell r="E627">
            <v>143391</v>
          </cell>
          <cell r="F627" t="str">
            <v>Grade 3.9</v>
          </cell>
          <cell r="G627" t="str">
            <v>Red Light</v>
          </cell>
          <cell r="H627" t="str">
            <v>No</v>
          </cell>
          <cell r="I627" t="str">
            <v>Yes</v>
          </cell>
          <cell r="J627">
            <v>45316</v>
          </cell>
          <cell r="K627" t="str">
            <v>Yes</v>
          </cell>
          <cell r="L627">
            <v>44081</v>
          </cell>
          <cell r="M627">
            <v>325</v>
          </cell>
          <cell r="N627">
            <v>375</v>
          </cell>
          <cell r="O627">
            <v>4731.95556640625</v>
          </cell>
          <cell r="P627">
            <v>9551.4584427536465</v>
          </cell>
          <cell r="Q627">
            <v>4760.8662109375</v>
          </cell>
        </row>
        <row r="628">
          <cell r="A628" t="str">
            <v>4JGDF7CE0EA322800</v>
          </cell>
          <cell r="B628">
            <v>2014</v>
          </cell>
          <cell r="C628" t="str">
            <v>MERCEDES-BENZ</v>
          </cell>
          <cell r="D628" t="str">
            <v>GL 450</v>
          </cell>
          <cell r="E628">
            <v>60483</v>
          </cell>
          <cell r="F628" t="str">
            <v>Grade 3.9</v>
          </cell>
          <cell r="G628" t="str">
            <v>Red Light</v>
          </cell>
          <cell r="H628" t="str">
            <v>No</v>
          </cell>
          <cell r="I628" t="str">
            <v>Yes</v>
          </cell>
          <cell r="J628">
            <v>45692</v>
          </cell>
          <cell r="K628" t="str">
            <v>Yes</v>
          </cell>
          <cell r="L628">
            <v>44081</v>
          </cell>
          <cell r="M628">
            <v>325</v>
          </cell>
          <cell r="N628">
            <v>375</v>
          </cell>
          <cell r="O628">
            <v>10458.9873046875</v>
          </cell>
          <cell r="P628">
            <v>12737.93837439975</v>
          </cell>
          <cell r="Q628">
            <v>10374.318359375</v>
          </cell>
        </row>
        <row r="629">
          <cell r="A629" t="str">
            <v>5NPE24AFXGH295342</v>
          </cell>
          <cell r="B629">
            <v>2016</v>
          </cell>
          <cell r="C629" t="str">
            <v>HYUNDAI</v>
          </cell>
          <cell r="D629" t="str">
            <v>SONATA</v>
          </cell>
          <cell r="E629">
            <v>151899</v>
          </cell>
          <cell r="F629" t="str">
            <v>Grade 2.5</v>
          </cell>
          <cell r="G629" t="str">
            <v>Red Light</v>
          </cell>
          <cell r="H629" t="str">
            <v>No</v>
          </cell>
          <cell r="I629" t="str">
            <v>Yes</v>
          </cell>
          <cell r="J629">
            <v>45540</v>
          </cell>
          <cell r="K629" t="str">
            <v>Yes</v>
          </cell>
          <cell r="L629">
            <v>44081</v>
          </cell>
          <cell r="M629">
            <v>325</v>
          </cell>
          <cell r="N629">
            <v>375</v>
          </cell>
          <cell r="O629">
            <v>1335.941284179688</v>
          </cell>
          <cell r="P629">
            <v>8696.499489647973</v>
          </cell>
          <cell r="Q629">
            <v>1330.663208007812</v>
          </cell>
        </row>
        <row r="630">
          <cell r="A630" t="str">
            <v>KL4CJESB1GB688346</v>
          </cell>
          <cell r="B630">
            <v>2016</v>
          </cell>
          <cell r="C630" t="str">
            <v>BUICK</v>
          </cell>
          <cell r="D630" t="str">
            <v>ENCORE</v>
          </cell>
          <cell r="E630">
            <v>104447</v>
          </cell>
          <cell r="F630" t="str">
            <v>Grade 3.3</v>
          </cell>
          <cell r="G630" t="str">
            <v>Green/Yellow</v>
          </cell>
          <cell r="H630" t="str">
            <v>Yes</v>
          </cell>
          <cell r="I630" t="str">
            <v>No</v>
          </cell>
          <cell r="J630">
            <v>45566</v>
          </cell>
          <cell r="K630" t="str">
            <v>Yes</v>
          </cell>
          <cell r="L630">
            <v>44081</v>
          </cell>
          <cell r="M630">
            <v>325</v>
          </cell>
          <cell r="N630">
            <v>375</v>
          </cell>
          <cell r="O630">
            <v>6348.08203125</v>
          </cell>
          <cell r="P630">
            <v>9156.6114129187044</v>
          </cell>
          <cell r="Q630">
            <v>6283.87451171875</v>
          </cell>
        </row>
        <row r="631">
          <cell r="A631" t="str">
            <v>KMHCU5AE5DU079572</v>
          </cell>
          <cell r="B631">
            <v>2013</v>
          </cell>
          <cell r="C631" t="str">
            <v>HYUNDAI</v>
          </cell>
          <cell r="D631" t="str">
            <v>ACCENT</v>
          </cell>
          <cell r="E631">
            <v>138817</v>
          </cell>
          <cell r="F631" t="str">
            <v>Grade 2.0</v>
          </cell>
          <cell r="G631" t="str">
            <v>Inoperable</v>
          </cell>
          <cell r="H631" t="str">
            <v>No</v>
          </cell>
          <cell r="I631" t="str">
            <v>Yes</v>
          </cell>
          <cell r="J631">
            <v>45547</v>
          </cell>
          <cell r="K631" t="str">
            <v>Yes</v>
          </cell>
          <cell r="L631">
            <v>44081</v>
          </cell>
          <cell r="M631">
            <v>325</v>
          </cell>
          <cell r="N631">
            <v>375</v>
          </cell>
          <cell r="O631">
            <v>786.17547607421875</v>
          </cell>
          <cell r="P631">
            <v>8623.6643072839779</v>
          </cell>
          <cell r="Q631">
            <v>938.1177978515625</v>
          </cell>
        </row>
        <row r="632">
          <cell r="A632" t="str">
            <v>KNDJN2A28F7233514</v>
          </cell>
          <cell r="B632">
            <v>2015</v>
          </cell>
          <cell r="C632" t="str">
            <v>KIA</v>
          </cell>
          <cell r="D632" t="str">
            <v>SOUL</v>
          </cell>
          <cell r="E632">
            <v>122028</v>
          </cell>
          <cell r="F632" t="str">
            <v>Grade 1.9</v>
          </cell>
          <cell r="G632" t="str">
            <v>Red Light</v>
          </cell>
          <cell r="H632" t="str">
            <v>No</v>
          </cell>
          <cell r="I632" t="str">
            <v>Yes</v>
          </cell>
          <cell r="J632">
            <v>45482</v>
          </cell>
          <cell r="K632" t="str">
            <v>Yes</v>
          </cell>
          <cell r="L632">
            <v>44081</v>
          </cell>
          <cell r="M632">
            <v>325</v>
          </cell>
          <cell r="N632">
            <v>375</v>
          </cell>
          <cell r="O632">
            <v>1393.864868164062</v>
          </cell>
          <cell r="P632">
            <v>8504.3699522424758</v>
          </cell>
          <cell r="Q632">
            <v>1414.004638671875</v>
          </cell>
        </row>
        <row r="633">
          <cell r="A633" t="str">
            <v>WP0CA2A80CS710289</v>
          </cell>
          <cell r="B633">
            <v>2012</v>
          </cell>
          <cell r="C633" t="str">
            <v>PORSCHE</v>
          </cell>
          <cell r="D633" t="str">
            <v>BOXSTER</v>
          </cell>
          <cell r="E633">
            <v>13511</v>
          </cell>
          <cell r="F633" t="str">
            <v>Grade 4.5</v>
          </cell>
          <cell r="G633" t="str">
            <v>Certified</v>
          </cell>
          <cell r="H633" t="str">
            <v>Yes</v>
          </cell>
          <cell r="I633" t="str">
            <v>No</v>
          </cell>
          <cell r="J633">
            <v>45370</v>
          </cell>
          <cell r="K633" t="str">
            <v>Yes</v>
          </cell>
          <cell r="L633">
            <v>44081</v>
          </cell>
          <cell r="M633">
            <v>325</v>
          </cell>
          <cell r="N633">
            <v>375</v>
          </cell>
          <cell r="O633">
            <v>34870.1171875</v>
          </cell>
          <cell r="P633">
            <v>17429.974807805389</v>
          </cell>
          <cell r="Q633">
            <v>35960.1328125</v>
          </cell>
        </row>
        <row r="634">
          <cell r="A634" t="str">
            <v>WVGRV7AX3HK018257</v>
          </cell>
          <cell r="B634">
            <v>2017</v>
          </cell>
          <cell r="C634" t="str">
            <v>VOLKSWAGEN</v>
          </cell>
          <cell r="D634" t="str">
            <v>TIGUAN FWD</v>
          </cell>
          <cell r="E634">
            <v>84333</v>
          </cell>
          <cell r="F634" t="str">
            <v>Grade 2.5</v>
          </cell>
          <cell r="G634" t="str">
            <v>Green/Yellow</v>
          </cell>
          <cell r="H634" t="str">
            <v>Yes</v>
          </cell>
          <cell r="I634" t="str">
            <v>No</v>
          </cell>
          <cell r="J634">
            <v>45365</v>
          </cell>
          <cell r="K634" t="str">
            <v>Yes</v>
          </cell>
          <cell r="L634">
            <v>44081</v>
          </cell>
          <cell r="M634">
            <v>325</v>
          </cell>
          <cell r="N634">
            <v>375</v>
          </cell>
          <cell r="O634">
            <v>4395.40625</v>
          </cell>
          <cell r="P634">
            <v>9091.2444419143521</v>
          </cell>
          <cell r="Q634">
            <v>4356.724609375</v>
          </cell>
        </row>
        <row r="635">
          <cell r="A635" t="str">
            <v>ZACNJCBB8MPN15621</v>
          </cell>
          <cell r="B635">
            <v>2021</v>
          </cell>
          <cell r="C635" t="str">
            <v>JEEP</v>
          </cell>
          <cell r="D635" t="str">
            <v>RENEGADE</v>
          </cell>
          <cell r="E635">
            <v>20142</v>
          </cell>
          <cell r="F635" t="str">
            <v>Grade 4.3</v>
          </cell>
          <cell r="G635" t="str">
            <v>Certified</v>
          </cell>
          <cell r="H635" t="str">
            <v>Yes</v>
          </cell>
          <cell r="I635" t="str">
            <v>No</v>
          </cell>
          <cell r="J635">
            <v>45300</v>
          </cell>
          <cell r="K635" t="str">
            <v>Yes</v>
          </cell>
          <cell r="L635">
            <v>44081</v>
          </cell>
          <cell r="M635">
            <v>325</v>
          </cell>
          <cell r="N635">
            <v>375</v>
          </cell>
          <cell r="O635">
            <v>20578.029296875</v>
          </cell>
          <cell r="P635">
            <v>14523.221139595291</v>
          </cell>
          <cell r="Q635">
            <v>20457.650390625</v>
          </cell>
        </row>
        <row r="636">
          <cell r="A636" t="str">
            <v>19VDE1F31EE002566</v>
          </cell>
          <cell r="B636">
            <v>2014</v>
          </cell>
          <cell r="C636" t="str">
            <v>ACURA</v>
          </cell>
          <cell r="D636" t="str">
            <v>ILX</v>
          </cell>
          <cell r="E636">
            <v>201084</v>
          </cell>
          <cell r="F636" t="str">
            <v>Grade 1.9</v>
          </cell>
          <cell r="G636" t="str">
            <v>Inoperable</v>
          </cell>
          <cell r="H636" t="str">
            <v>No</v>
          </cell>
          <cell r="I636" t="str">
            <v>Yes</v>
          </cell>
          <cell r="J636">
            <v>45484</v>
          </cell>
          <cell r="K636" t="str">
            <v>Yes</v>
          </cell>
          <cell r="L636">
            <v>44113</v>
          </cell>
          <cell r="M636">
            <v>264</v>
          </cell>
          <cell r="N636">
            <v>314</v>
          </cell>
          <cell r="O636">
            <v>1635.01123046875</v>
          </cell>
          <cell r="P636">
            <v>9121.7032732314037</v>
          </cell>
          <cell r="Q636">
            <v>1540.495727539062</v>
          </cell>
        </row>
        <row r="637">
          <cell r="A637" t="str">
            <v>19XFB2F52EE254584</v>
          </cell>
          <cell r="B637">
            <v>2014</v>
          </cell>
          <cell r="C637" t="str">
            <v>HONDA</v>
          </cell>
          <cell r="D637" t="str">
            <v>CIVIC</v>
          </cell>
          <cell r="E637">
            <v>140572</v>
          </cell>
          <cell r="F637" t="str">
            <v>Grade 1.3</v>
          </cell>
          <cell r="G637" t="str">
            <v>Green/Yellow</v>
          </cell>
          <cell r="H637" t="str">
            <v>Yes</v>
          </cell>
          <cell r="I637" t="str">
            <v>No</v>
          </cell>
          <cell r="J637">
            <v>45484</v>
          </cell>
          <cell r="K637" t="str">
            <v>Yes</v>
          </cell>
          <cell r="L637">
            <v>44113</v>
          </cell>
          <cell r="M637">
            <v>264</v>
          </cell>
          <cell r="N637">
            <v>314</v>
          </cell>
          <cell r="O637">
            <v>2631.20849609375</v>
          </cell>
          <cell r="P637">
            <v>9039.3269783441665</v>
          </cell>
          <cell r="Q637">
            <v>2498.12890625</v>
          </cell>
        </row>
        <row r="638">
          <cell r="A638" t="str">
            <v>19XFC2F55GE004305</v>
          </cell>
          <cell r="B638">
            <v>2016</v>
          </cell>
          <cell r="C638" t="str">
            <v>HONDA</v>
          </cell>
          <cell r="D638" t="str">
            <v>CIVIC</v>
          </cell>
          <cell r="E638">
            <v>113733</v>
          </cell>
          <cell r="F638" t="str">
            <v>Grade 1.5</v>
          </cell>
          <cell r="G638" t="str">
            <v>Green/Yellow</v>
          </cell>
          <cell r="H638" t="str">
            <v>Yes</v>
          </cell>
          <cell r="I638" t="str">
            <v>No</v>
          </cell>
          <cell r="J638">
            <v>45603</v>
          </cell>
          <cell r="K638" t="str">
            <v>Yes</v>
          </cell>
          <cell r="L638">
            <v>44113</v>
          </cell>
          <cell r="M638">
            <v>264</v>
          </cell>
          <cell r="N638">
            <v>314</v>
          </cell>
          <cell r="O638">
            <v>3965.284423828125</v>
          </cell>
          <cell r="P638">
            <v>9104.158231108986</v>
          </cell>
          <cell r="Q638">
            <v>3881.8876953125</v>
          </cell>
        </row>
        <row r="639">
          <cell r="A639" t="str">
            <v>1C3CCBHG5CN183697</v>
          </cell>
          <cell r="B639">
            <v>2012</v>
          </cell>
          <cell r="C639" t="str">
            <v>CHRYSLER</v>
          </cell>
          <cell r="D639" t="str">
            <v>200 V6</v>
          </cell>
          <cell r="E639">
            <v>204412</v>
          </cell>
          <cell r="F639" t="str">
            <v>Grade 2.7</v>
          </cell>
          <cell r="G639" t="str">
            <v>Red Light</v>
          </cell>
          <cell r="H639" t="str">
            <v>No</v>
          </cell>
          <cell r="I639" t="str">
            <v>Yes</v>
          </cell>
          <cell r="J639">
            <v>45365</v>
          </cell>
          <cell r="K639" t="str">
            <v>Yes</v>
          </cell>
          <cell r="L639">
            <v>44113</v>
          </cell>
          <cell r="M639">
            <v>264</v>
          </cell>
          <cell r="N639">
            <v>314</v>
          </cell>
          <cell r="O639">
            <v>807.651123046875</v>
          </cell>
          <cell r="P639">
            <v>8935.8062744821109</v>
          </cell>
          <cell r="Q639">
            <v>1083.871215820312</v>
          </cell>
        </row>
        <row r="640">
          <cell r="A640" t="str">
            <v>1C3CCCAG9GN153804</v>
          </cell>
          <cell r="B640">
            <v>2016</v>
          </cell>
          <cell r="C640" t="str">
            <v>CHRYSLER</v>
          </cell>
          <cell r="D640" t="str">
            <v>200 FWD V6</v>
          </cell>
          <cell r="E640">
            <v>109198</v>
          </cell>
          <cell r="F640" t="str">
            <v>Grade 2.6</v>
          </cell>
          <cell r="G640" t="str">
            <v>Red Light</v>
          </cell>
          <cell r="H640" t="str">
            <v>No</v>
          </cell>
          <cell r="I640" t="str">
            <v>Yes</v>
          </cell>
          <cell r="J640">
            <v>45372</v>
          </cell>
          <cell r="K640" t="str">
            <v>Yes</v>
          </cell>
          <cell r="L640">
            <v>44113</v>
          </cell>
          <cell r="M640">
            <v>264</v>
          </cell>
          <cell r="N640">
            <v>314</v>
          </cell>
          <cell r="O640">
            <v>3083.4521484375</v>
          </cell>
          <cell r="P640">
            <v>8951.7005597465813</v>
          </cell>
          <cell r="Q640">
            <v>2948.25927734375</v>
          </cell>
        </row>
        <row r="641">
          <cell r="A641" t="str">
            <v>1C4NJRFB5FD245863</v>
          </cell>
          <cell r="B641">
            <v>2015</v>
          </cell>
          <cell r="C641" t="str">
            <v>JEEP</v>
          </cell>
          <cell r="D641" t="str">
            <v>PATRIOT 4X4 4C</v>
          </cell>
          <cell r="E641">
            <v>87889</v>
          </cell>
          <cell r="F641" t="str">
            <v>Grade 2.7</v>
          </cell>
          <cell r="G641" t="str">
            <v>Green Light</v>
          </cell>
          <cell r="H641" t="str">
            <v>Yes</v>
          </cell>
          <cell r="I641" t="str">
            <v>No</v>
          </cell>
          <cell r="J641">
            <v>45330</v>
          </cell>
          <cell r="K641" t="str">
            <v>Yes</v>
          </cell>
          <cell r="L641">
            <v>44113</v>
          </cell>
          <cell r="M641">
            <v>264</v>
          </cell>
          <cell r="N641">
            <v>314</v>
          </cell>
          <cell r="O641">
            <v>4301.03076171875</v>
          </cell>
          <cell r="P641">
            <v>9485.3516778635185</v>
          </cell>
          <cell r="Q641">
            <v>4420.03955078125</v>
          </cell>
        </row>
        <row r="642">
          <cell r="A642" t="str">
            <v>1C4NJRFB7FD155341</v>
          </cell>
          <cell r="B642">
            <v>2015</v>
          </cell>
          <cell r="C642" t="str">
            <v>JEEP</v>
          </cell>
          <cell r="D642" t="str">
            <v>PATRIOT</v>
          </cell>
          <cell r="E642">
            <v>128042</v>
          </cell>
          <cell r="F642" t="str">
            <v>Grade 1.3</v>
          </cell>
          <cell r="G642" t="str">
            <v>Red Light</v>
          </cell>
          <cell r="H642" t="str">
            <v>No</v>
          </cell>
          <cell r="I642" t="str">
            <v>Yes</v>
          </cell>
          <cell r="J642">
            <v>45664</v>
          </cell>
          <cell r="K642" t="str">
            <v>Yes</v>
          </cell>
          <cell r="L642">
            <v>44113</v>
          </cell>
          <cell r="M642">
            <v>264</v>
          </cell>
          <cell r="N642">
            <v>314</v>
          </cell>
          <cell r="O642">
            <v>2314.31689453125</v>
          </cell>
          <cell r="P642">
            <v>9013.6616232407141</v>
          </cell>
          <cell r="Q642">
            <v>2171.309814453125</v>
          </cell>
        </row>
        <row r="643">
          <cell r="A643" t="str">
            <v>1C4PJLCB1GW329887</v>
          </cell>
          <cell r="B643">
            <v>2016</v>
          </cell>
          <cell r="C643" t="str">
            <v>JEEP</v>
          </cell>
          <cell r="D643" t="str">
            <v>CHEROKEE FWD 4C</v>
          </cell>
          <cell r="E643">
            <v>52567</v>
          </cell>
          <cell r="F643" t="str">
            <v>Grade 2.9</v>
          </cell>
          <cell r="G643" t="str">
            <v>Green Light</v>
          </cell>
          <cell r="H643" t="str">
            <v>Yes</v>
          </cell>
          <cell r="I643" t="str">
            <v>No</v>
          </cell>
          <cell r="J643">
            <v>45393</v>
          </cell>
          <cell r="K643" t="str">
            <v>Yes</v>
          </cell>
          <cell r="L643">
            <v>44113</v>
          </cell>
          <cell r="M643">
            <v>264</v>
          </cell>
          <cell r="N643">
            <v>314</v>
          </cell>
          <cell r="O643">
            <v>7974.69287109375</v>
          </cell>
          <cell r="P643">
            <v>11588.28938053031</v>
          </cell>
          <cell r="Q643">
            <v>7556.7421875</v>
          </cell>
        </row>
        <row r="644">
          <cell r="A644" t="str">
            <v>1C4PJLCB5GW342674</v>
          </cell>
          <cell r="B644">
            <v>2016</v>
          </cell>
          <cell r="C644" t="str">
            <v>JEEP</v>
          </cell>
          <cell r="D644" t="str">
            <v>CHEROKEE FWD 4C</v>
          </cell>
          <cell r="E644">
            <v>70607</v>
          </cell>
          <cell r="F644" t="str">
            <v>Grade 4.5</v>
          </cell>
          <cell r="G644" t="str">
            <v>Certified</v>
          </cell>
          <cell r="H644" t="str">
            <v>Yes</v>
          </cell>
          <cell r="I644" t="str">
            <v>No</v>
          </cell>
          <cell r="J644">
            <v>45400</v>
          </cell>
          <cell r="K644" t="str">
            <v>Yes</v>
          </cell>
          <cell r="L644">
            <v>44113</v>
          </cell>
          <cell r="M644">
            <v>264</v>
          </cell>
          <cell r="N644">
            <v>314</v>
          </cell>
          <cell r="O644">
            <v>12815.2451171875</v>
          </cell>
          <cell r="P644">
            <v>10491.30215678177</v>
          </cell>
          <cell r="Q644">
            <v>12976.556640625</v>
          </cell>
        </row>
        <row r="645">
          <cell r="A645" t="str">
            <v>1C4PJLCB8KD344407</v>
          </cell>
          <cell r="B645">
            <v>2019</v>
          </cell>
          <cell r="C645" t="str">
            <v>JEEP</v>
          </cell>
          <cell r="D645" t="str">
            <v>CHEROKEE FWD 4C</v>
          </cell>
          <cell r="E645">
            <v>87750</v>
          </cell>
          <cell r="F645" t="str">
            <v>Grade 3.4</v>
          </cell>
          <cell r="G645" t="str">
            <v>Certified</v>
          </cell>
          <cell r="H645" t="str">
            <v>Yes</v>
          </cell>
          <cell r="I645" t="str">
            <v>No</v>
          </cell>
          <cell r="J645">
            <v>45470</v>
          </cell>
          <cell r="K645" t="str">
            <v>Yes</v>
          </cell>
          <cell r="L645">
            <v>44113</v>
          </cell>
          <cell r="M645">
            <v>264</v>
          </cell>
          <cell r="N645">
            <v>314</v>
          </cell>
          <cell r="O645">
            <v>12199.3623046875</v>
          </cell>
          <cell r="P645">
            <v>9618.024226901809</v>
          </cell>
          <cell r="Q645">
            <v>12467.6337890625</v>
          </cell>
        </row>
        <row r="646">
          <cell r="A646" t="str">
            <v>1C4PJLCB9GW126164</v>
          </cell>
          <cell r="B646">
            <v>2016</v>
          </cell>
          <cell r="C646" t="str">
            <v>JEEP</v>
          </cell>
          <cell r="D646" t="str">
            <v>CHEROKEE</v>
          </cell>
          <cell r="E646">
            <v>104647</v>
          </cell>
          <cell r="F646" t="str">
            <v>Grade 3.3</v>
          </cell>
          <cell r="G646" t="str">
            <v>Green Light</v>
          </cell>
          <cell r="H646" t="str">
            <v>Yes</v>
          </cell>
          <cell r="I646" t="str">
            <v>No</v>
          </cell>
          <cell r="J646">
            <v>45636</v>
          </cell>
          <cell r="K646" t="str">
            <v>Yes</v>
          </cell>
          <cell r="L646">
            <v>44113</v>
          </cell>
          <cell r="M646">
            <v>264</v>
          </cell>
          <cell r="N646">
            <v>314</v>
          </cell>
          <cell r="O646">
            <v>7679.302734375</v>
          </cell>
          <cell r="P646">
            <v>9331.8760510569118</v>
          </cell>
          <cell r="Q646">
            <v>7752.19091796875</v>
          </cell>
        </row>
        <row r="647">
          <cell r="A647" t="str">
            <v>1C4PJLDB9GW272904</v>
          </cell>
          <cell r="B647">
            <v>2016</v>
          </cell>
          <cell r="C647" t="str">
            <v>JEEP</v>
          </cell>
          <cell r="D647" t="str">
            <v>CHEROKEE</v>
          </cell>
          <cell r="E647">
            <v>118450</v>
          </cell>
          <cell r="F647" t="str">
            <v>Grade 2.5</v>
          </cell>
          <cell r="G647" t="str">
            <v>Red Light</v>
          </cell>
          <cell r="H647" t="str">
            <v>No</v>
          </cell>
          <cell r="I647" t="str">
            <v>Yes</v>
          </cell>
          <cell r="J647">
            <v>45314</v>
          </cell>
          <cell r="K647" t="str">
            <v>Yes</v>
          </cell>
          <cell r="L647">
            <v>44113</v>
          </cell>
          <cell r="M647">
            <v>264</v>
          </cell>
          <cell r="N647">
            <v>314</v>
          </cell>
          <cell r="O647">
            <v>3795.771728515625</v>
          </cell>
          <cell r="P647">
            <v>9276.8497161477571</v>
          </cell>
          <cell r="Q647">
            <v>3673.54638671875</v>
          </cell>
        </row>
        <row r="648">
          <cell r="A648" t="str">
            <v>1C4PJLDS8EW256223</v>
          </cell>
          <cell r="B648">
            <v>2014</v>
          </cell>
          <cell r="C648" t="str">
            <v>JEEP</v>
          </cell>
          <cell r="D648" t="str">
            <v>CHEROKEE FWD V6</v>
          </cell>
          <cell r="E648">
            <v>150042</v>
          </cell>
          <cell r="F648" t="str">
            <v>Grade 2.9</v>
          </cell>
          <cell r="G648" t="str">
            <v>Red Light</v>
          </cell>
          <cell r="H648" t="str">
            <v>No</v>
          </cell>
          <cell r="I648" t="str">
            <v>Yes</v>
          </cell>
          <cell r="J648">
            <v>45505</v>
          </cell>
          <cell r="K648" t="str">
            <v>Yes</v>
          </cell>
          <cell r="L648">
            <v>44113</v>
          </cell>
          <cell r="M648">
            <v>264</v>
          </cell>
          <cell r="N648">
            <v>314</v>
          </cell>
          <cell r="O648">
            <v>2033.948364257812</v>
          </cell>
          <cell r="P648">
            <v>9310.7143370352005</v>
          </cell>
          <cell r="Q648">
            <v>2001.594360351562</v>
          </cell>
        </row>
        <row r="649">
          <cell r="A649" t="str">
            <v>1C4PJMCB6GW117833</v>
          </cell>
          <cell r="B649">
            <v>2016</v>
          </cell>
          <cell r="C649" t="str">
            <v>JEEP</v>
          </cell>
          <cell r="D649" t="str">
            <v>CHEROKEE 4X4 4C</v>
          </cell>
          <cell r="E649">
            <v>122279</v>
          </cell>
          <cell r="F649" t="str">
            <v>Grade 2.1</v>
          </cell>
          <cell r="G649" t="str">
            <v>Red Light</v>
          </cell>
          <cell r="H649" t="str">
            <v>No</v>
          </cell>
          <cell r="I649" t="str">
            <v>Yes</v>
          </cell>
          <cell r="J649">
            <v>45701</v>
          </cell>
          <cell r="K649" t="str">
            <v>Yes</v>
          </cell>
          <cell r="L649">
            <v>44113</v>
          </cell>
          <cell r="M649">
            <v>264</v>
          </cell>
          <cell r="N649">
            <v>314</v>
          </cell>
          <cell r="O649">
            <v>3132.401611328125</v>
          </cell>
          <cell r="P649">
            <v>9150.5889532364708</v>
          </cell>
          <cell r="Q649">
            <v>3011.75048828125</v>
          </cell>
        </row>
        <row r="650">
          <cell r="A650" t="str">
            <v>1C4PJMDX9KD337661</v>
          </cell>
          <cell r="B650">
            <v>2019</v>
          </cell>
          <cell r="C650" t="str">
            <v>JEEP</v>
          </cell>
          <cell r="D650" t="str">
            <v>CHEROKEE 4X4 V6</v>
          </cell>
          <cell r="E650">
            <v>51847</v>
          </cell>
          <cell r="F650" t="str">
            <v>Grade 4.0</v>
          </cell>
          <cell r="G650" t="str">
            <v>Certified</v>
          </cell>
          <cell r="H650" t="str">
            <v>Yes</v>
          </cell>
          <cell r="I650" t="str">
            <v>No</v>
          </cell>
          <cell r="J650">
            <v>45666</v>
          </cell>
          <cell r="K650" t="str">
            <v>Yes</v>
          </cell>
          <cell r="L650">
            <v>44113</v>
          </cell>
          <cell r="M650">
            <v>264</v>
          </cell>
          <cell r="N650">
            <v>314</v>
          </cell>
          <cell r="O650">
            <v>15223.052734375</v>
          </cell>
          <cell r="P650">
            <v>12428.07075977676</v>
          </cell>
          <cell r="Q650">
            <v>15338.923828125</v>
          </cell>
        </row>
        <row r="651">
          <cell r="A651" t="str">
            <v>1FADP3E20HL228752</v>
          </cell>
          <cell r="B651">
            <v>2017</v>
          </cell>
          <cell r="C651" t="str">
            <v>FORD</v>
          </cell>
          <cell r="D651" t="str">
            <v>FOCUS FWD 4C</v>
          </cell>
          <cell r="E651">
            <v>100617</v>
          </cell>
          <cell r="F651" t="str">
            <v>Grade 2.8</v>
          </cell>
          <cell r="G651" t="str">
            <v>Green Light</v>
          </cell>
          <cell r="H651" t="str">
            <v>Yes</v>
          </cell>
          <cell r="I651" t="str">
            <v>No</v>
          </cell>
          <cell r="J651">
            <v>45302</v>
          </cell>
          <cell r="K651" t="str">
            <v>Yes</v>
          </cell>
          <cell r="L651">
            <v>44113</v>
          </cell>
          <cell r="M651">
            <v>264</v>
          </cell>
          <cell r="N651">
            <v>314</v>
          </cell>
          <cell r="O651">
            <v>4887.27099609375</v>
          </cell>
          <cell r="P651">
            <v>9376.6650953731332</v>
          </cell>
          <cell r="Q651">
            <v>4811.94873046875</v>
          </cell>
        </row>
        <row r="652">
          <cell r="A652" t="str">
            <v>1FADP3H21HL236872</v>
          </cell>
          <cell r="B652">
            <v>2017</v>
          </cell>
          <cell r="C652" t="str">
            <v>FORD</v>
          </cell>
          <cell r="D652" t="str">
            <v>FOCUS FWD 4C</v>
          </cell>
          <cell r="E652">
            <v>82193</v>
          </cell>
          <cell r="F652" t="str">
            <v>Grade 2.0</v>
          </cell>
          <cell r="G652" t="str">
            <v>Inoperable</v>
          </cell>
          <cell r="H652" t="str">
            <v>No</v>
          </cell>
          <cell r="I652" t="str">
            <v>Yes</v>
          </cell>
          <cell r="J652">
            <v>45729</v>
          </cell>
          <cell r="K652" t="str">
            <v>Yes</v>
          </cell>
          <cell r="L652">
            <v>44113</v>
          </cell>
          <cell r="M652">
            <v>264</v>
          </cell>
          <cell r="N652">
            <v>314</v>
          </cell>
          <cell r="O652">
            <v>5193.529296875</v>
          </cell>
          <cell r="P652">
            <v>9439.3206354951744</v>
          </cell>
          <cell r="Q652">
            <v>5165.07470703125</v>
          </cell>
        </row>
        <row r="653">
          <cell r="A653" t="str">
            <v>1FADP3N27FL230236</v>
          </cell>
          <cell r="B653">
            <v>2015</v>
          </cell>
          <cell r="C653" t="str">
            <v>FORD</v>
          </cell>
          <cell r="D653" t="str">
            <v>FOCUS</v>
          </cell>
          <cell r="E653">
            <v>91397</v>
          </cell>
          <cell r="F653" t="str">
            <v>Grade 2.5</v>
          </cell>
          <cell r="G653" t="str">
            <v>Green/Yellow</v>
          </cell>
          <cell r="H653" t="str">
            <v>Yes</v>
          </cell>
          <cell r="I653" t="str">
            <v>No</v>
          </cell>
          <cell r="J653">
            <v>45664</v>
          </cell>
          <cell r="K653" t="str">
            <v>Yes</v>
          </cell>
          <cell r="L653">
            <v>44113</v>
          </cell>
          <cell r="M653">
            <v>264</v>
          </cell>
          <cell r="N653">
            <v>314</v>
          </cell>
          <cell r="O653">
            <v>3697.223388671875</v>
          </cell>
          <cell r="P653">
            <v>9412.6492761794416</v>
          </cell>
          <cell r="Q653">
            <v>3718.7939453125</v>
          </cell>
        </row>
        <row r="654">
          <cell r="A654" t="str">
            <v>1FADP3N28EL188853</v>
          </cell>
          <cell r="B654">
            <v>2014</v>
          </cell>
          <cell r="C654" t="str">
            <v>FORD</v>
          </cell>
          <cell r="D654" t="str">
            <v>FOCUS</v>
          </cell>
          <cell r="E654">
            <v>78290</v>
          </cell>
          <cell r="F654" t="str">
            <v>Grade 4.1</v>
          </cell>
          <cell r="G654" t="str">
            <v>Certified</v>
          </cell>
          <cell r="H654" t="str">
            <v>Yes</v>
          </cell>
          <cell r="I654" t="str">
            <v>No</v>
          </cell>
          <cell r="J654">
            <v>45566</v>
          </cell>
          <cell r="K654" t="str">
            <v>Yes</v>
          </cell>
          <cell r="L654">
            <v>44113</v>
          </cell>
          <cell r="M654">
            <v>264</v>
          </cell>
          <cell r="N654">
            <v>314</v>
          </cell>
          <cell r="O654">
            <v>8947.712890625</v>
          </cell>
          <cell r="P654">
            <v>10112.70013591914</v>
          </cell>
          <cell r="Q654">
            <v>8827.087890625</v>
          </cell>
        </row>
        <row r="655">
          <cell r="A655" t="str">
            <v>1FAHP2J8XJG100037</v>
          </cell>
          <cell r="B655">
            <v>2018</v>
          </cell>
          <cell r="C655" t="str">
            <v>FORD</v>
          </cell>
          <cell r="D655" t="str">
            <v>TAURUS AWD</v>
          </cell>
          <cell r="E655">
            <v>84906</v>
          </cell>
          <cell r="F655" t="str">
            <v>Grade 2.7</v>
          </cell>
          <cell r="G655" t="str">
            <v>Red Light</v>
          </cell>
          <cell r="H655" t="str">
            <v>No</v>
          </cell>
          <cell r="I655" t="str">
            <v>Yes</v>
          </cell>
          <cell r="J655">
            <v>45645</v>
          </cell>
          <cell r="K655" t="str">
            <v>Yes</v>
          </cell>
          <cell r="L655">
            <v>44113</v>
          </cell>
          <cell r="M655">
            <v>264</v>
          </cell>
          <cell r="N655">
            <v>314</v>
          </cell>
          <cell r="O655">
            <v>5854.953125</v>
          </cell>
          <cell r="P655">
            <v>9593.5942605931232</v>
          </cell>
          <cell r="Q655">
            <v>5958.72900390625</v>
          </cell>
        </row>
        <row r="656">
          <cell r="A656" t="str">
            <v>1FATP8UH8M5121882</v>
          </cell>
          <cell r="B656">
            <v>2021</v>
          </cell>
          <cell r="C656" t="str">
            <v>FORD</v>
          </cell>
          <cell r="D656" t="str">
            <v>MUSTANG</v>
          </cell>
          <cell r="E656">
            <v>55629</v>
          </cell>
          <cell r="F656" t="str">
            <v>Grade 3.7</v>
          </cell>
          <cell r="G656" t="str">
            <v>Green Light</v>
          </cell>
          <cell r="H656" t="str">
            <v>Yes</v>
          </cell>
          <cell r="I656" t="str">
            <v>No</v>
          </cell>
          <cell r="J656">
            <v>45328</v>
          </cell>
          <cell r="K656" t="str">
            <v>Yes</v>
          </cell>
          <cell r="L656">
            <v>44113</v>
          </cell>
          <cell r="M656">
            <v>264</v>
          </cell>
          <cell r="N656">
            <v>314</v>
          </cell>
          <cell r="O656">
            <v>21206.900390625</v>
          </cell>
          <cell r="P656">
            <v>15425.30477243369</v>
          </cell>
          <cell r="Q656">
            <v>20896.673828125</v>
          </cell>
        </row>
        <row r="657">
          <cell r="A657" t="str">
            <v>1FM5K8B8XFGA10922</v>
          </cell>
          <cell r="B657">
            <v>2015</v>
          </cell>
          <cell r="C657" t="str">
            <v>FORD</v>
          </cell>
          <cell r="D657" t="str">
            <v>EXPLORER 4X4 V6</v>
          </cell>
          <cell r="E657">
            <v>92873</v>
          </cell>
          <cell r="F657" t="str">
            <v>Grade 3.3</v>
          </cell>
          <cell r="G657" t="str">
            <v>Green/Yellow</v>
          </cell>
          <cell r="H657" t="str">
            <v>Yes</v>
          </cell>
          <cell r="I657" t="str">
            <v>No</v>
          </cell>
          <cell r="J657">
            <v>45519</v>
          </cell>
          <cell r="K657" t="str">
            <v>Yes</v>
          </cell>
          <cell r="L657">
            <v>44113</v>
          </cell>
          <cell r="M657">
            <v>264</v>
          </cell>
          <cell r="N657">
            <v>314</v>
          </cell>
          <cell r="O657">
            <v>8232.6767578125</v>
          </cell>
          <cell r="P657">
            <v>9494.9391679938872</v>
          </cell>
          <cell r="Q657">
            <v>8226.1806640625</v>
          </cell>
        </row>
        <row r="658">
          <cell r="A658" t="str">
            <v>1FMCU0GD7JUC11499</v>
          </cell>
          <cell r="B658">
            <v>2018</v>
          </cell>
          <cell r="C658" t="str">
            <v>FORD</v>
          </cell>
          <cell r="D658" t="str">
            <v>ESCAPE FWD 4C</v>
          </cell>
          <cell r="E658">
            <v>92013</v>
          </cell>
          <cell r="F658" t="str">
            <v>Grade 2.0</v>
          </cell>
          <cell r="G658" t="str">
            <v>Inoperable</v>
          </cell>
          <cell r="H658" t="str">
            <v>No</v>
          </cell>
          <cell r="I658" t="str">
            <v>Yes</v>
          </cell>
          <cell r="J658">
            <v>45603</v>
          </cell>
          <cell r="K658" t="str">
            <v>Yes</v>
          </cell>
          <cell r="L658">
            <v>44113</v>
          </cell>
          <cell r="M658">
            <v>264</v>
          </cell>
          <cell r="N658">
            <v>314</v>
          </cell>
          <cell r="O658">
            <v>5811.56201171875</v>
          </cell>
          <cell r="P658">
            <v>9483.3905650650413</v>
          </cell>
          <cell r="Q658">
            <v>5905.64599609375</v>
          </cell>
        </row>
        <row r="659">
          <cell r="A659" t="str">
            <v>1FMCU0J98EUB78149</v>
          </cell>
          <cell r="B659">
            <v>2014</v>
          </cell>
          <cell r="C659" t="str">
            <v>FORD</v>
          </cell>
          <cell r="D659" t="str">
            <v>ESCAPE FWD 4C</v>
          </cell>
          <cell r="E659">
            <v>138360</v>
          </cell>
          <cell r="F659" t="str">
            <v>Grade 2.5</v>
          </cell>
          <cell r="G659" t="str">
            <v>Green/Yellow</v>
          </cell>
          <cell r="H659" t="str">
            <v>Yes</v>
          </cell>
          <cell r="I659" t="str">
            <v>No</v>
          </cell>
          <cell r="J659">
            <v>45603</v>
          </cell>
          <cell r="K659" t="str">
            <v>Yes</v>
          </cell>
          <cell r="L659">
            <v>44113</v>
          </cell>
          <cell r="M659">
            <v>264</v>
          </cell>
          <cell r="N659">
            <v>314</v>
          </cell>
          <cell r="O659">
            <v>2247.35791015625</v>
          </cell>
          <cell r="P659">
            <v>9301.2068014746692</v>
          </cell>
          <cell r="Q659">
            <v>2215.851806640625</v>
          </cell>
        </row>
        <row r="660">
          <cell r="A660" t="str">
            <v>1FMCU9GD8KUA73042</v>
          </cell>
          <cell r="B660">
            <v>2019</v>
          </cell>
          <cell r="C660" t="str">
            <v>FORD</v>
          </cell>
          <cell r="D660" t="str">
            <v>ESCAPE 4X4 4C</v>
          </cell>
          <cell r="E660">
            <v>67374</v>
          </cell>
          <cell r="F660" t="str">
            <v>Grade 3.0</v>
          </cell>
          <cell r="G660" t="str">
            <v>Inoperable</v>
          </cell>
          <cell r="H660" t="str">
            <v>No</v>
          </cell>
          <cell r="I660" t="str">
            <v>Yes</v>
          </cell>
          <cell r="J660">
            <v>45337</v>
          </cell>
          <cell r="K660" t="str">
            <v>Yes</v>
          </cell>
          <cell r="L660">
            <v>44113</v>
          </cell>
          <cell r="M660">
            <v>264</v>
          </cell>
          <cell r="N660">
            <v>314</v>
          </cell>
          <cell r="O660">
            <v>13787.3232421875</v>
          </cell>
          <cell r="P660">
            <v>10064.207319269201</v>
          </cell>
          <cell r="Q660">
            <v>14004.759765625</v>
          </cell>
        </row>
        <row r="661">
          <cell r="A661" t="str">
            <v>1FMCU9GD9JUB94337</v>
          </cell>
          <cell r="B661">
            <v>2018</v>
          </cell>
          <cell r="C661" t="str">
            <v>FORD</v>
          </cell>
          <cell r="D661" t="str">
            <v>ESCAPE</v>
          </cell>
          <cell r="E661">
            <v>63965</v>
          </cell>
          <cell r="F661" t="str">
            <v>Grade 4.1</v>
          </cell>
          <cell r="G661" t="str">
            <v>Certified</v>
          </cell>
          <cell r="H661" t="str">
            <v>Yes</v>
          </cell>
          <cell r="I661" t="str">
            <v>No</v>
          </cell>
          <cell r="J661">
            <v>45664</v>
          </cell>
          <cell r="K661" t="str">
            <v>Yes</v>
          </cell>
          <cell r="L661">
            <v>44113</v>
          </cell>
          <cell r="M661">
            <v>264</v>
          </cell>
          <cell r="N661">
            <v>314</v>
          </cell>
          <cell r="O661">
            <v>11237.4345703125</v>
          </cell>
          <cell r="P661">
            <v>12094.07457763092</v>
          </cell>
          <cell r="Q661">
            <v>11216.5859375</v>
          </cell>
        </row>
        <row r="662">
          <cell r="A662" t="str">
            <v>1FMCU9GXXFUA72071</v>
          </cell>
          <cell r="B662">
            <v>2015</v>
          </cell>
          <cell r="C662" t="str">
            <v>FORD</v>
          </cell>
          <cell r="D662" t="str">
            <v>ESCAPE 4X4 4C</v>
          </cell>
          <cell r="E662">
            <v>162188</v>
          </cell>
          <cell r="F662" t="str">
            <v>Grade 1.0</v>
          </cell>
          <cell r="G662" t="str">
            <v>Inoperable</v>
          </cell>
          <cell r="H662" t="str">
            <v>No</v>
          </cell>
          <cell r="I662" t="str">
            <v>Yes</v>
          </cell>
          <cell r="J662">
            <v>45337</v>
          </cell>
          <cell r="K662" t="str">
            <v>Yes</v>
          </cell>
          <cell r="L662">
            <v>44113</v>
          </cell>
          <cell r="M662">
            <v>264</v>
          </cell>
          <cell r="N662">
            <v>314</v>
          </cell>
          <cell r="O662">
            <v>2248.52734375</v>
          </cell>
          <cell r="P662">
            <v>9180.5923096289971</v>
          </cell>
          <cell r="Q662">
            <v>2178.560791015625</v>
          </cell>
        </row>
        <row r="663">
          <cell r="A663" t="str">
            <v>1FMCU9HX7DUB14417</v>
          </cell>
          <cell r="B663">
            <v>2013</v>
          </cell>
          <cell r="C663" t="str">
            <v>FORD</v>
          </cell>
          <cell r="D663" t="str">
            <v>ESCAPE 4X4 4C</v>
          </cell>
          <cell r="E663">
            <v>172963</v>
          </cell>
          <cell r="F663" t="str">
            <v>Grade 1.9</v>
          </cell>
          <cell r="G663" t="str">
            <v>Red Light</v>
          </cell>
          <cell r="H663" t="str">
            <v>No</v>
          </cell>
          <cell r="I663" t="str">
            <v>Yes</v>
          </cell>
          <cell r="J663">
            <v>45463</v>
          </cell>
          <cell r="K663" t="str">
            <v>Yes</v>
          </cell>
          <cell r="L663">
            <v>44113</v>
          </cell>
          <cell r="M663">
            <v>264</v>
          </cell>
          <cell r="N663">
            <v>314</v>
          </cell>
          <cell r="O663">
            <v>1439.11279296875</v>
          </cell>
          <cell r="P663">
            <v>9195.0245138772516</v>
          </cell>
          <cell r="Q663">
            <v>1402.618408203125</v>
          </cell>
        </row>
        <row r="664">
          <cell r="A664" t="str">
            <v>1FTEW1EG4FFB12810</v>
          </cell>
          <cell r="B664">
            <v>2015</v>
          </cell>
          <cell r="C664" t="str">
            <v>FORD</v>
          </cell>
          <cell r="D664" t="str">
            <v>F150 4X4 CR</v>
          </cell>
          <cell r="E664">
            <v>174650</v>
          </cell>
          <cell r="F664" t="str">
            <v>Grade 2.3</v>
          </cell>
          <cell r="G664" t="str">
            <v>Red Light</v>
          </cell>
          <cell r="H664" t="str">
            <v>No</v>
          </cell>
          <cell r="I664" t="str">
            <v>Yes</v>
          </cell>
          <cell r="J664">
            <v>45715</v>
          </cell>
          <cell r="K664" t="str">
            <v>Yes</v>
          </cell>
          <cell r="L664">
            <v>44113</v>
          </cell>
          <cell r="M664">
            <v>264</v>
          </cell>
          <cell r="N664">
            <v>314</v>
          </cell>
          <cell r="O664">
            <v>2107.975830078125</v>
          </cell>
          <cell r="P664">
            <v>9190.1972929737076</v>
          </cell>
          <cell r="Q664">
            <v>2045.358154296875</v>
          </cell>
        </row>
        <row r="665">
          <cell r="A665" t="str">
            <v>1G11C5SA6GF105933</v>
          </cell>
          <cell r="B665">
            <v>2016</v>
          </cell>
          <cell r="C665" t="str">
            <v>CHEVROLET</v>
          </cell>
          <cell r="D665" t="str">
            <v>MALIBU LIMITED</v>
          </cell>
          <cell r="E665">
            <v>92014</v>
          </cell>
          <cell r="F665" t="str">
            <v>Grade 2.2</v>
          </cell>
          <cell r="G665" t="str">
            <v>Green Light</v>
          </cell>
          <cell r="H665" t="str">
            <v>Yes</v>
          </cell>
          <cell r="I665" t="str">
            <v>No</v>
          </cell>
          <cell r="J665">
            <v>45330</v>
          </cell>
          <cell r="K665" t="str">
            <v>Yes</v>
          </cell>
          <cell r="L665">
            <v>44113</v>
          </cell>
          <cell r="M665">
            <v>264</v>
          </cell>
          <cell r="N665">
            <v>314</v>
          </cell>
          <cell r="O665">
            <v>4526.47802734375</v>
          </cell>
          <cell r="P665">
            <v>9487.1419404224926</v>
          </cell>
          <cell r="Q665">
            <v>4584.306640625</v>
          </cell>
        </row>
        <row r="666">
          <cell r="A666" t="str">
            <v>1G11C5SAXGF154651</v>
          </cell>
          <cell r="B666">
            <v>2016</v>
          </cell>
          <cell r="C666" t="str">
            <v>CHEVROLET</v>
          </cell>
          <cell r="D666" t="str">
            <v>MALIBU LIMITED</v>
          </cell>
          <cell r="E666">
            <v>136257</v>
          </cell>
          <cell r="F666" t="str">
            <v>Grade 2.1</v>
          </cell>
          <cell r="G666" t="str">
            <v>Green Light</v>
          </cell>
          <cell r="H666" t="str">
            <v>Yes</v>
          </cell>
          <cell r="I666" t="str">
            <v>No</v>
          </cell>
          <cell r="J666">
            <v>45384</v>
          </cell>
          <cell r="K666" t="str">
            <v>Yes</v>
          </cell>
          <cell r="L666">
            <v>44113</v>
          </cell>
          <cell r="M666">
            <v>264</v>
          </cell>
          <cell r="N666">
            <v>314</v>
          </cell>
          <cell r="O666">
            <v>3119.693115234375</v>
          </cell>
          <cell r="P666">
            <v>9318.0059879601722</v>
          </cell>
          <cell r="Q666">
            <v>3056.29248046875</v>
          </cell>
        </row>
        <row r="667">
          <cell r="A667" t="str">
            <v>1G1BE5SM5K7137705</v>
          </cell>
          <cell r="B667">
            <v>2019</v>
          </cell>
          <cell r="C667" t="str">
            <v>CHEVROLET</v>
          </cell>
          <cell r="D667" t="str">
            <v>CRUZE</v>
          </cell>
          <cell r="E667">
            <v>95157</v>
          </cell>
          <cell r="F667" t="str">
            <v>Grade 3.1</v>
          </cell>
          <cell r="G667" t="str">
            <v>Green Light</v>
          </cell>
          <cell r="H667" t="str">
            <v>Yes</v>
          </cell>
          <cell r="I667" t="str">
            <v>No</v>
          </cell>
          <cell r="J667">
            <v>45631</v>
          </cell>
          <cell r="K667" t="str">
            <v>Yes</v>
          </cell>
          <cell r="L667">
            <v>44113</v>
          </cell>
          <cell r="M667">
            <v>264</v>
          </cell>
          <cell r="N667">
            <v>314</v>
          </cell>
          <cell r="O667">
            <v>10860.740234375</v>
          </cell>
          <cell r="P667">
            <v>9626.7834393859175</v>
          </cell>
          <cell r="Q667">
            <v>10914.6064453125</v>
          </cell>
        </row>
        <row r="668">
          <cell r="A668" t="str">
            <v>1G1JD5SB7L4111042</v>
          </cell>
          <cell r="B668">
            <v>2020</v>
          </cell>
          <cell r="C668" t="str">
            <v>CHEVROLET</v>
          </cell>
          <cell r="D668" t="str">
            <v>SONIC</v>
          </cell>
          <cell r="E668">
            <v>86345</v>
          </cell>
          <cell r="F668" t="str">
            <v>Grade 1.6</v>
          </cell>
          <cell r="G668" t="str">
            <v>Inoperable</v>
          </cell>
          <cell r="H668" t="str">
            <v>No</v>
          </cell>
          <cell r="I668" t="str">
            <v>Yes</v>
          </cell>
          <cell r="J668">
            <v>45407</v>
          </cell>
          <cell r="K668" t="str">
            <v>Yes</v>
          </cell>
          <cell r="L668">
            <v>44113</v>
          </cell>
          <cell r="M668">
            <v>264</v>
          </cell>
          <cell r="N668">
            <v>314</v>
          </cell>
          <cell r="O668">
            <v>6284.11376953125</v>
          </cell>
          <cell r="P668">
            <v>10650.586533664669</v>
          </cell>
          <cell r="Q668">
            <v>5960.42333984375</v>
          </cell>
        </row>
        <row r="669">
          <cell r="A669" t="str">
            <v>1G1PE5SB1G7225677</v>
          </cell>
          <cell r="B669">
            <v>2016</v>
          </cell>
          <cell r="C669" t="str">
            <v>CHEVROLET</v>
          </cell>
          <cell r="D669" t="str">
            <v>CRUZE LIMITED</v>
          </cell>
          <cell r="E669">
            <v>116066</v>
          </cell>
          <cell r="F669" t="str">
            <v>Grade 2.7</v>
          </cell>
          <cell r="G669" t="str">
            <v>Inoperable</v>
          </cell>
          <cell r="H669" t="str">
            <v>No</v>
          </cell>
          <cell r="I669" t="str">
            <v>Yes</v>
          </cell>
          <cell r="J669">
            <v>45300</v>
          </cell>
          <cell r="K669" t="str">
            <v>Yes</v>
          </cell>
          <cell r="L669">
            <v>44113</v>
          </cell>
          <cell r="M669">
            <v>264</v>
          </cell>
          <cell r="N669">
            <v>314</v>
          </cell>
          <cell r="O669">
            <v>3609.983642578125</v>
          </cell>
          <cell r="P669">
            <v>9373.1938530902935</v>
          </cell>
          <cell r="Q669">
            <v>3532.02197265625</v>
          </cell>
        </row>
        <row r="670">
          <cell r="A670" t="str">
            <v>1G1RD6E44DU130476</v>
          </cell>
          <cell r="B670">
            <v>2013</v>
          </cell>
          <cell r="C670" t="str">
            <v>CHEVROLET</v>
          </cell>
          <cell r="D670" t="str">
            <v>VOLT</v>
          </cell>
          <cell r="E670">
            <v>61168</v>
          </cell>
          <cell r="F670" t="str">
            <v>Grade 2.5</v>
          </cell>
          <cell r="G670" t="str">
            <v>Green Light</v>
          </cell>
          <cell r="H670" t="str">
            <v>Yes</v>
          </cell>
          <cell r="I670" t="str">
            <v>No</v>
          </cell>
          <cell r="J670">
            <v>45398</v>
          </cell>
          <cell r="K670" t="str">
            <v>Yes</v>
          </cell>
          <cell r="L670">
            <v>44113</v>
          </cell>
          <cell r="M670">
            <v>264</v>
          </cell>
          <cell r="N670">
            <v>314</v>
          </cell>
          <cell r="O670">
            <v>4583.8828125</v>
          </cell>
          <cell r="P670">
            <v>11338.50902020713</v>
          </cell>
          <cell r="Q670">
            <v>4384.09033203125</v>
          </cell>
        </row>
        <row r="671">
          <cell r="A671" t="str">
            <v>1G1ZB5ST1MF016984</v>
          </cell>
          <cell r="B671">
            <v>2021</v>
          </cell>
          <cell r="C671" t="str">
            <v>CHEVROLET</v>
          </cell>
          <cell r="D671" t="str">
            <v>MALIBU</v>
          </cell>
          <cell r="E671">
            <v>60802</v>
          </cell>
          <cell r="F671" t="str">
            <v>Grade 3.6</v>
          </cell>
          <cell r="G671" t="str">
            <v>Green/Yellow</v>
          </cell>
          <cell r="H671" t="str">
            <v>Yes</v>
          </cell>
          <cell r="I671" t="str">
            <v>No</v>
          </cell>
          <cell r="J671">
            <v>45454</v>
          </cell>
          <cell r="K671" t="str">
            <v>Yes</v>
          </cell>
          <cell r="L671">
            <v>44113</v>
          </cell>
          <cell r="M671">
            <v>264</v>
          </cell>
          <cell r="N671">
            <v>314</v>
          </cell>
          <cell r="O671">
            <v>15406.7216796875</v>
          </cell>
          <cell r="P671">
            <v>14383.97244202738</v>
          </cell>
          <cell r="Q671">
            <v>15305.607421875</v>
          </cell>
        </row>
        <row r="672">
          <cell r="A672" t="str">
            <v>1G1ZB5ST5GF227481</v>
          </cell>
          <cell r="B672">
            <v>2016</v>
          </cell>
          <cell r="C672" t="str">
            <v>CHEVROLET</v>
          </cell>
          <cell r="D672" t="str">
            <v>MALIBU</v>
          </cell>
          <cell r="E672">
            <v>136261</v>
          </cell>
          <cell r="F672" t="str">
            <v>Grade 1.3</v>
          </cell>
          <cell r="G672" t="str">
            <v>Red Light</v>
          </cell>
          <cell r="H672" t="str">
            <v>No</v>
          </cell>
          <cell r="I672" t="str">
            <v>Yes</v>
          </cell>
          <cell r="J672">
            <v>45398</v>
          </cell>
          <cell r="K672" t="str">
            <v>Yes</v>
          </cell>
          <cell r="L672">
            <v>44113</v>
          </cell>
          <cell r="M672">
            <v>264</v>
          </cell>
          <cell r="N672">
            <v>314</v>
          </cell>
          <cell r="O672">
            <v>1351.319213867188</v>
          </cell>
          <cell r="P672">
            <v>9241.0288692089398</v>
          </cell>
          <cell r="Q672">
            <v>1405.991088867188</v>
          </cell>
        </row>
        <row r="673">
          <cell r="A673" t="str">
            <v>1G1ZB5STXLF011314</v>
          </cell>
          <cell r="B673">
            <v>2020</v>
          </cell>
          <cell r="C673" t="str">
            <v>CHEVROLET</v>
          </cell>
          <cell r="D673" t="str">
            <v>MALIBU</v>
          </cell>
          <cell r="E673">
            <v>79304</v>
          </cell>
          <cell r="F673" t="str">
            <v>Grade 3.2</v>
          </cell>
          <cell r="G673" t="str">
            <v>Green Light</v>
          </cell>
          <cell r="H673" t="str">
            <v>Yes</v>
          </cell>
          <cell r="I673" t="str">
            <v>No</v>
          </cell>
          <cell r="J673">
            <v>45482</v>
          </cell>
          <cell r="K673" t="str">
            <v>Yes</v>
          </cell>
          <cell r="L673">
            <v>44113</v>
          </cell>
          <cell r="M673">
            <v>264</v>
          </cell>
          <cell r="N673">
            <v>314</v>
          </cell>
          <cell r="O673">
            <v>10307.2880859375</v>
          </cell>
          <cell r="P673">
            <v>10965.92179585472</v>
          </cell>
          <cell r="Q673">
            <v>10249.51171875</v>
          </cell>
        </row>
        <row r="674">
          <cell r="A674" t="str">
            <v>1G1ZD5ST4LF039426</v>
          </cell>
          <cell r="B674">
            <v>2020</v>
          </cell>
          <cell r="C674" t="str">
            <v>CHEVROLET</v>
          </cell>
          <cell r="D674" t="str">
            <v>MALIBU</v>
          </cell>
          <cell r="E674">
            <v>58992</v>
          </cell>
          <cell r="F674" t="str">
            <v>Grade 1.0</v>
          </cell>
          <cell r="G674" t="str">
            <v>Salvage</v>
          </cell>
          <cell r="H674" t="str">
            <v>No</v>
          </cell>
          <cell r="I674" t="str">
            <v>Yes</v>
          </cell>
          <cell r="J674">
            <v>45519</v>
          </cell>
          <cell r="K674" t="str">
            <v>Yes</v>
          </cell>
          <cell r="L674">
            <v>44113</v>
          </cell>
          <cell r="M674">
            <v>264</v>
          </cell>
          <cell r="N674">
            <v>314</v>
          </cell>
          <cell r="O674">
            <v>5387.484375</v>
          </cell>
          <cell r="P674">
            <v>12292.81997445571</v>
          </cell>
          <cell r="Q674">
            <v>5117.9111328125</v>
          </cell>
        </row>
        <row r="675">
          <cell r="A675" t="str">
            <v>1G1ZD5ST7NF132346</v>
          </cell>
          <cell r="B675">
            <v>2022</v>
          </cell>
          <cell r="C675" t="str">
            <v>CHEVROLET</v>
          </cell>
          <cell r="D675" t="str">
            <v>MALIBU</v>
          </cell>
          <cell r="E675">
            <v>40700</v>
          </cell>
          <cell r="F675" t="str">
            <v>Grade 4.0</v>
          </cell>
          <cell r="G675" t="str">
            <v>Certified</v>
          </cell>
          <cell r="H675" t="str">
            <v>Yes</v>
          </cell>
          <cell r="I675" t="str">
            <v>No</v>
          </cell>
          <cell r="J675">
            <v>45538</v>
          </cell>
          <cell r="K675" t="str">
            <v>Yes</v>
          </cell>
          <cell r="L675">
            <v>44113</v>
          </cell>
          <cell r="M675">
            <v>264</v>
          </cell>
          <cell r="N675">
            <v>314</v>
          </cell>
          <cell r="O675">
            <v>18711.96484375</v>
          </cell>
          <cell r="P675">
            <v>14677.15359426845</v>
          </cell>
          <cell r="Q675">
            <v>18840.40625</v>
          </cell>
        </row>
        <row r="676">
          <cell r="A676" t="str">
            <v>1G1ZE5ST9GF223487</v>
          </cell>
          <cell r="B676">
            <v>2016</v>
          </cell>
          <cell r="C676" t="str">
            <v>CHEVROLET</v>
          </cell>
          <cell r="D676" t="str">
            <v>MALIBU</v>
          </cell>
          <cell r="E676">
            <v>100084</v>
          </cell>
          <cell r="F676" t="str">
            <v>Grade 3.1</v>
          </cell>
          <cell r="G676" t="str">
            <v>Green Light</v>
          </cell>
          <cell r="H676" t="str">
            <v>Yes</v>
          </cell>
          <cell r="I676" t="str">
            <v>No</v>
          </cell>
          <cell r="J676">
            <v>45566</v>
          </cell>
          <cell r="K676" t="str">
            <v>Yes</v>
          </cell>
          <cell r="L676">
            <v>44113</v>
          </cell>
          <cell r="M676">
            <v>264</v>
          </cell>
          <cell r="N676">
            <v>314</v>
          </cell>
          <cell r="O676">
            <v>6742.0283203125</v>
          </cell>
          <cell r="P676">
            <v>9463.3084141688196</v>
          </cell>
          <cell r="Q676">
            <v>6816.08837890625</v>
          </cell>
        </row>
        <row r="677">
          <cell r="A677" t="str">
            <v>1G4PP5SK0D4207486</v>
          </cell>
          <cell r="B677">
            <v>2013</v>
          </cell>
          <cell r="C677" t="str">
            <v>BUICK</v>
          </cell>
          <cell r="D677" t="str">
            <v>VERANO</v>
          </cell>
          <cell r="E677">
            <v>116272</v>
          </cell>
          <cell r="F677" t="str">
            <v>Grade 1.9</v>
          </cell>
          <cell r="G677" t="str">
            <v>Green/Yellow</v>
          </cell>
          <cell r="H677" t="str">
            <v>Yes</v>
          </cell>
          <cell r="I677" t="str">
            <v>No</v>
          </cell>
          <cell r="J677">
            <v>45664</v>
          </cell>
          <cell r="K677" t="str">
            <v>Yes</v>
          </cell>
          <cell r="L677">
            <v>44113</v>
          </cell>
          <cell r="M677">
            <v>264</v>
          </cell>
          <cell r="N677">
            <v>314</v>
          </cell>
          <cell r="O677">
            <v>1169.074829101562</v>
          </cell>
          <cell r="P677">
            <v>9001.7853457319325</v>
          </cell>
          <cell r="Q677">
            <v>1276.312622070312</v>
          </cell>
        </row>
        <row r="678">
          <cell r="A678" t="str">
            <v>1G6AA1RX9J0133559</v>
          </cell>
          <cell r="B678">
            <v>2018</v>
          </cell>
          <cell r="C678" t="str">
            <v>CADILLAC</v>
          </cell>
          <cell r="D678" t="str">
            <v>ATS</v>
          </cell>
          <cell r="E678">
            <v>29421</v>
          </cell>
          <cell r="F678" t="str">
            <v>Grade 4.4</v>
          </cell>
          <cell r="G678" t="str">
            <v>Certified</v>
          </cell>
          <cell r="H678" t="str">
            <v>Yes</v>
          </cell>
          <cell r="I678" t="str">
            <v>No</v>
          </cell>
          <cell r="J678">
            <v>45580</v>
          </cell>
          <cell r="K678" t="str">
            <v>Yes</v>
          </cell>
          <cell r="L678">
            <v>44113</v>
          </cell>
          <cell r="M678">
            <v>264</v>
          </cell>
          <cell r="N678">
            <v>314</v>
          </cell>
          <cell r="O678">
            <v>15346.1923828125</v>
          </cell>
          <cell r="P678">
            <v>12488.035132921919</v>
          </cell>
          <cell r="Q678">
            <v>15338.923828125</v>
          </cell>
        </row>
        <row r="679">
          <cell r="A679" t="str">
            <v>1GCRWBEHXKZ363243</v>
          </cell>
          <cell r="B679">
            <v>2019</v>
          </cell>
          <cell r="C679" t="str">
            <v>CHEVROLET</v>
          </cell>
          <cell r="D679" t="str">
            <v>SILVERADO 1500</v>
          </cell>
          <cell r="E679">
            <v>46858</v>
          </cell>
          <cell r="F679" t="str">
            <v>Grade 2.4</v>
          </cell>
          <cell r="G679" t="str">
            <v>Green/Yellow</v>
          </cell>
          <cell r="H679" t="str">
            <v>Yes</v>
          </cell>
          <cell r="I679" t="str">
            <v>No</v>
          </cell>
          <cell r="J679">
            <v>45664</v>
          </cell>
          <cell r="K679" t="str">
            <v>Yes</v>
          </cell>
          <cell r="L679">
            <v>44113</v>
          </cell>
          <cell r="M679">
            <v>264</v>
          </cell>
          <cell r="N679">
            <v>314</v>
          </cell>
          <cell r="O679">
            <v>11736.7021484375</v>
          </cell>
          <cell r="P679">
            <v>12942.77853829109</v>
          </cell>
          <cell r="Q679">
            <v>11607.5224609375</v>
          </cell>
        </row>
        <row r="680">
          <cell r="A680" t="str">
            <v>1GKKRPED7BJ402604</v>
          </cell>
          <cell r="B680">
            <v>2011</v>
          </cell>
          <cell r="C680" t="str">
            <v>GMC</v>
          </cell>
          <cell r="D680" t="str">
            <v>ACADIA FWD</v>
          </cell>
          <cell r="E680">
            <v>159369</v>
          </cell>
          <cell r="F680" t="str">
            <v>Grade 2.6</v>
          </cell>
          <cell r="G680" t="str">
            <v>Red Light</v>
          </cell>
          <cell r="H680" t="str">
            <v>No</v>
          </cell>
          <cell r="I680" t="str">
            <v>Yes</v>
          </cell>
          <cell r="J680">
            <v>45659</v>
          </cell>
          <cell r="K680" t="str">
            <v>Yes</v>
          </cell>
          <cell r="L680">
            <v>44113</v>
          </cell>
          <cell r="M680">
            <v>264</v>
          </cell>
          <cell r="N680">
            <v>314</v>
          </cell>
          <cell r="O680">
            <v>2071.574951171875</v>
          </cell>
          <cell r="P680">
            <v>10176.77073672368</v>
          </cell>
          <cell r="Q680">
            <v>2008.268432617188</v>
          </cell>
        </row>
        <row r="681">
          <cell r="A681" t="str">
            <v>1GKS2GKC3FR209177</v>
          </cell>
          <cell r="B681">
            <v>2015</v>
          </cell>
          <cell r="C681" t="str">
            <v>GMC</v>
          </cell>
          <cell r="D681" t="str">
            <v>YUKON XL 1500</v>
          </cell>
          <cell r="E681">
            <v>118714</v>
          </cell>
          <cell r="F681" t="str">
            <v>Grade 4.0</v>
          </cell>
          <cell r="G681" t="str">
            <v>Red Light</v>
          </cell>
          <cell r="H681" t="str">
            <v>No</v>
          </cell>
          <cell r="I681" t="str">
            <v>Yes</v>
          </cell>
          <cell r="J681">
            <v>45678</v>
          </cell>
          <cell r="K681" t="str">
            <v>Yes</v>
          </cell>
          <cell r="L681">
            <v>44113</v>
          </cell>
          <cell r="M681">
            <v>264</v>
          </cell>
          <cell r="N681">
            <v>314</v>
          </cell>
          <cell r="O681">
            <v>11890.44921875</v>
          </cell>
          <cell r="P681">
            <v>11016.63669798696</v>
          </cell>
          <cell r="Q681">
            <v>11724.0654296875</v>
          </cell>
        </row>
        <row r="682">
          <cell r="A682" t="str">
            <v>1GNALBEK3FZ130531</v>
          </cell>
          <cell r="B682">
            <v>2015</v>
          </cell>
          <cell r="C682" t="str">
            <v>CHEVROLET</v>
          </cell>
          <cell r="D682" t="str">
            <v>EQUINOX FWD 4C</v>
          </cell>
          <cell r="E682">
            <v>98212</v>
          </cell>
          <cell r="F682" t="str">
            <v>Grade 3.9</v>
          </cell>
          <cell r="G682" t="str">
            <v>Green/Yellow</v>
          </cell>
          <cell r="H682" t="str">
            <v>Yes</v>
          </cell>
          <cell r="I682" t="str">
            <v>No</v>
          </cell>
          <cell r="J682">
            <v>45617</v>
          </cell>
          <cell r="K682" t="str">
            <v>Yes</v>
          </cell>
          <cell r="L682">
            <v>44113</v>
          </cell>
          <cell r="M682">
            <v>264</v>
          </cell>
          <cell r="N682">
            <v>314</v>
          </cell>
          <cell r="O682">
            <v>7567.00732421875</v>
          </cell>
          <cell r="P682">
            <v>10338.698315759561</v>
          </cell>
          <cell r="Q682">
            <v>7522.47509765625</v>
          </cell>
        </row>
        <row r="683">
          <cell r="A683" t="str">
            <v>1GNKRFED9HJ184624</v>
          </cell>
          <cell r="B683">
            <v>2017</v>
          </cell>
          <cell r="C683" t="str">
            <v>CHEVROLET</v>
          </cell>
          <cell r="D683" t="str">
            <v>TRAVERSE FWD</v>
          </cell>
          <cell r="E683">
            <v>112007</v>
          </cell>
          <cell r="F683" t="str">
            <v>Grade 2.3</v>
          </cell>
          <cell r="G683" t="str">
            <v>Green/Yellow</v>
          </cell>
          <cell r="H683" t="str">
            <v>Yes</v>
          </cell>
          <cell r="I683" t="str">
            <v>No</v>
          </cell>
          <cell r="J683">
            <v>45568</v>
          </cell>
          <cell r="K683" t="str">
            <v>Yes</v>
          </cell>
          <cell r="L683">
            <v>44113</v>
          </cell>
          <cell r="M683">
            <v>264</v>
          </cell>
          <cell r="N683">
            <v>314</v>
          </cell>
          <cell r="O683">
            <v>3851.9599609375</v>
          </cell>
          <cell r="P683">
            <v>9340.893233204135</v>
          </cell>
          <cell r="Q683">
            <v>3738.947265625</v>
          </cell>
        </row>
        <row r="684">
          <cell r="A684" t="str">
            <v>1GNKVGKD5HJ164392</v>
          </cell>
          <cell r="B684">
            <v>2017</v>
          </cell>
          <cell r="C684" t="str">
            <v>CHEVROLET</v>
          </cell>
          <cell r="D684" t="str">
            <v>TRAVERSE AWD</v>
          </cell>
          <cell r="E684">
            <v>115506</v>
          </cell>
          <cell r="F684" t="str">
            <v>Grade 2.3</v>
          </cell>
          <cell r="G684" t="str">
            <v>Red Light</v>
          </cell>
          <cell r="H684" t="str">
            <v>No</v>
          </cell>
          <cell r="I684" t="str">
            <v>Yes</v>
          </cell>
          <cell r="J684">
            <v>45645</v>
          </cell>
          <cell r="K684" t="str">
            <v>Yes</v>
          </cell>
          <cell r="L684">
            <v>44113</v>
          </cell>
          <cell r="M684">
            <v>264</v>
          </cell>
          <cell r="N684">
            <v>314</v>
          </cell>
          <cell r="O684">
            <v>3502.957763671875</v>
          </cell>
          <cell r="P684">
            <v>9340.893233204135</v>
          </cell>
          <cell r="Q684">
            <v>3484.11572265625</v>
          </cell>
        </row>
        <row r="685">
          <cell r="A685" t="str">
            <v>1N4AL3AP4FC248936</v>
          </cell>
          <cell r="B685">
            <v>2015</v>
          </cell>
          <cell r="C685" t="str">
            <v>NISSAN</v>
          </cell>
          <cell r="D685" t="str">
            <v>ALTIMA 4C</v>
          </cell>
          <cell r="E685">
            <v>103624</v>
          </cell>
          <cell r="F685" t="str">
            <v>Grade 4.1</v>
          </cell>
          <cell r="G685" t="str">
            <v>Certified</v>
          </cell>
          <cell r="H685" t="str">
            <v>Yes</v>
          </cell>
          <cell r="I685" t="str">
            <v>No</v>
          </cell>
          <cell r="J685">
            <v>45512</v>
          </cell>
          <cell r="K685" t="str">
            <v>Yes</v>
          </cell>
          <cell r="L685">
            <v>44113</v>
          </cell>
          <cell r="M685">
            <v>264</v>
          </cell>
          <cell r="N685">
            <v>314</v>
          </cell>
          <cell r="O685">
            <v>7367.48388671875</v>
          </cell>
          <cell r="P685">
            <v>9644.023934629311</v>
          </cell>
          <cell r="Q685">
            <v>7454.77392578125</v>
          </cell>
        </row>
        <row r="686">
          <cell r="A686" t="str">
            <v>1N4AL3AP5FC105638</v>
          </cell>
          <cell r="B686">
            <v>2015</v>
          </cell>
          <cell r="C686" t="str">
            <v>NISSAN</v>
          </cell>
          <cell r="D686" t="str">
            <v>ALTIMA 4C</v>
          </cell>
          <cell r="E686">
            <v>114480</v>
          </cell>
          <cell r="F686" t="str">
            <v>Grade 3.1</v>
          </cell>
          <cell r="G686" t="str">
            <v>Green/Yellow</v>
          </cell>
          <cell r="H686" t="str">
            <v>Yes</v>
          </cell>
          <cell r="I686" t="str">
            <v>No</v>
          </cell>
          <cell r="J686">
            <v>45645</v>
          </cell>
          <cell r="K686" t="str">
            <v>Yes</v>
          </cell>
          <cell r="L686">
            <v>44113</v>
          </cell>
          <cell r="M686">
            <v>264</v>
          </cell>
          <cell r="N686">
            <v>314</v>
          </cell>
          <cell r="O686">
            <v>4370.73974609375</v>
          </cell>
          <cell r="P686">
            <v>8888.0032658938781</v>
          </cell>
          <cell r="Q686">
            <v>4365.63232421875</v>
          </cell>
        </row>
        <row r="687">
          <cell r="A687" t="str">
            <v>1N4AL3AP6JC160818</v>
          </cell>
          <cell r="B687">
            <v>2018</v>
          </cell>
          <cell r="C687" t="str">
            <v>NISSAN</v>
          </cell>
          <cell r="D687" t="str">
            <v>ALTIMA 4C</v>
          </cell>
          <cell r="E687">
            <v>169689</v>
          </cell>
          <cell r="F687" t="str">
            <v>Grade 2.8</v>
          </cell>
          <cell r="G687" t="str">
            <v>Red Light</v>
          </cell>
          <cell r="H687" t="str">
            <v>No</v>
          </cell>
          <cell r="I687" t="str">
            <v>Yes</v>
          </cell>
          <cell r="J687">
            <v>45484</v>
          </cell>
          <cell r="K687" t="str">
            <v>Yes</v>
          </cell>
          <cell r="L687">
            <v>44113</v>
          </cell>
          <cell r="M687">
            <v>264</v>
          </cell>
          <cell r="N687">
            <v>314</v>
          </cell>
          <cell r="O687">
            <v>2739.983642578125</v>
          </cell>
          <cell r="P687">
            <v>8994.7011743544426</v>
          </cell>
          <cell r="Q687">
            <v>2601.28369140625</v>
          </cell>
        </row>
        <row r="688">
          <cell r="A688" t="str">
            <v>1N6AD0EV9GN785948</v>
          </cell>
          <cell r="B688">
            <v>2016</v>
          </cell>
          <cell r="C688" t="str">
            <v>NISSAN</v>
          </cell>
          <cell r="D688" t="str">
            <v>FRONTIER 4X4 CR</v>
          </cell>
          <cell r="E688">
            <v>121665</v>
          </cell>
          <cell r="F688" t="str">
            <v>Grade 2.8</v>
          </cell>
          <cell r="G688" t="str">
            <v>Green Light</v>
          </cell>
          <cell r="H688" t="str">
            <v>Yes</v>
          </cell>
          <cell r="I688" t="str">
            <v>No</v>
          </cell>
          <cell r="J688">
            <v>45575</v>
          </cell>
          <cell r="K688" t="str">
            <v>Yes</v>
          </cell>
          <cell r="L688">
            <v>44113</v>
          </cell>
          <cell r="M688">
            <v>264</v>
          </cell>
          <cell r="N688">
            <v>314</v>
          </cell>
          <cell r="O688">
            <v>2322.986328125</v>
          </cell>
          <cell r="P688">
            <v>8916.0737192440647</v>
          </cell>
          <cell r="Q688">
            <v>2171.309814453125</v>
          </cell>
        </row>
        <row r="689">
          <cell r="A689" t="str">
            <v>1VWAT7A36FC035384</v>
          </cell>
          <cell r="B689">
            <v>2015</v>
          </cell>
          <cell r="C689" t="str">
            <v>VOLKSWAGEN</v>
          </cell>
          <cell r="D689" t="str">
            <v>PASSAT</v>
          </cell>
          <cell r="E689">
            <v>117781</v>
          </cell>
          <cell r="F689" t="str">
            <v>Grade 2.8</v>
          </cell>
          <cell r="G689" t="str">
            <v>Green Light</v>
          </cell>
          <cell r="H689" t="str">
            <v>Yes</v>
          </cell>
          <cell r="I689" t="str">
            <v>No</v>
          </cell>
          <cell r="J689">
            <v>45300</v>
          </cell>
          <cell r="K689" t="str">
            <v>Yes</v>
          </cell>
          <cell r="L689">
            <v>44113</v>
          </cell>
          <cell r="M689">
            <v>264</v>
          </cell>
          <cell r="N689">
            <v>314</v>
          </cell>
          <cell r="O689">
            <v>1688.866455078125</v>
          </cell>
          <cell r="P689">
            <v>8783.8696779760903</v>
          </cell>
          <cell r="Q689">
            <v>1606.248657226562</v>
          </cell>
        </row>
        <row r="690">
          <cell r="A690" t="str">
            <v>1VWAT7A39EC040965</v>
          </cell>
          <cell r="B690">
            <v>2014</v>
          </cell>
          <cell r="C690" t="str">
            <v>VOLKSWAGEN</v>
          </cell>
          <cell r="D690" t="str">
            <v>PASSAT 4C</v>
          </cell>
          <cell r="E690">
            <v>194371</v>
          </cell>
          <cell r="F690" t="str">
            <v>Grade 3.4</v>
          </cell>
          <cell r="G690" t="str">
            <v>Inoperable</v>
          </cell>
          <cell r="H690" t="str">
            <v>No</v>
          </cell>
          <cell r="I690" t="str">
            <v>Yes</v>
          </cell>
          <cell r="J690">
            <v>45568</v>
          </cell>
          <cell r="K690" t="str">
            <v>Yes</v>
          </cell>
          <cell r="L690">
            <v>44113</v>
          </cell>
          <cell r="M690">
            <v>264</v>
          </cell>
          <cell r="N690">
            <v>314</v>
          </cell>
          <cell r="O690">
            <v>2648.407958984375</v>
          </cell>
          <cell r="P690">
            <v>8936.3605561875611</v>
          </cell>
          <cell r="Q690">
            <v>2498.12890625</v>
          </cell>
        </row>
        <row r="691">
          <cell r="A691" t="str">
            <v>1VWBV7A33FC082998</v>
          </cell>
          <cell r="B691">
            <v>2015</v>
          </cell>
          <cell r="C691" t="str">
            <v>VOLKSWAGEN</v>
          </cell>
          <cell r="D691" t="str">
            <v>PASSAT</v>
          </cell>
          <cell r="E691">
            <v>85586</v>
          </cell>
          <cell r="F691" t="str">
            <v>Grade 1.3</v>
          </cell>
          <cell r="G691" t="str">
            <v>Red Light</v>
          </cell>
          <cell r="H691" t="str">
            <v>No</v>
          </cell>
          <cell r="I691" t="str">
            <v>Yes</v>
          </cell>
          <cell r="J691">
            <v>45342</v>
          </cell>
          <cell r="K691" t="str">
            <v>Yes</v>
          </cell>
          <cell r="L691">
            <v>44113</v>
          </cell>
          <cell r="M691">
            <v>264</v>
          </cell>
          <cell r="N691">
            <v>314</v>
          </cell>
          <cell r="O691">
            <v>1792.913818359375</v>
          </cell>
          <cell r="P691">
            <v>8823.8160593936791</v>
          </cell>
          <cell r="Q691">
            <v>1715.600830078125</v>
          </cell>
        </row>
        <row r="692">
          <cell r="A692" t="str">
            <v>1VWCS7A3XEC021837</v>
          </cell>
          <cell r="B692">
            <v>2014</v>
          </cell>
          <cell r="C692" t="str">
            <v>VOLKSWAGEN</v>
          </cell>
          <cell r="D692" t="str">
            <v>PASSAT 4C</v>
          </cell>
          <cell r="E692">
            <v>146363</v>
          </cell>
          <cell r="F692" t="str">
            <v>Grade 2.6</v>
          </cell>
          <cell r="G692" t="str">
            <v>Inoperable</v>
          </cell>
          <cell r="H692" t="str">
            <v>No</v>
          </cell>
          <cell r="I692" t="str">
            <v>Yes</v>
          </cell>
          <cell r="J692">
            <v>45631</v>
          </cell>
          <cell r="K692" t="str">
            <v>Yes</v>
          </cell>
          <cell r="L692">
            <v>44113</v>
          </cell>
          <cell r="M692">
            <v>264</v>
          </cell>
          <cell r="N692">
            <v>314</v>
          </cell>
          <cell r="O692">
            <v>1171.84326171875</v>
          </cell>
          <cell r="P692">
            <v>8936.3605561875611</v>
          </cell>
          <cell r="Q692">
            <v>1276.312622070312</v>
          </cell>
        </row>
        <row r="693">
          <cell r="A693" t="str">
            <v>1VWSA7A34LC016306</v>
          </cell>
          <cell r="B693">
            <v>2020</v>
          </cell>
          <cell r="C693" t="str">
            <v>VOLKSWAGEN</v>
          </cell>
          <cell r="D693" t="str">
            <v>PASSAT</v>
          </cell>
          <cell r="E693">
            <v>92600</v>
          </cell>
          <cell r="F693" t="str">
            <v>Grade 2.9</v>
          </cell>
          <cell r="G693" t="str">
            <v>Green Light</v>
          </cell>
          <cell r="H693" t="str">
            <v>Yes</v>
          </cell>
          <cell r="I693" t="str">
            <v>No</v>
          </cell>
          <cell r="J693">
            <v>45603</v>
          </cell>
          <cell r="K693" t="str">
            <v>Yes</v>
          </cell>
          <cell r="L693">
            <v>44113</v>
          </cell>
          <cell r="M693">
            <v>264</v>
          </cell>
          <cell r="N693">
            <v>314</v>
          </cell>
          <cell r="O693">
            <v>4818.07470703125</v>
          </cell>
          <cell r="P693">
            <v>10521.930029435451</v>
          </cell>
          <cell r="Q693">
            <v>4557.52392578125</v>
          </cell>
        </row>
        <row r="694">
          <cell r="A694" t="str">
            <v>2C3CDZBT3FH701265</v>
          </cell>
          <cell r="B694">
            <v>2015</v>
          </cell>
          <cell r="C694" t="str">
            <v>DODGE</v>
          </cell>
          <cell r="D694" t="str">
            <v>CHALLENGER</v>
          </cell>
          <cell r="E694">
            <v>73301</v>
          </cell>
          <cell r="F694" t="str">
            <v>Grade 2.2</v>
          </cell>
          <cell r="G694" t="str">
            <v>Green/Yellow</v>
          </cell>
          <cell r="H694" t="str">
            <v>Yes</v>
          </cell>
          <cell r="I694" t="str">
            <v>No</v>
          </cell>
          <cell r="J694">
            <v>45664</v>
          </cell>
          <cell r="K694" t="str">
            <v>Yes</v>
          </cell>
          <cell r="L694">
            <v>44113</v>
          </cell>
          <cell r="M694">
            <v>264</v>
          </cell>
          <cell r="N694">
            <v>314</v>
          </cell>
          <cell r="O694">
            <v>4493.560546875</v>
          </cell>
          <cell r="P694">
            <v>10057.66203356314</v>
          </cell>
          <cell r="Q694">
            <v>4299.771484375</v>
          </cell>
        </row>
        <row r="695">
          <cell r="A695" t="str">
            <v>2C4RDGBG6JR136915</v>
          </cell>
          <cell r="B695">
            <v>2018</v>
          </cell>
          <cell r="C695" t="str">
            <v>DODGE</v>
          </cell>
          <cell r="D695" t="str">
            <v>GRAND CARAVAN</v>
          </cell>
          <cell r="E695">
            <v>98169</v>
          </cell>
          <cell r="F695" t="str">
            <v>Grade 2.8</v>
          </cell>
          <cell r="G695" t="str">
            <v>Certified</v>
          </cell>
          <cell r="H695" t="str">
            <v>Yes</v>
          </cell>
          <cell r="I695" t="str">
            <v>No</v>
          </cell>
          <cell r="J695">
            <v>45538</v>
          </cell>
          <cell r="K695" t="str">
            <v>Yes</v>
          </cell>
          <cell r="L695">
            <v>44113</v>
          </cell>
          <cell r="M695">
            <v>264</v>
          </cell>
          <cell r="N695">
            <v>314</v>
          </cell>
          <cell r="O695">
            <v>5837.37744140625</v>
          </cell>
          <cell r="P695">
            <v>9292.1215173956389</v>
          </cell>
          <cell r="Q695">
            <v>5864.43115234375</v>
          </cell>
        </row>
        <row r="696">
          <cell r="A696" t="str">
            <v>2G1125S34E9129304</v>
          </cell>
          <cell r="B696">
            <v>2014</v>
          </cell>
          <cell r="C696" t="str">
            <v>CHEVROLET</v>
          </cell>
          <cell r="D696" t="str">
            <v>IMPALA V6</v>
          </cell>
          <cell r="E696">
            <v>201563</v>
          </cell>
          <cell r="F696" t="str">
            <v>Grade 1.0</v>
          </cell>
          <cell r="G696" t="str">
            <v>Inoperable</v>
          </cell>
          <cell r="H696" t="str">
            <v>No</v>
          </cell>
          <cell r="I696" t="str">
            <v>Yes</v>
          </cell>
          <cell r="J696">
            <v>45344</v>
          </cell>
          <cell r="K696" t="str">
            <v>Yes</v>
          </cell>
          <cell r="L696">
            <v>44113</v>
          </cell>
          <cell r="M696">
            <v>264</v>
          </cell>
          <cell r="N696">
            <v>314</v>
          </cell>
          <cell r="O696">
            <v>1712.189697265625</v>
          </cell>
          <cell r="P696">
            <v>9298.7797115910362</v>
          </cell>
          <cell r="Q696">
            <v>1707.501708984375</v>
          </cell>
        </row>
        <row r="697">
          <cell r="A697" t="str">
            <v>2GKALPEK9H6309584</v>
          </cell>
          <cell r="B697">
            <v>2017</v>
          </cell>
          <cell r="C697" t="str">
            <v>GMC</v>
          </cell>
          <cell r="D697" t="str">
            <v>TERRAIN</v>
          </cell>
          <cell r="E697">
            <v>72363</v>
          </cell>
          <cell r="F697" t="str">
            <v>Grade 4.0</v>
          </cell>
          <cell r="G697" t="str">
            <v>Certified</v>
          </cell>
          <cell r="H697" t="str">
            <v>Yes</v>
          </cell>
          <cell r="I697" t="str">
            <v>No</v>
          </cell>
          <cell r="J697">
            <v>45454</v>
          </cell>
          <cell r="K697" t="str">
            <v>Yes</v>
          </cell>
          <cell r="L697">
            <v>44113</v>
          </cell>
          <cell r="M697">
            <v>264</v>
          </cell>
          <cell r="N697">
            <v>314</v>
          </cell>
          <cell r="O697">
            <v>14389.69140625</v>
          </cell>
          <cell r="P697">
            <v>11284.31958529298</v>
          </cell>
          <cell r="Q697">
            <v>14574.2236328125</v>
          </cell>
        </row>
        <row r="698">
          <cell r="A698" t="str">
            <v>2GKFLVEK9D6238665</v>
          </cell>
          <cell r="B698">
            <v>2013</v>
          </cell>
          <cell r="C698" t="str">
            <v>GMC TRUCK</v>
          </cell>
          <cell r="D698" t="str">
            <v>TERRAIN AWD 4C</v>
          </cell>
          <cell r="E698">
            <v>158543</v>
          </cell>
          <cell r="F698" t="str">
            <v>Grade 3.5</v>
          </cell>
          <cell r="G698" t="str">
            <v>Inoperable</v>
          </cell>
          <cell r="H698" t="str">
            <v>No</v>
          </cell>
          <cell r="I698" t="str">
            <v>Yes</v>
          </cell>
          <cell r="J698">
            <v>45344</v>
          </cell>
          <cell r="K698" t="str">
            <v>Yes</v>
          </cell>
          <cell r="L698">
            <v>44113</v>
          </cell>
          <cell r="M698">
            <v>264</v>
          </cell>
          <cell r="N698">
            <v>314</v>
          </cell>
          <cell r="O698">
            <v>3744.92724609375</v>
          </cell>
          <cell r="P698">
            <v>9274.16478884961</v>
          </cell>
          <cell r="Q698">
            <v>3597.75048828125</v>
          </cell>
        </row>
        <row r="699">
          <cell r="A699" t="str">
            <v>2GNALAEK9E6172285</v>
          </cell>
          <cell r="B699">
            <v>2014</v>
          </cell>
          <cell r="C699" t="str">
            <v>CHEVROLET</v>
          </cell>
          <cell r="D699" t="str">
            <v>EQUINOX FWD 4C</v>
          </cell>
          <cell r="E699">
            <v>110653</v>
          </cell>
          <cell r="F699" t="str">
            <v>Grade 3.0</v>
          </cell>
          <cell r="G699" t="str">
            <v>Red Light</v>
          </cell>
          <cell r="H699" t="str">
            <v>No</v>
          </cell>
          <cell r="I699" t="str">
            <v>Yes</v>
          </cell>
          <cell r="J699">
            <v>45638</v>
          </cell>
          <cell r="K699" t="str">
            <v>Yes</v>
          </cell>
          <cell r="L699">
            <v>44113</v>
          </cell>
          <cell r="M699">
            <v>264</v>
          </cell>
          <cell r="N699">
            <v>314</v>
          </cell>
          <cell r="O699">
            <v>5406.00439453125</v>
          </cell>
          <cell r="P699">
            <v>9423.0264753820265</v>
          </cell>
          <cell r="Q699">
            <v>5455.4921875</v>
          </cell>
        </row>
        <row r="700">
          <cell r="A700" t="str">
            <v>2GNALBEK5E6234450</v>
          </cell>
          <cell r="B700">
            <v>2014</v>
          </cell>
          <cell r="C700" t="str">
            <v>CHEVROLET</v>
          </cell>
          <cell r="D700" t="str">
            <v>EQUINOX FWD 4C</v>
          </cell>
          <cell r="E700">
            <v>169388</v>
          </cell>
          <cell r="F700" t="str">
            <v>Grade 2.1</v>
          </cell>
          <cell r="G700" t="str">
            <v>Red Light</v>
          </cell>
          <cell r="H700" t="str">
            <v>No</v>
          </cell>
          <cell r="I700" t="str">
            <v>Yes</v>
          </cell>
          <cell r="J700">
            <v>45442</v>
          </cell>
          <cell r="K700" t="str">
            <v>Yes</v>
          </cell>
          <cell r="L700">
            <v>44113</v>
          </cell>
          <cell r="M700">
            <v>264</v>
          </cell>
          <cell r="N700">
            <v>314</v>
          </cell>
          <cell r="O700">
            <v>1953.616455078125</v>
          </cell>
          <cell r="P700">
            <v>9305.6330311934707</v>
          </cell>
          <cell r="Q700">
            <v>1920.052001953125</v>
          </cell>
        </row>
        <row r="701">
          <cell r="A701" t="str">
            <v>2GNALBEK5H1601560</v>
          </cell>
          <cell r="B701">
            <v>2017</v>
          </cell>
          <cell r="C701" t="str">
            <v>CHEVROLET</v>
          </cell>
          <cell r="D701" t="str">
            <v>EQUINOX FWD 4C</v>
          </cell>
          <cell r="E701">
            <v>138303</v>
          </cell>
          <cell r="F701" t="str">
            <v>Grade 3.5</v>
          </cell>
          <cell r="G701" t="str">
            <v>Red Light</v>
          </cell>
          <cell r="H701" t="str">
            <v>No</v>
          </cell>
          <cell r="I701" t="str">
            <v>Yes</v>
          </cell>
          <cell r="J701">
            <v>45435</v>
          </cell>
          <cell r="K701" t="str">
            <v>Yes</v>
          </cell>
          <cell r="L701">
            <v>44113</v>
          </cell>
          <cell r="M701">
            <v>264</v>
          </cell>
          <cell r="N701">
            <v>314</v>
          </cell>
          <cell r="O701">
            <v>7412.67724609375</v>
          </cell>
          <cell r="P701">
            <v>9438.1947608442915</v>
          </cell>
          <cell r="Q701">
            <v>7427.55712890625</v>
          </cell>
        </row>
        <row r="702">
          <cell r="A702" t="str">
            <v>2GNALBEKXF6298954</v>
          </cell>
          <cell r="B702">
            <v>2015</v>
          </cell>
          <cell r="C702" t="str">
            <v>CHEVROLET</v>
          </cell>
          <cell r="D702" t="str">
            <v>EQUINOX FWD 4C</v>
          </cell>
          <cell r="E702">
            <v>88373</v>
          </cell>
          <cell r="F702" t="str">
            <v>Grade 2.4</v>
          </cell>
          <cell r="G702" t="str">
            <v>Green Light</v>
          </cell>
          <cell r="H702" t="str">
            <v>Yes</v>
          </cell>
          <cell r="I702" t="str">
            <v>No</v>
          </cell>
          <cell r="J702">
            <v>45673</v>
          </cell>
          <cell r="K702" t="str">
            <v>Yes</v>
          </cell>
          <cell r="L702">
            <v>44113</v>
          </cell>
          <cell r="M702">
            <v>264</v>
          </cell>
          <cell r="N702">
            <v>314</v>
          </cell>
          <cell r="O702">
            <v>3670.673095703125</v>
          </cell>
          <cell r="P702">
            <v>9515.2706121483025</v>
          </cell>
          <cell r="Q702">
            <v>3639.544921875</v>
          </cell>
        </row>
        <row r="703">
          <cell r="A703" t="str">
            <v>2GNAXHEV5K6271642</v>
          </cell>
          <cell r="B703">
            <v>2019</v>
          </cell>
          <cell r="C703" t="str">
            <v>CHEVROLET</v>
          </cell>
          <cell r="D703" t="str">
            <v>EQUINOX</v>
          </cell>
          <cell r="E703">
            <v>89208</v>
          </cell>
          <cell r="F703" t="str">
            <v>Grade 2.9</v>
          </cell>
          <cell r="G703" t="str">
            <v>Green Light</v>
          </cell>
          <cell r="H703" t="str">
            <v>Yes</v>
          </cell>
          <cell r="I703" t="str">
            <v>No</v>
          </cell>
          <cell r="J703">
            <v>45566</v>
          </cell>
          <cell r="K703" t="str">
            <v>Yes</v>
          </cell>
          <cell r="L703">
            <v>44113</v>
          </cell>
          <cell r="M703">
            <v>264</v>
          </cell>
          <cell r="N703">
            <v>314</v>
          </cell>
          <cell r="O703">
            <v>5414.46240234375</v>
          </cell>
          <cell r="P703">
            <v>9671.4741411401628</v>
          </cell>
          <cell r="Q703">
            <v>5501.13671875</v>
          </cell>
        </row>
        <row r="704">
          <cell r="A704" t="str">
            <v>2GNFLEEK0G6348821</v>
          </cell>
          <cell r="B704">
            <v>2016</v>
          </cell>
          <cell r="C704" t="str">
            <v>CHEVROLET</v>
          </cell>
          <cell r="D704" t="str">
            <v>EQUINOX</v>
          </cell>
          <cell r="E704">
            <v>133130</v>
          </cell>
          <cell r="F704" t="str">
            <v>Grade 2.7</v>
          </cell>
          <cell r="G704" t="str">
            <v>Green Light</v>
          </cell>
          <cell r="H704" t="str">
            <v>Yes</v>
          </cell>
          <cell r="I704" t="str">
            <v>No</v>
          </cell>
          <cell r="J704">
            <v>45664</v>
          </cell>
          <cell r="K704" t="str">
            <v>Yes</v>
          </cell>
          <cell r="L704">
            <v>44113</v>
          </cell>
          <cell r="M704">
            <v>264</v>
          </cell>
          <cell r="N704">
            <v>314</v>
          </cell>
          <cell r="O704">
            <v>1574.315551757812</v>
          </cell>
          <cell r="P704">
            <v>9411.795700470122</v>
          </cell>
          <cell r="Q704">
            <v>1584.925903320312</v>
          </cell>
        </row>
        <row r="705">
          <cell r="A705" t="str">
            <v>2GNFLFEK0G6239250</v>
          </cell>
          <cell r="B705">
            <v>2016</v>
          </cell>
          <cell r="C705" t="str">
            <v>CHEVROLET</v>
          </cell>
          <cell r="D705" t="str">
            <v>EQUINOX AWD 4C</v>
          </cell>
          <cell r="E705">
            <v>112564</v>
          </cell>
          <cell r="F705" t="str">
            <v>Grade 2.5</v>
          </cell>
          <cell r="G705" t="str">
            <v>Green/Yellow</v>
          </cell>
          <cell r="H705" t="str">
            <v>Yes</v>
          </cell>
          <cell r="I705" t="str">
            <v>No</v>
          </cell>
          <cell r="J705">
            <v>45701</v>
          </cell>
          <cell r="K705" t="str">
            <v>Yes</v>
          </cell>
          <cell r="L705">
            <v>44113</v>
          </cell>
          <cell r="M705">
            <v>264</v>
          </cell>
          <cell r="N705">
            <v>314</v>
          </cell>
          <cell r="O705">
            <v>3026.079345703125</v>
          </cell>
          <cell r="P705">
            <v>9468.5348277529774</v>
          </cell>
          <cell r="Q705">
            <v>2989.50341796875</v>
          </cell>
        </row>
        <row r="706">
          <cell r="A706" t="str">
            <v>2HGFC2F65LH538025</v>
          </cell>
          <cell r="B706">
            <v>2020</v>
          </cell>
          <cell r="C706" t="str">
            <v>HONDA</v>
          </cell>
          <cell r="D706" t="str">
            <v>CIVIC</v>
          </cell>
          <cell r="E706">
            <v>54882</v>
          </cell>
          <cell r="F706" t="str">
            <v>Grade 4.8</v>
          </cell>
          <cell r="G706" t="str">
            <v>Certified</v>
          </cell>
          <cell r="H706" t="str">
            <v>Yes</v>
          </cell>
          <cell r="I706" t="str">
            <v>No</v>
          </cell>
          <cell r="J706">
            <v>45386</v>
          </cell>
          <cell r="K706" t="str">
            <v>Yes</v>
          </cell>
          <cell r="L706">
            <v>44113</v>
          </cell>
          <cell r="M706">
            <v>264</v>
          </cell>
          <cell r="N706">
            <v>314</v>
          </cell>
          <cell r="O706">
            <v>17890.75390625</v>
          </cell>
          <cell r="P706">
            <v>13269.148477813371</v>
          </cell>
          <cell r="Q706">
            <v>17773.84765625</v>
          </cell>
        </row>
        <row r="707">
          <cell r="A707" t="str">
            <v>2LMDJ6JKXBBJ20911</v>
          </cell>
          <cell r="B707">
            <v>2011</v>
          </cell>
          <cell r="C707" t="str">
            <v>LINCOLN</v>
          </cell>
          <cell r="D707" t="str">
            <v>MKX</v>
          </cell>
          <cell r="E707">
            <v>118116</v>
          </cell>
          <cell r="F707" t="str">
            <v>Grade 1.2</v>
          </cell>
          <cell r="G707" t="str">
            <v>Inoperable</v>
          </cell>
          <cell r="H707" t="str">
            <v>No</v>
          </cell>
          <cell r="I707" t="str">
            <v>Yes</v>
          </cell>
          <cell r="J707">
            <v>45482</v>
          </cell>
          <cell r="K707" t="str">
            <v>Yes</v>
          </cell>
          <cell r="L707">
            <v>44113</v>
          </cell>
          <cell r="M707">
            <v>264</v>
          </cell>
          <cell r="N707">
            <v>314</v>
          </cell>
          <cell r="O707">
            <v>1865.85400390625</v>
          </cell>
          <cell r="P707">
            <v>8905.2655733712654</v>
          </cell>
          <cell r="Q707">
            <v>1778.49755859375</v>
          </cell>
        </row>
        <row r="708">
          <cell r="A708" t="str">
            <v>2T1BU4EE7DC060376</v>
          </cell>
          <cell r="B708">
            <v>2013</v>
          </cell>
          <cell r="C708" t="str">
            <v>TOYOTA</v>
          </cell>
          <cell r="D708" t="str">
            <v>COROLLA</v>
          </cell>
          <cell r="E708">
            <v>73376</v>
          </cell>
          <cell r="F708" t="str">
            <v>Grade 2.6</v>
          </cell>
          <cell r="G708" t="str">
            <v>Green Light</v>
          </cell>
          <cell r="H708" t="str">
            <v>Yes</v>
          </cell>
          <cell r="I708" t="str">
            <v>No</v>
          </cell>
          <cell r="J708">
            <v>45659</v>
          </cell>
          <cell r="K708" t="str">
            <v>Yes</v>
          </cell>
          <cell r="L708">
            <v>44113</v>
          </cell>
          <cell r="M708">
            <v>264</v>
          </cell>
          <cell r="N708">
            <v>314</v>
          </cell>
          <cell r="O708">
            <v>4886.82470703125</v>
          </cell>
          <cell r="P708">
            <v>9635.7958000412054</v>
          </cell>
          <cell r="Q708">
            <v>4913.08251953125</v>
          </cell>
        </row>
        <row r="709">
          <cell r="A709" t="str">
            <v>2T3BFREV4EW221121</v>
          </cell>
          <cell r="B709">
            <v>2014</v>
          </cell>
          <cell r="C709" t="str">
            <v>TOYOTA</v>
          </cell>
          <cell r="D709" t="str">
            <v>RAV4 AWD</v>
          </cell>
          <cell r="E709">
            <v>113061</v>
          </cell>
          <cell r="F709" t="str">
            <v>Grade 3.7</v>
          </cell>
          <cell r="G709" t="str">
            <v>Green/Yellow</v>
          </cell>
          <cell r="H709" t="str">
            <v>Yes</v>
          </cell>
          <cell r="I709" t="str">
            <v>No</v>
          </cell>
          <cell r="J709">
            <v>45421</v>
          </cell>
          <cell r="K709" t="str">
            <v>Yes</v>
          </cell>
          <cell r="L709">
            <v>44113</v>
          </cell>
          <cell r="M709">
            <v>264</v>
          </cell>
          <cell r="N709">
            <v>314</v>
          </cell>
          <cell r="O709">
            <v>7830.2939453125</v>
          </cell>
          <cell r="P709">
            <v>10211.473866759139</v>
          </cell>
          <cell r="Q709">
            <v>7827.77783203125</v>
          </cell>
        </row>
        <row r="710">
          <cell r="A710" t="str">
            <v>3C4NJCAB6KT755857</v>
          </cell>
          <cell r="B710">
            <v>2019</v>
          </cell>
          <cell r="C710" t="str">
            <v>JEEP</v>
          </cell>
          <cell r="D710" t="str">
            <v>COMPASS</v>
          </cell>
          <cell r="E710">
            <v>96526</v>
          </cell>
          <cell r="F710" t="str">
            <v>Grade 2.9</v>
          </cell>
          <cell r="G710" t="str">
            <v>Green Light</v>
          </cell>
          <cell r="H710" t="str">
            <v>Yes</v>
          </cell>
          <cell r="I710" t="str">
            <v>No</v>
          </cell>
          <cell r="J710">
            <v>45426</v>
          </cell>
          <cell r="K710" t="str">
            <v>Yes</v>
          </cell>
          <cell r="L710">
            <v>44113</v>
          </cell>
          <cell r="M710">
            <v>264</v>
          </cell>
          <cell r="N710">
            <v>314</v>
          </cell>
          <cell r="O710">
            <v>6166.6484375</v>
          </cell>
          <cell r="P710">
            <v>9622.2121733218537</v>
          </cell>
          <cell r="Q710">
            <v>6192.2958984375</v>
          </cell>
        </row>
        <row r="711">
          <cell r="A711" t="str">
            <v>3C4NJDCB2KT747578</v>
          </cell>
          <cell r="B711">
            <v>2019</v>
          </cell>
          <cell r="C711" t="str">
            <v>JEEP</v>
          </cell>
          <cell r="D711" t="str">
            <v>COMPASS</v>
          </cell>
          <cell r="E711">
            <v>76442</v>
          </cell>
          <cell r="F711" t="str">
            <v>Grade 4.3</v>
          </cell>
          <cell r="G711" t="str">
            <v>Certified</v>
          </cell>
          <cell r="H711" t="str">
            <v>Yes</v>
          </cell>
          <cell r="I711" t="str">
            <v>No</v>
          </cell>
          <cell r="J711">
            <v>45342</v>
          </cell>
          <cell r="K711" t="str">
            <v>Yes</v>
          </cell>
          <cell r="L711">
            <v>44113</v>
          </cell>
          <cell r="M711">
            <v>264</v>
          </cell>
          <cell r="N711">
            <v>314</v>
          </cell>
          <cell r="O711">
            <v>12659.525390625</v>
          </cell>
          <cell r="P711">
            <v>10420.613470667889</v>
          </cell>
          <cell r="Q711">
            <v>12728.0908203125</v>
          </cell>
        </row>
        <row r="712">
          <cell r="A712" t="str">
            <v>3C4NJDCB7LT149665</v>
          </cell>
          <cell r="B712">
            <v>2020</v>
          </cell>
          <cell r="C712" t="str">
            <v>JEEP</v>
          </cell>
          <cell r="D712" t="str">
            <v>COMPASS</v>
          </cell>
          <cell r="E712">
            <v>57136</v>
          </cell>
          <cell r="F712" t="str">
            <v>Grade 3.6</v>
          </cell>
          <cell r="G712" t="str">
            <v>Certified</v>
          </cell>
          <cell r="H712" t="str">
            <v>Yes</v>
          </cell>
          <cell r="I712" t="str">
            <v>No</v>
          </cell>
          <cell r="J712">
            <v>45356</v>
          </cell>
          <cell r="K712" t="str">
            <v>Yes</v>
          </cell>
          <cell r="L712">
            <v>44113</v>
          </cell>
          <cell r="M712">
            <v>264</v>
          </cell>
          <cell r="N712">
            <v>314</v>
          </cell>
          <cell r="O712">
            <v>15125.681640625</v>
          </cell>
          <cell r="P712">
            <v>13769.432761043539</v>
          </cell>
          <cell r="Q712">
            <v>15162.5234375</v>
          </cell>
        </row>
        <row r="713">
          <cell r="A713" t="str">
            <v>3C4PDCAB1KT871757</v>
          </cell>
          <cell r="B713">
            <v>2019</v>
          </cell>
          <cell r="C713" t="str">
            <v>DODGE</v>
          </cell>
          <cell r="D713" t="str">
            <v>JOURNEY</v>
          </cell>
          <cell r="E713">
            <v>89517</v>
          </cell>
          <cell r="F713" t="str">
            <v>Grade 1.6</v>
          </cell>
          <cell r="G713" t="str">
            <v>Inoperable</v>
          </cell>
          <cell r="H713" t="str">
            <v>No</v>
          </cell>
          <cell r="I713" t="str">
            <v>Yes</v>
          </cell>
          <cell r="J713">
            <v>45538</v>
          </cell>
          <cell r="K713" t="str">
            <v>Yes</v>
          </cell>
          <cell r="L713">
            <v>44113</v>
          </cell>
          <cell r="M713">
            <v>264</v>
          </cell>
          <cell r="N713">
            <v>314</v>
          </cell>
          <cell r="O713">
            <v>5553.5849609375</v>
          </cell>
          <cell r="P713">
            <v>9153.4824587361491</v>
          </cell>
          <cell r="Q713">
            <v>5562.216796875</v>
          </cell>
        </row>
        <row r="714">
          <cell r="A714" t="str">
            <v>3C4PDCBG1GT213597</v>
          </cell>
          <cell r="B714">
            <v>2016</v>
          </cell>
          <cell r="C714" t="str">
            <v>DODGE</v>
          </cell>
          <cell r="D714" t="str">
            <v>JOURNEY</v>
          </cell>
          <cell r="E714">
            <v>118999</v>
          </cell>
          <cell r="F714" t="str">
            <v>Grade 2.5</v>
          </cell>
          <cell r="G714" t="str">
            <v>Red Light</v>
          </cell>
          <cell r="H714" t="str">
            <v>No</v>
          </cell>
          <cell r="I714" t="str">
            <v>Yes</v>
          </cell>
          <cell r="J714">
            <v>45720</v>
          </cell>
          <cell r="K714" t="str">
            <v>Yes</v>
          </cell>
          <cell r="L714">
            <v>44113</v>
          </cell>
          <cell r="M714">
            <v>264</v>
          </cell>
          <cell r="N714">
            <v>314</v>
          </cell>
          <cell r="O714">
            <v>3167.44921875</v>
          </cell>
          <cell r="P714">
            <v>8927.1823769004513</v>
          </cell>
          <cell r="Q714">
            <v>3044.94580078125</v>
          </cell>
        </row>
        <row r="715">
          <cell r="A715" t="str">
            <v>3C4PDCBG2FT686102</v>
          </cell>
          <cell r="B715">
            <v>2015</v>
          </cell>
          <cell r="C715" t="str">
            <v>DODGE</v>
          </cell>
          <cell r="D715" t="str">
            <v>JOURNEY FWD V6</v>
          </cell>
          <cell r="E715">
            <v>119873</v>
          </cell>
          <cell r="F715" t="str">
            <v>Grade 2.6</v>
          </cell>
          <cell r="G715" t="str">
            <v>Green Light</v>
          </cell>
          <cell r="H715" t="str">
            <v>Yes</v>
          </cell>
          <cell r="I715" t="str">
            <v>No</v>
          </cell>
          <cell r="J715">
            <v>45589</v>
          </cell>
          <cell r="K715" t="str">
            <v>Yes</v>
          </cell>
          <cell r="L715">
            <v>44113</v>
          </cell>
          <cell r="M715">
            <v>264</v>
          </cell>
          <cell r="N715">
            <v>314</v>
          </cell>
          <cell r="O715">
            <v>2856.016845703125</v>
          </cell>
          <cell r="P715">
            <v>8977.7330457730204</v>
          </cell>
          <cell r="Q715">
            <v>2692.84326171875</v>
          </cell>
        </row>
        <row r="716">
          <cell r="A716" t="str">
            <v>3FA6P0H70HR412122</v>
          </cell>
          <cell r="B716">
            <v>2017</v>
          </cell>
          <cell r="C716" t="str">
            <v>FORD</v>
          </cell>
          <cell r="D716" t="str">
            <v>FUSION FWD 4C</v>
          </cell>
          <cell r="E716">
            <v>75536</v>
          </cell>
          <cell r="F716" t="str">
            <v>Grade 2.5</v>
          </cell>
          <cell r="G716" t="str">
            <v>Red Light</v>
          </cell>
          <cell r="H716" t="str">
            <v>No</v>
          </cell>
          <cell r="I716" t="str">
            <v>Yes</v>
          </cell>
          <cell r="J716">
            <v>45470</v>
          </cell>
          <cell r="K716" t="str">
            <v>Yes</v>
          </cell>
          <cell r="L716">
            <v>44113</v>
          </cell>
          <cell r="M716">
            <v>264</v>
          </cell>
          <cell r="N716">
            <v>314</v>
          </cell>
          <cell r="O716">
            <v>5889.25390625</v>
          </cell>
          <cell r="P716">
            <v>9523.0096213440738</v>
          </cell>
          <cell r="Q716">
            <v>5958.72900390625</v>
          </cell>
        </row>
        <row r="717">
          <cell r="A717" t="str">
            <v>3FA6P0H71ER323025</v>
          </cell>
          <cell r="B717">
            <v>2014</v>
          </cell>
          <cell r="C717" t="str">
            <v>FORD</v>
          </cell>
          <cell r="D717" t="str">
            <v>FUSION FWD 4C</v>
          </cell>
          <cell r="E717">
            <v>134519</v>
          </cell>
          <cell r="F717" t="str">
            <v>Grade 2.2</v>
          </cell>
          <cell r="G717" t="str">
            <v>Red Light</v>
          </cell>
          <cell r="H717" t="str">
            <v>No</v>
          </cell>
          <cell r="I717" t="str">
            <v>Yes</v>
          </cell>
          <cell r="J717">
            <v>45351</v>
          </cell>
          <cell r="K717" t="str">
            <v>Yes</v>
          </cell>
          <cell r="L717">
            <v>44113</v>
          </cell>
          <cell r="M717">
            <v>264</v>
          </cell>
          <cell r="N717">
            <v>314</v>
          </cell>
          <cell r="O717">
            <v>2652.093994140625</v>
          </cell>
          <cell r="P717">
            <v>9183.7772199567644</v>
          </cell>
          <cell r="Q717">
            <v>2505.3798828125</v>
          </cell>
        </row>
        <row r="718">
          <cell r="A718" t="str">
            <v>3FA6P0HD6JR284156</v>
          </cell>
          <cell r="B718">
            <v>2018</v>
          </cell>
          <cell r="C718" t="str">
            <v>FORD</v>
          </cell>
          <cell r="D718" t="str">
            <v>FUSION FWD 4C</v>
          </cell>
          <cell r="E718">
            <v>107753</v>
          </cell>
          <cell r="F718" t="str">
            <v>Grade 3.6</v>
          </cell>
          <cell r="G718" t="str">
            <v>Green/Yellow</v>
          </cell>
          <cell r="H718" t="str">
            <v>Yes</v>
          </cell>
          <cell r="I718" t="str">
            <v>No</v>
          </cell>
          <cell r="J718">
            <v>45358</v>
          </cell>
          <cell r="K718" t="str">
            <v>Yes</v>
          </cell>
          <cell r="L718">
            <v>44113</v>
          </cell>
          <cell r="M718">
            <v>264</v>
          </cell>
          <cell r="N718">
            <v>314</v>
          </cell>
          <cell r="O718">
            <v>10442.51953125</v>
          </cell>
          <cell r="P718">
            <v>10117.836521422219</v>
          </cell>
          <cell r="Q718">
            <v>10524.953125</v>
          </cell>
        </row>
        <row r="719">
          <cell r="A719" t="str">
            <v>3FA6P0LU7KR253507</v>
          </cell>
          <cell r="B719">
            <v>2019</v>
          </cell>
          <cell r="C719" t="str">
            <v>FORD</v>
          </cell>
          <cell r="D719" t="str">
            <v>FUSION HYBRID</v>
          </cell>
          <cell r="E719">
            <v>90853</v>
          </cell>
          <cell r="F719" t="str">
            <v>Grade 4.1</v>
          </cell>
          <cell r="G719" t="str">
            <v>Certified</v>
          </cell>
          <cell r="H719" t="str">
            <v>Yes</v>
          </cell>
          <cell r="I719" t="str">
            <v>No</v>
          </cell>
          <cell r="J719">
            <v>45594</v>
          </cell>
          <cell r="K719" t="str">
            <v>Yes</v>
          </cell>
          <cell r="L719">
            <v>44113</v>
          </cell>
          <cell r="M719">
            <v>264</v>
          </cell>
          <cell r="N719">
            <v>314</v>
          </cell>
          <cell r="O719">
            <v>12984.0283203125</v>
          </cell>
          <cell r="P719">
            <v>10276.57136000233</v>
          </cell>
          <cell r="Q719">
            <v>13098.421875</v>
          </cell>
        </row>
        <row r="720">
          <cell r="A720" t="str">
            <v>3FA6P0LU8DR128728</v>
          </cell>
          <cell r="B720">
            <v>2013</v>
          </cell>
          <cell r="C720" t="str">
            <v>FORD</v>
          </cell>
          <cell r="D720" t="str">
            <v>FUSION FWD 4C</v>
          </cell>
          <cell r="E720">
            <v>82908</v>
          </cell>
          <cell r="F720" t="str">
            <v>Grade 3.0</v>
          </cell>
          <cell r="G720" t="str">
            <v>Red Light</v>
          </cell>
          <cell r="H720" t="str">
            <v>No</v>
          </cell>
          <cell r="I720" t="str">
            <v>Yes</v>
          </cell>
          <cell r="J720">
            <v>45407</v>
          </cell>
          <cell r="K720" t="str">
            <v>Yes</v>
          </cell>
          <cell r="L720">
            <v>44113</v>
          </cell>
          <cell r="M720">
            <v>264</v>
          </cell>
          <cell r="N720">
            <v>314</v>
          </cell>
          <cell r="O720">
            <v>7041.13037109375</v>
          </cell>
          <cell r="P720">
            <v>9482.7796910183588</v>
          </cell>
          <cell r="Q720">
            <v>7060.51123046875</v>
          </cell>
        </row>
        <row r="721">
          <cell r="A721" t="str">
            <v>3FADP4BJ5HM125648</v>
          </cell>
          <cell r="B721">
            <v>2017</v>
          </cell>
          <cell r="C721" t="str">
            <v>FORD</v>
          </cell>
          <cell r="D721" t="str">
            <v>FIESTA</v>
          </cell>
          <cell r="E721">
            <v>129687</v>
          </cell>
          <cell r="F721" t="str">
            <v>Grade 3.6</v>
          </cell>
          <cell r="G721" t="str">
            <v>Green Light</v>
          </cell>
          <cell r="H721" t="str">
            <v>Yes</v>
          </cell>
          <cell r="I721" t="str">
            <v>No</v>
          </cell>
          <cell r="J721">
            <v>45328</v>
          </cell>
          <cell r="K721" t="str">
            <v>Yes</v>
          </cell>
          <cell r="L721">
            <v>44113</v>
          </cell>
          <cell r="M721">
            <v>264</v>
          </cell>
          <cell r="N721">
            <v>314</v>
          </cell>
          <cell r="O721">
            <v>8405.4365234375</v>
          </cell>
          <cell r="P721">
            <v>10043.321864333901</v>
          </cell>
          <cell r="Q721">
            <v>8300.109375</v>
          </cell>
        </row>
        <row r="722">
          <cell r="A722" t="str">
            <v>3FAHP0JG8BR114248</v>
          </cell>
          <cell r="B722">
            <v>2011</v>
          </cell>
          <cell r="C722" t="str">
            <v>FORD</v>
          </cell>
          <cell r="D722" t="str">
            <v>FUSION</v>
          </cell>
          <cell r="E722">
            <v>94400</v>
          </cell>
          <cell r="F722" t="str">
            <v>Grade 3.4</v>
          </cell>
          <cell r="G722" t="str">
            <v>Red Light</v>
          </cell>
          <cell r="H722" t="str">
            <v>No</v>
          </cell>
          <cell r="I722" t="str">
            <v>Yes</v>
          </cell>
          <cell r="J722">
            <v>45706</v>
          </cell>
          <cell r="K722" t="str">
            <v>Yes</v>
          </cell>
          <cell r="L722">
            <v>44113</v>
          </cell>
          <cell r="M722">
            <v>264</v>
          </cell>
          <cell r="N722">
            <v>314</v>
          </cell>
          <cell r="O722">
            <v>5079.95068359375</v>
          </cell>
          <cell r="P722">
            <v>9328.7827270049402</v>
          </cell>
          <cell r="Q722">
            <v>4953.14306640625</v>
          </cell>
        </row>
        <row r="723">
          <cell r="A723" t="str">
            <v>3GKALXEX8JL289650</v>
          </cell>
          <cell r="B723">
            <v>2018</v>
          </cell>
          <cell r="C723" t="str">
            <v>GMC</v>
          </cell>
          <cell r="D723" t="str">
            <v>TERRAIN</v>
          </cell>
          <cell r="E723">
            <v>88587</v>
          </cell>
          <cell r="F723" t="str">
            <v>Grade 4.5</v>
          </cell>
          <cell r="G723" t="str">
            <v>Certified</v>
          </cell>
          <cell r="H723" t="str">
            <v>Yes</v>
          </cell>
          <cell r="I723" t="str">
            <v>No</v>
          </cell>
          <cell r="J723">
            <v>45356</v>
          </cell>
          <cell r="K723" t="str">
            <v>Yes</v>
          </cell>
          <cell r="L723">
            <v>44113</v>
          </cell>
          <cell r="M723">
            <v>264</v>
          </cell>
          <cell r="N723">
            <v>314</v>
          </cell>
          <cell r="O723">
            <v>15487.0048828125</v>
          </cell>
          <cell r="P723">
            <v>11215.82202486144</v>
          </cell>
          <cell r="Q723">
            <v>15584.6455078125</v>
          </cell>
        </row>
        <row r="724">
          <cell r="A724" t="str">
            <v>3GNCJKSBXHL286787</v>
          </cell>
          <cell r="B724">
            <v>2017</v>
          </cell>
          <cell r="C724" t="str">
            <v>CHEVROLET</v>
          </cell>
          <cell r="D724" t="str">
            <v>TRAX FWD</v>
          </cell>
          <cell r="E724">
            <v>87788</v>
          </cell>
          <cell r="F724" t="str">
            <v>Grade 4.4</v>
          </cell>
          <cell r="G724" t="str">
            <v>Certified</v>
          </cell>
          <cell r="H724" t="str">
            <v>Yes</v>
          </cell>
          <cell r="I724" t="str">
            <v>No</v>
          </cell>
          <cell r="J724">
            <v>45428</v>
          </cell>
          <cell r="K724" t="str">
            <v>Yes</v>
          </cell>
          <cell r="L724">
            <v>44113</v>
          </cell>
          <cell r="M724">
            <v>264</v>
          </cell>
          <cell r="N724">
            <v>314</v>
          </cell>
          <cell r="O724">
            <v>11873.8662109375</v>
          </cell>
          <cell r="P724">
            <v>10366.894875408219</v>
          </cell>
          <cell r="Q724">
            <v>11871.0888671875</v>
          </cell>
        </row>
        <row r="725">
          <cell r="A725" t="str">
            <v>3KPA24AD8ME390947</v>
          </cell>
          <cell r="B725">
            <v>2021</v>
          </cell>
          <cell r="C725" t="str">
            <v>KIA</v>
          </cell>
          <cell r="D725" t="str">
            <v>RIO</v>
          </cell>
          <cell r="E725">
            <v>39816</v>
          </cell>
          <cell r="F725" t="str">
            <v>Grade 4.7</v>
          </cell>
          <cell r="G725" t="str">
            <v>Certified</v>
          </cell>
          <cell r="H725" t="str">
            <v>Yes</v>
          </cell>
          <cell r="I725" t="str">
            <v>No</v>
          </cell>
          <cell r="J725">
            <v>45540</v>
          </cell>
          <cell r="K725" t="str">
            <v>Yes</v>
          </cell>
          <cell r="L725">
            <v>44113</v>
          </cell>
          <cell r="M725">
            <v>264</v>
          </cell>
          <cell r="N725">
            <v>314</v>
          </cell>
          <cell r="O725">
            <v>15310.8232421875</v>
          </cell>
          <cell r="P725">
            <v>14239.52110298765</v>
          </cell>
          <cell r="Q725">
            <v>15035.5625</v>
          </cell>
        </row>
        <row r="726">
          <cell r="A726" t="str">
            <v>3LN6L2G97DR800460</v>
          </cell>
          <cell r="B726">
            <v>2013</v>
          </cell>
          <cell r="C726" t="str">
            <v>LINCOLN</v>
          </cell>
          <cell r="D726" t="str">
            <v>MKZ</v>
          </cell>
          <cell r="E726">
            <v>111943</v>
          </cell>
          <cell r="F726" t="str">
            <v>Grade 3.8</v>
          </cell>
          <cell r="G726" t="str">
            <v>Green Light</v>
          </cell>
          <cell r="H726" t="str">
            <v>Yes</v>
          </cell>
          <cell r="I726" t="str">
            <v>No</v>
          </cell>
          <cell r="J726">
            <v>45468</v>
          </cell>
          <cell r="K726" t="str">
            <v>Yes</v>
          </cell>
          <cell r="L726">
            <v>44113</v>
          </cell>
          <cell r="M726">
            <v>264</v>
          </cell>
          <cell r="N726">
            <v>314</v>
          </cell>
          <cell r="O726">
            <v>5411.35791015625</v>
          </cell>
          <cell r="P726">
            <v>9618.3413636953956</v>
          </cell>
          <cell r="Q726">
            <v>5501.13671875</v>
          </cell>
        </row>
        <row r="727">
          <cell r="A727" t="str">
            <v>3N1AB7AP4KY241445</v>
          </cell>
          <cell r="B727">
            <v>2019</v>
          </cell>
          <cell r="C727" t="str">
            <v>NISSAN</v>
          </cell>
          <cell r="D727" t="str">
            <v>SENTRA</v>
          </cell>
          <cell r="E727">
            <v>124798</v>
          </cell>
          <cell r="F727" t="str">
            <v>Grade 2.8</v>
          </cell>
          <cell r="G727" t="str">
            <v>Red Light</v>
          </cell>
          <cell r="H727" t="str">
            <v>No</v>
          </cell>
          <cell r="I727" t="str">
            <v>Yes</v>
          </cell>
          <cell r="J727">
            <v>45610</v>
          </cell>
          <cell r="K727" t="str">
            <v>Yes</v>
          </cell>
          <cell r="L727">
            <v>44113</v>
          </cell>
          <cell r="M727">
            <v>264</v>
          </cell>
          <cell r="N727">
            <v>314</v>
          </cell>
          <cell r="O727">
            <v>3282.042236328125</v>
          </cell>
          <cell r="P727">
            <v>8837.9183666291647</v>
          </cell>
          <cell r="Q727">
            <v>3210.5380859375</v>
          </cell>
        </row>
        <row r="728">
          <cell r="A728" t="str">
            <v>3N1AB7AP5JY299871</v>
          </cell>
          <cell r="B728">
            <v>2018</v>
          </cell>
          <cell r="C728" t="str">
            <v>NISSAN</v>
          </cell>
          <cell r="D728" t="str">
            <v>SENTRA</v>
          </cell>
          <cell r="E728">
            <v>103450</v>
          </cell>
          <cell r="F728" t="str">
            <v>Grade 3.1</v>
          </cell>
          <cell r="G728" t="str">
            <v>Red Light</v>
          </cell>
          <cell r="H728" t="str">
            <v>No</v>
          </cell>
          <cell r="I728" t="str">
            <v>Yes</v>
          </cell>
          <cell r="J728">
            <v>45330</v>
          </cell>
          <cell r="K728" t="str">
            <v>Yes</v>
          </cell>
          <cell r="L728">
            <v>44113</v>
          </cell>
          <cell r="M728">
            <v>264</v>
          </cell>
          <cell r="N728">
            <v>314</v>
          </cell>
          <cell r="O728">
            <v>6884.19677734375</v>
          </cell>
          <cell r="P728">
            <v>8844.2382864753563</v>
          </cell>
          <cell r="Q728">
            <v>6875.48193359375</v>
          </cell>
        </row>
        <row r="729">
          <cell r="A729" t="str">
            <v>3N1AB7AP6HY256389</v>
          </cell>
          <cell r="B729">
            <v>2017</v>
          </cell>
          <cell r="C729" t="str">
            <v>NISSAN</v>
          </cell>
          <cell r="D729" t="str">
            <v>SENTRA</v>
          </cell>
          <cell r="E729">
            <v>124047</v>
          </cell>
          <cell r="F729" t="str">
            <v>Grade 2.4</v>
          </cell>
          <cell r="G729" t="str">
            <v>Green/Yellow</v>
          </cell>
          <cell r="H729" t="str">
            <v>Yes</v>
          </cell>
          <cell r="I729" t="str">
            <v>No</v>
          </cell>
          <cell r="J729">
            <v>45484</v>
          </cell>
          <cell r="K729" t="str">
            <v>Yes</v>
          </cell>
          <cell r="L729">
            <v>44113</v>
          </cell>
          <cell r="M729">
            <v>264</v>
          </cell>
          <cell r="N729">
            <v>314</v>
          </cell>
          <cell r="O729">
            <v>3177.477783203125</v>
          </cell>
          <cell r="P729">
            <v>8676.5327157069787</v>
          </cell>
          <cell r="Q729">
            <v>3050.021484375</v>
          </cell>
        </row>
        <row r="730">
          <cell r="A730" t="str">
            <v>3N1AB7APXHL635554</v>
          </cell>
          <cell r="B730">
            <v>2017</v>
          </cell>
          <cell r="C730" t="str">
            <v>NISSAN</v>
          </cell>
          <cell r="D730" t="str">
            <v>SENTRA</v>
          </cell>
          <cell r="E730">
            <v>116854</v>
          </cell>
          <cell r="F730" t="str">
            <v>Grade 1.6</v>
          </cell>
          <cell r="G730" t="str">
            <v>Red Light</v>
          </cell>
          <cell r="H730" t="str">
            <v>No</v>
          </cell>
          <cell r="I730" t="str">
            <v>Yes</v>
          </cell>
          <cell r="J730">
            <v>45356</v>
          </cell>
          <cell r="K730" t="str">
            <v>Yes</v>
          </cell>
          <cell r="L730">
            <v>44113</v>
          </cell>
          <cell r="M730">
            <v>264</v>
          </cell>
          <cell r="N730">
            <v>314</v>
          </cell>
          <cell r="O730">
            <v>2867.398681640625</v>
          </cell>
          <cell r="P730">
            <v>8650.5952968865749</v>
          </cell>
          <cell r="Q730">
            <v>2703.99365234375</v>
          </cell>
        </row>
        <row r="731">
          <cell r="A731" t="str">
            <v>3VW267AJXGM318171</v>
          </cell>
          <cell r="B731">
            <v>2016</v>
          </cell>
          <cell r="C731" t="str">
            <v>VOLKSWAGEN</v>
          </cell>
          <cell r="D731" t="str">
            <v>JETTA</v>
          </cell>
          <cell r="E731">
            <v>123465</v>
          </cell>
          <cell r="F731" t="str">
            <v>Grade 1.0</v>
          </cell>
          <cell r="G731" t="str">
            <v>Salvage</v>
          </cell>
          <cell r="H731" t="str">
            <v>No</v>
          </cell>
          <cell r="I731" t="str">
            <v>Yes</v>
          </cell>
          <cell r="J731">
            <v>45561</v>
          </cell>
          <cell r="K731" t="str">
            <v>Yes</v>
          </cell>
          <cell r="L731">
            <v>44113</v>
          </cell>
          <cell r="M731">
            <v>264</v>
          </cell>
          <cell r="N731">
            <v>314</v>
          </cell>
          <cell r="O731">
            <v>1555.973388671875</v>
          </cell>
          <cell r="P731">
            <v>8834.3780200945403</v>
          </cell>
          <cell r="Q731">
            <v>1524.272094726562</v>
          </cell>
        </row>
        <row r="732">
          <cell r="A732" t="str">
            <v>3VW2K7AJ2EM226660</v>
          </cell>
          <cell r="B732">
            <v>2014</v>
          </cell>
          <cell r="C732" t="str">
            <v>VOLKSWAGEN</v>
          </cell>
          <cell r="D732" t="str">
            <v>JETTA</v>
          </cell>
          <cell r="E732">
            <v>87093</v>
          </cell>
          <cell r="F732" t="str">
            <v>Grade 3.7</v>
          </cell>
          <cell r="G732" t="str">
            <v>Inoperable</v>
          </cell>
          <cell r="H732" t="str">
            <v>No</v>
          </cell>
          <cell r="I732" t="str">
            <v>Yes</v>
          </cell>
          <cell r="J732">
            <v>45524</v>
          </cell>
          <cell r="K732" t="str">
            <v>Yes</v>
          </cell>
          <cell r="L732">
            <v>44113</v>
          </cell>
          <cell r="M732">
            <v>264</v>
          </cell>
          <cell r="N732">
            <v>314</v>
          </cell>
          <cell r="O732">
            <v>5638.97119140625</v>
          </cell>
          <cell r="P732">
            <v>9835.643004654401</v>
          </cell>
          <cell r="Q732">
            <v>5713.1025390625</v>
          </cell>
        </row>
        <row r="733">
          <cell r="A733" t="str">
            <v>3VW447AU3JM289029</v>
          </cell>
          <cell r="B733">
            <v>2018</v>
          </cell>
          <cell r="C733" t="str">
            <v>VOLKSWAGEN</v>
          </cell>
          <cell r="D733" t="str">
            <v>GOLF GTI</v>
          </cell>
          <cell r="E733">
            <v>71953</v>
          </cell>
          <cell r="F733" t="str">
            <v>Grade 2.5</v>
          </cell>
          <cell r="G733" t="str">
            <v>Green Light</v>
          </cell>
          <cell r="H733" t="str">
            <v>Yes</v>
          </cell>
          <cell r="I733" t="str">
            <v>No</v>
          </cell>
          <cell r="J733">
            <v>45538</v>
          </cell>
          <cell r="K733" t="str">
            <v>Yes</v>
          </cell>
          <cell r="L733">
            <v>44113</v>
          </cell>
          <cell r="M733">
            <v>264</v>
          </cell>
          <cell r="N733">
            <v>314</v>
          </cell>
          <cell r="O733">
            <v>5013.5859375</v>
          </cell>
          <cell r="P733">
            <v>9195.9362656801022</v>
          </cell>
          <cell r="Q733">
            <v>4910.44580078125</v>
          </cell>
        </row>
        <row r="734">
          <cell r="A734" t="str">
            <v>3VWD17AJ5FM267555</v>
          </cell>
          <cell r="B734">
            <v>2015</v>
          </cell>
          <cell r="C734" t="str">
            <v>VOLKSWAGEN</v>
          </cell>
          <cell r="D734" t="str">
            <v>JETTA</v>
          </cell>
          <cell r="E734">
            <v>178281</v>
          </cell>
          <cell r="F734" t="str">
            <v>Grade 2.0</v>
          </cell>
          <cell r="G734" t="str">
            <v>Inoperable</v>
          </cell>
          <cell r="H734" t="str">
            <v>No</v>
          </cell>
          <cell r="I734" t="str">
            <v>Yes</v>
          </cell>
          <cell r="J734">
            <v>45344</v>
          </cell>
          <cell r="K734" t="str">
            <v>Yes</v>
          </cell>
          <cell r="L734">
            <v>44113</v>
          </cell>
          <cell r="M734">
            <v>264</v>
          </cell>
          <cell r="N734">
            <v>314</v>
          </cell>
          <cell r="O734">
            <v>1331.052368164062</v>
          </cell>
          <cell r="P734">
            <v>8796.5133800870062</v>
          </cell>
          <cell r="Q734">
            <v>1330.663208007812</v>
          </cell>
        </row>
        <row r="735">
          <cell r="A735" t="str">
            <v>3VWDP7AJ1DM311725</v>
          </cell>
          <cell r="B735">
            <v>2013</v>
          </cell>
          <cell r="C735" t="str">
            <v>VOLKSWAGEN</v>
          </cell>
          <cell r="D735" t="str">
            <v>JETTA</v>
          </cell>
          <cell r="E735">
            <v>88891</v>
          </cell>
          <cell r="F735" t="str">
            <v>Grade 3.6</v>
          </cell>
          <cell r="G735" t="str">
            <v>Green Light</v>
          </cell>
          <cell r="H735" t="str">
            <v>Yes</v>
          </cell>
          <cell r="I735" t="str">
            <v>No</v>
          </cell>
          <cell r="J735">
            <v>45328</v>
          </cell>
          <cell r="K735" t="str">
            <v>Yes</v>
          </cell>
          <cell r="L735">
            <v>44113</v>
          </cell>
          <cell r="M735">
            <v>264</v>
          </cell>
          <cell r="N735">
            <v>314</v>
          </cell>
          <cell r="O735">
            <v>5153.19287109375</v>
          </cell>
          <cell r="P735">
            <v>9830.3736580698023</v>
          </cell>
          <cell r="Q735">
            <v>5196.47265625</v>
          </cell>
        </row>
        <row r="736">
          <cell r="A736" t="str">
            <v>3VWDP7AJ3CM391589</v>
          </cell>
          <cell r="B736">
            <v>2012</v>
          </cell>
          <cell r="C736" t="str">
            <v>VOLKSWAGEN</v>
          </cell>
          <cell r="D736" t="str">
            <v>JETTA 5C</v>
          </cell>
          <cell r="E736">
            <v>171246</v>
          </cell>
          <cell r="F736" t="str">
            <v>Grade 2.6</v>
          </cell>
          <cell r="G736" t="str">
            <v>Red Light</v>
          </cell>
          <cell r="H736" t="str">
            <v>No</v>
          </cell>
          <cell r="I736" t="str">
            <v>Yes</v>
          </cell>
          <cell r="J736">
            <v>45302</v>
          </cell>
          <cell r="K736" t="str">
            <v>Yes</v>
          </cell>
          <cell r="L736">
            <v>44113</v>
          </cell>
          <cell r="M736">
            <v>264</v>
          </cell>
          <cell r="N736">
            <v>314</v>
          </cell>
          <cell r="O736">
            <v>874.67816162109375</v>
          </cell>
          <cell r="P736">
            <v>8919.2792122430565</v>
          </cell>
          <cell r="Q736">
            <v>1083.871215820312</v>
          </cell>
        </row>
        <row r="737">
          <cell r="A737" t="str">
            <v>3VWDP7AJ9CM360492</v>
          </cell>
          <cell r="B737">
            <v>2012</v>
          </cell>
          <cell r="C737" t="str">
            <v>VOLKSWAGEN</v>
          </cell>
          <cell r="D737" t="str">
            <v>JETTA 5C</v>
          </cell>
          <cell r="E737">
            <v>128112</v>
          </cell>
          <cell r="F737" t="str">
            <v>Grade 2.0</v>
          </cell>
          <cell r="G737" t="str">
            <v>Red Light</v>
          </cell>
          <cell r="H737" t="str">
            <v>No</v>
          </cell>
          <cell r="I737" t="str">
            <v>Yes</v>
          </cell>
          <cell r="J737">
            <v>45463</v>
          </cell>
          <cell r="K737" t="str">
            <v>Yes</v>
          </cell>
          <cell r="L737">
            <v>44113</v>
          </cell>
          <cell r="M737">
            <v>264</v>
          </cell>
          <cell r="N737">
            <v>314</v>
          </cell>
          <cell r="O737">
            <v>694.9273681640625</v>
          </cell>
          <cell r="P737">
            <v>8810.3289746750197</v>
          </cell>
          <cell r="Q737">
            <v>932.59674072265625</v>
          </cell>
        </row>
        <row r="738">
          <cell r="A738" t="str">
            <v>4T1B11HK5JU522906</v>
          </cell>
          <cell r="B738">
            <v>2018</v>
          </cell>
          <cell r="C738" t="str">
            <v>TOYOTA</v>
          </cell>
          <cell r="D738" t="str">
            <v>CAMRY</v>
          </cell>
          <cell r="E738">
            <v>70988</v>
          </cell>
          <cell r="F738" t="str">
            <v>Grade 2.1</v>
          </cell>
          <cell r="G738" t="str">
            <v>Green Light</v>
          </cell>
          <cell r="H738" t="str">
            <v>Yes</v>
          </cell>
          <cell r="I738" t="str">
            <v>No</v>
          </cell>
          <cell r="J738">
            <v>45622</v>
          </cell>
          <cell r="K738" t="str">
            <v>Yes</v>
          </cell>
          <cell r="L738">
            <v>44113</v>
          </cell>
          <cell r="M738">
            <v>264</v>
          </cell>
          <cell r="N738">
            <v>314</v>
          </cell>
          <cell r="O738">
            <v>7490.38330078125</v>
          </cell>
          <cell r="P738">
            <v>9649.4254255296346</v>
          </cell>
          <cell r="Q738">
            <v>7454.77392578125</v>
          </cell>
        </row>
        <row r="739">
          <cell r="A739" t="str">
            <v>4T1B11HKXKU193198</v>
          </cell>
          <cell r="B739">
            <v>2019</v>
          </cell>
          <cell r="C739" t="str">
            <v>TOYOTA</v>
          </cell>
          <cell r="D739" t="str">
            <v>CAMRY 4C</v>
          </cell>
          <cell r="E739">
            <v>91469</v>
          </cell>
          <cell r="F739" t="str">
            <v>Grade 3.5</v>
          </cell>
          <cell r="G739" t="str">
            <v>Certified</v>
          </cell>
          <cell r="H739" t="str">
            <v>Yes</v>
          </cell>
          <cell r="I739" t="str">
            <v>No</v>
          </cell>
          <cell r="J739">
            <v>45736</v>
          </cell>
          <cell r="K739" t="str">
            <v>Yes</v>
          </cell>
          <cell r="L739">
            <v>44113</v>
          </cell>
          <cell r="M739">
            <v>264</v>
          </cell>
          <cell r="N739">
            <v>314</v>
          </cell>
          <cell r="O739">
            <v>11885.20703125</v>
          </cell>
          <cell r="P739">
            <v>9756.2333310779013</v>
          </cell>
          <cell r="Q739">
            <v>11992.1943359375</v>
          </cell>
        </row>
        <row r="740">
          <cell r="A740" t="str">
            <v>5FNRL5H60FB093181</v>
          </cell>
          <cell r="B740">
            <v>2015</v>
          </cell>
          <cell r="C740" t="str">
            <v>HONDA</v>
          </cell>
          <cell r="D740" t="str">
            <v>ODYSSEY</v>
          </cell>
          <cell r="E740">
            <v>120102</v>
          </cell>
          <cell r="F740" t="str">
            <v>Grade 3.0</v>
          </cell>
          <cell r="G740" t="str">
            <v>Green Light</v>
          </cell>
          <cell r="H740" t="str">
            <v>Yes</v>
          </cell>
          <cell r="I740" t="str">
            <v>No</v>
          </cell>
          <cell r="J740">
            <v>45384</v>
          </cell>
          <cell r="K740" t="str">
            <v>Yes</v>
          </cell>
          <cell r="L740">
            <v>44113</v>
          </cell>
          <cell r="M740">
            <v>264</v>
          </cell>
          <cell r="N740">
            <v>314</v>
          </cell>
          <cell r="O740">
            <v>7671.7412109375</v>
          </cell>
          <cell r="P740">
            <v>9099.3718839108769</v>
          </cell>
          <cell r="Q740">
            <v>7752.19091796875</v>
          </cell>
        </row>
        <row r="741">
          <cell r="A741" t="str">
            <v>5FPYK1F2XDB004941</v>
          </cell>
          <cell r="B741">
            <v>2013</v>
          </cell>
          <cell r="C741" t="str">
            <v>HONDA</v>
          </cell>
          <cell r="D741" t="str">
            <v>RIDGELIN 4X4 CR</v>
          </cell>
          <cell r="E741">
            <v>93719</v>
          </cell>
          <cell r="F741" t="str">
            <v>Grade 3.0</v>
          </cell>
          <cell r="G741" t="str">
            <v>Certified</v>
          </cell>
          <cell r="H741" t="str">
            <v>Yes</v>
          </cell>
          <cell r="I741" t="str">
            <v>No</v>
          </cell>
          <cell r="J741">
            <v>45645</v>
          </cell>
          <cell r="K741" t="str">
            <v>Yes</v>
          </cell>
          <cell r="L741">
            <v>44113</v>
          </cell>
          <cell r="M741">
            <v>264</v>
          </cell>
          <cell r="N741">
            <v>314</v>
          </cell>
          <cell r="O741">
            <v>6409.51708984375</v>
          </cell>
          <cell r="P741">
            <v>9278.5176529101282</v>
          </cell>
          <cell r="Q741">
            <v>6455.994140625</v>
          </cell>
        </row>
        <row r="742">
          <cell r="A742" t="str">
            <v>5J6RM4H51EL082789</v>
          </cell>
          <cell r="B742">
            <v>2014</v>
          </cell>
          <cell r="C742" t="str">
            <v>HONDA</v>
          </cell>
          <cell r="D742" t="str">
            <v>CR-V</v>
          </cell>
          <cell r="E742">
            <v>131189</v>
          </cell>
          <cell r="F742" t="str">
            <v>Grade 2.0</v>
          </cell>
          <cell r="G742" t="str">
            <v>Red Light</v>
          </cell>
          <cell r="H742" t="str">
            <v>No</v>
          </cell>
          <cell r="I742" t="str">
            <v>Yes</v>
          </cell>
          <cell r="J742">
            <v>45398</v>
          </cell>
          <cell r="K742" t="str">
            <v>Yes</v>
          </cell>
          <cell r="L742">
            <v>44113</v>
          </cell>
          <cell r="M742">
            <v>264</v>
          </cell>
          <cell r="N742">
            <v>314</v>
          </cell>
          <cell r="O742">
            <v>4320.337890625</v>
          </cell>
          <cell r="P742">
            <v>8884.6157773726354</v>
          </cell>
          <cell r="Q742">
            <v>4277.77783203125</v>
          </cell>
        </row>
        <row r="743">
          <cell r="A743" t="str">
            <v>5J8TB3H58EL001932</v>
          </cell>
          <cell r="B743">
            <v>2014</v>
          </cell>
          <cell r="C743" t="str">
            <v>ACURA</v>
          </cell>
          <cell r="D743" t="str">
            <v>RDX</v>
          </cell>
          <cell r="E743">
            <v>116341</v>
          </cell>
          <cell r="F743" t="str">
            <v>Grade 2.6</v>
          </cell>
          <cell r="G743" t="str">
            <v>Green/Yellow</v>
          </cell>
          <cell r="H743" t="str">
            <v>Yes</v>
          </cell>
          <cell r="I743" t="str">
            <v>No</v>
          </cell>
          <cell r="J743">
            <v>45720</v>
          </cell>
          <cell r="K743" t="str">
            <v>Yes</v>
          </cell>
          <cell r="L743">
            <v>44113</v>
          </cell>
          <cell r="M743">
            <v>264</v>
          </cell>
          <cell r="N743">
            <v>314</v>
          </cell>
          <cell r="O743">
            <v>2636.88720703125</v>
          </cell>
          <cell r="P743">
            <v>9212.3180759935985</v>
          </cell>
          <cell r="Q743">
            <v>2505.3798828125</v>
          </cell>
        </row>
        <row r="744">
          <cell r="A744" t="str">
            <v>5NMZTDLB0HH046331</v>
          </cell>
          <cell r="B744">
            <v>2017</v>
          </cell>
          <cell r="C744" t="str">
            <v>HYUNDAI</v>
          </cell>
          <cell r="D744" t="str">
            <v>SANTA SP AWD 4C</v>
          </cell>
          <cell r="E744">
            <v>130093</v>
          </cell>
          <cell r="F744" t="str">
            <v>Grade 2.0</v>
          </cell>
          <cell r="G744" t="str">
            <v>Green/Yellow</v>
          </cell>
          <cell r="H744" t="str">
            <v>Yes</v>
          </cell>
          <cell r="I744" t="str">
            <v>No</v>
          </cell>
          <cell r="J744">
            <v>45722</v>
          </cell>
          <cell r="K744" t="str">
            <v>Yes</v>
          </cell>
          <cell r="L744">
            <v>44113</v>
          </cell>
          <cell r="M744">
            <v>264</v>
          </cell>
          <cell r="N744">
            <v>314</v>
          </cell>
          <cell r="O744">
            <v>1872.273559570312</v>
          </cell>
          <cell r="P744">
            <v>8700.398050302394</v>
          </cell>
          <cell r="Q744">
            <v>1783.572998046875</v>
          </cell>
        </row>
        <row r="745">
          <cell r="A745" t="str">
            <v>5NPD74LF6HH138645</v>
          </cell>
          <cell r="B745">
            <v>2017</v>
          </cell>
          <cell r="C745" t="str">
            <v>HYUNDAI</v>
          </cell>
          <cell r="D745" t="str">
            <v>ELANTRA</v>
          </cell>
          <cell r="E745">
            <v>103666</v>
          </cell>
          <cell r="F745" t="str">
            <v>Grade 2.5</v>
          </cell>
          <cell r="G745" t="str">
            <v>Red Light</v>
          </cell>
          <cell r="H745" t="str">
            <v>No</v>
          </cell>
          <cell r="I745" t="str">
            <v>Yes</v>
          </cell>
          <cell r="J745">
            <v>45547</v>
          </cell>
          <cell r="K745" t="str">
            <v>Yes</v>
          </cell>
          <cell r="L745">
            <v>44113</v>
          </cell>
          <cell r="M745">
            <v>264</v>
          </cell>
          <cell r="N745">
            <v>314</v>
          </cell>
          <cell r="O745">
            <v>2837.100341796875</v>
          </cell>
          <cell r="P745">
            <v>8700.89387422443</v>
          </cell>
          <cell r="Q745">
            <v>2669.19921875</v>
          </cell>
        </row>
        <row r="746">
          <cell r="A746" t="str">
            <v>5NPD84LF1LH598379</v>
          </cell>
          <cell r="B746">
            <v>2020</v>
          </cell>
          <cell r="C746" t="str">
            <v>HYUNDAI</v>
          </cell>
          <cell r="D746" t="str">
            <v>ELANTRA</v>
          </cell>
          <cell r="E746">
            <v>30728</v>
          </cell>
          <cell r="F746" t="str">
            <v>Grade 3.3</v>
          </cell>
          <cell r="G746" t="str">
            <v>Green Light</v>
          </cell>
          <cell r="H746" t="str">
            <v>Yes</v>
          </cell>
          <cell r="I746" t="str">
            <v>No</v>
          </cell>
          <cell r="J746">
            <v>45323</v>
          </cell>
          <cell r="K746" t="str">
            <v>Yes</v>
          </cell>
          <cell r="L746">
            <v>44113</v>
          </cell>
          <cell r="M746">
            <v>264</v>
          </cell>
          <cell r="N746">
            <v>314</v>
          </cell>
          <cell r="O746">
            <v>11527.345703125</v>
          </cell>
          <cell r="P746">
            <v>12504.75456492</v>
          </cell>
          <cell r="Q746">
            <v>11245.876953125</v>
          </cell>
        </row>
        <row r="747">
          <cell r="A747" t="str">
            <v>5NPD84LF7HH003722</v>
          </cell>
          <cell r="B747">
            <v>2017</v>
          </cell>
          <cell r="C747" t="str">
            <v>HYUNDAI</v>
          </cell>
          <cell r="D747" t="str">
            <v>ELANTRA</v>
          </cell>
          <cell r="E747">
            <v>80228</v>
          </cell>
          <cell r="F747" t="str">
            <v>Grade 2.1</v>
          </cell>
          <cell r="G747" t="str">
            <v>Green/Yellow</v>
          </cell>
          <cell r="H747" t="str">
            <v>Yes</v>
          </cell>
          <cell r="I747" t="str">
            <v>No</v>
          </cell>
          <cell r="J747">
            <v>45449</v>
          </cell>
          <cell r="K747" t="str">
            <v>Yes</v>
          </cell>
          <cell r="L747">
            <v>44113</v>
          </cell>
          <cell r="M747">
            <v>264</v>
          </cell>
          <cell r="N747">
            <v>314</v>
          </cell>
          <cell r="O747">
            <v>3823.215576171875</v>
          </cell>
          <cell r="P747">
            <v>8785.4611649050967</v>
          </cell>
          <cell r="Q747">
            <v>3751.099609375</v>
          </cell>
        </row>
        <row r="748">
          <cell r="A748" t="str">
            <v>5NPDH4AE7GH761830</v>
          </cell>
          <cell r="B748">
            <v>2016</v>
          </cell>
          <cell r="C748" t="str">
            <v>HYUNDAI</v>
          </cell>
          <cell r="D748" t="str">
            <v>ELANTRA</v>
          </cell>
          <cell r="E748">
            <v>109120</v>
          </cell>
          <cell r="F748" t="str">
            <v>Grade 1.9</v>
          </cell>
          <cell r="G748" t="str">
            <v>Green Light</v>
          </cell>
          <cell r="H748" t="str">
            <v>Yes</v>
          </cell>
          <cell r="I748" t="str">
            <v>No</v>
          </cell>
          <cell r="J748">
            <v>45454</v>
          </cell>
          <cell r="K748" t="str">
            <v>Yes</v>
          </cell>
          <cell r="L748">
            <v>44113</v>
          </cell>
          <cell r="M748">
            <v>264</v>
          </cell>
          <cell r="N748">
            <v>314</v>
          </cell>
          <cell r="O748">
            <v>2113.35498046875</v>
          </cell>
          <cell r="P748">
            <v>8569.2843850793288</v>
          </cell>
          <cell r="Q748">
            <v>2054.26806640625</v>
          </cell>
        </row>
        <row r="749">
          <cell r="A749" t="str">
            <v>5NPDH4AEXDH390139</v>
          </cell>
          <cell r="B749">
            <v>2013</v>
          </cell>
          <cell r="C749" t="str">
            <v>HYUNDAI</v>
          </cell>
          <cell r="D749" t="str">
            <v>ELANTRA</v>
          </cell>
          <cell r="E749">
            <v>107381</v>
          </cell>
          <cell r="F749" t="str">
            <v>Grade 2.6</v>
          </cell>
          <cell r="G749" t="str">
            <v>Green/Yellow</v>
          </cell>
          <cell r="H749" t="str">
            <v>Yes</v>
          </cell>
          <cell r="I749" t="str">
            <v>No</v>
          </cell>
          <cell r="J749">
            <v>45456</v>
          </cell>
          <cell r="K749" t="str">
            <v>Yes</v>
          </cell>
          <cell r="L749">
            <v>44113</v>
          </cell>
          <cell r="M749">
            <v>264</v>
          </cell>
          <cell r="N749">
            <v>314</v>
          </cell>
          <cell r="O749">
            <v>1327.40625</v>
          </cell>
          <cell r="P749">
            <v>8666.1639692147928</v>
          </cell>
          <cell r="Q749">
            <v>1330.663208007812</v>
          </cell>
        </row>
        <row r="750">
          <cell r="A750" t="str">
            <v>5NPE24AF1HH573823</v>
          </cell>
          <cell r="B750">
            <v>2017</v>
          </cell>
          <cell r="C750" t="str">
            <v>HYUNDAI</v>
          </cell>
          <cell r="D750" t="str">
            <v>SONATA</v>
          </cell>
          <cell r="E750">
            <v>108107</v>
          </cell>
          <cell r="F750" t="str">
            <v>Grade 1.3</v>
          </cell>
          <cell r="G750" t="str">
            <v>Red Light</v>
          </cell>
          <cell r="H750" t="str">
            <v>No</v>
          </cell>
          <cell r="I750" t="str">
            <v>Yes</v>
          </cell>
          <cell r="J750">
            <v>45365</v>
          </cell>
          <cell r="K750" t="str">
            <v>Yes</v>
          </cell>
          <cell r="L750">
            <v>44113</v>
          </cell>
          <cell r="M750">
            <v>264</v>
          </cell>
          <cell r="N750">
            <v>314</v>
          </cell>
          <cell r="O750">
            <v>2860.06201171875</v>
          </cell>
          <cell r="P750">
            <v>8533.5959340562513</v>
          </cell>
          <cell r="Q750">
            <v>2773.76025390625</v>
          </cell>
        </row>
        <row r="751">
          <cell r="A751" t="str">
            <v>5NPE24AF2HH438799</v>
          </cell>
          <cell r="B751">
            <v>2017</v>
          </cell>
          <cell r="C751" t="str">
            <v>HYUNDAI</v>
          </cell>
          <cell r="D751" t="str">
            <v>SONATA</v>
          </cell>
          <cell r="E751">
            <v>92208</v>
          </cell>
          <cell r="F751" t="str">
            <v>Grade 3.9</v>
          </cell>
          <cell r="G751" t="str">
            <v>Green Light</v>
          </cell>
          <cell r="H751" t="str">
            <v>Yes</v>
          </cell>
          <cell r="I751" t="str">
            <v>No</v>
          </cell>
          <cell r="J751">
            <v>45715</v>
          </cell>
          <cell r="K751" t="str">
            <v>Yes</v>
          </cell>
          <cell r="L751">
            <v>44113</v>
          </cell>
          <cell r="M751">
            <v>264</v>
          </cell>
          <cell r="N751">
            <v>314</v>
          </cell>
          <cell r="O751">
            <v>6141.57470703125</v>
          </cell>
          <cell r="P751">
            <v>9621.4729868105223</v>
          </cell>
          <cell r="Q751">
            <v>6192.2958984375</v>
          </cell>
        </row>
        <row r="752">
          <cell r="A752" t="str">
            <v>5NPE24AF7GH411998</v>
          </cell>
          <cell r="B752">
            <v>2016</v>
          </cell>
          <cell r="C752" t="str">
            <v>HYUNDAI</v>
          </cell>
          <cell r="D752" t="str">
            <v>SONATA</v>
          </cell>
          <cell r="E752">
            <v>175378</v>
          </cell>
          <cell r="F752" t="str">
            <v>Grade 1.0</v>
          </cell>
          <cell r="G752" t="str">
            <v>Inoperable</v>
          </cell>
          <cell r="H752" t="str">
            <v>No</v>
          </cell>
          <cell r="I752" t="str">
            <v>Yes</v>
          </cell>
          <cell r="J752">
            <v>45512</v>
          </cell>
          <cell r="K752" t="str">
            <v>Yes</v>
          </cell>
          <cell r="L752">
            <v>44113</v>
          </cell>
          <cell r="M752">
            <v>264</v>
          </cell>
          <cell r="N752">
            <v>314</v>
          </cell>
          <cell r="O752">
            <v>1336.878540039062</v>
          </cell>
          <cell r="P752">
            <v>8573.2509088302195</v>
          </cell>
          <cell r="Q752">
            <v>1336.184326171875</v>
          </cell>
        </row>
        <row r="753">
          <cell r="A753" t="str">
            <v>5NPE34AF4KH795700</v>
          </cell>
          <cell r="B753">
            <v>2019</v>
          </cell>
          <cell r="C753" t="str">
            <v>HYUNDAI</v>
          </cell>
          <cell r="D753" t="str">
            <v>SONATA</v>
          </cell>
          <cell r="E753">
            <v>70755</v>
          </cell>
          <cell r="F753" t="str">
            <v>Grade 1.6</v>
          </cell>
          <cell r="G753" t="str">
            <v>Green/Yellow</v>
          </cell>
          <cell r="H753" t="str">
            <v>Yes</v>
          </cell>
          <cell r="I753" t="str">
            <v>No</v>
          </cell>
          <cell r="J753">
            <v>45645</v>
          </cell>
          <cell r="K753" t="str">
            <v>Yes</v>
          </cell>
          <cell r="L753">
            <v>44113</v>
          </cell>
          <cell r="M753">
            <v>264</v>
          </cell>
          <cell r="N753">
            <v>314</v>
          </cell>
          <cell r="O753">
            <v>3977.971923828125</v>
          </cell>
          <cell r="P753">
            <v>9128.2706208378113</v>
          </cell>
          <cell r="Q753">
            <v>3881.8876953125</v>
          </cell>
        </row>
        <row r="754">
          <cell r="A754" t="str">
            <v>5NPE34AF6FH102292</v>
          </cell>
          <cell r="B754">
            <v>2015</v>
          </cell>
          <cell r="C754" t="str">
            <v>HYUNDAI</v>
          </cell>
          <cell r="D754" t="str">
            <v>SONATA</v>
          </cell>
          <cell r="E754">
            <v>170307</v>
          </cell>
          <cell r="F754" t="str">
            <v>Grade 2.0</v>
          </cell>
          <cell r="G754" t="str">
            <v>Inoperable</v>
          </cell>
          <cell r="H754" t="str">
            <v>No</v>
          </cell>
          <cell r="I754" t="str">
            <v>Yes</v>
          </cell>
          <cell r="J754">
            <v>45526</v>
          </cell>
          <cell r="K754" t="str">
            <v>Yes</v>
          </cell>
          <cell r="L754">
            <v>44113</v>
          </cell>
          <cell r="M754">
            <v>264</v>
          </cell>
          <cell r="N754">
            <v>314</v>
          </cell>
          <cell r="O754">
            <v>1145.3740234375</v>
          </cell>
          <cell r="P754">
            <v>8538.7951740947519</v>
          </cell>
          <cell r="Q754">
            <v>1282.204956054688</v>
          </cell>
        </row>
        <row r="755">
          <cell r="A755" t="str">
            <v>5NPE34AF7FH227849</v>
          </cell>
          <cell r="B755">
            <v>2015</v>
          </cell>
          <cell r="C755" t="str">
            <v>HYUNDAI</v>
          </cell>
          <cell r="D755" t="str">
            <v>SONATA</v>
          </cell>
          <cell r="E755">
            <v>102203</v>
          </cell>
          <cell r="F755" t="str">
            <v>Grade 1.0</v>
          </cell>
          <cell r="G755" t="str">
            <v>Inoperable</v>
          </cell>
          <cell r="H755" t="str">
            <v>No</v>
          </cell>
          <cell r="I755" t="str">
            <v>Yes</v>
          </cell>
          <cell r="J755">
            <v>45617</v>
          </cell>
          <cell r="K755" t="str">
            <v>Yes</v>
          </cell>
          <cell r="L755">
            <v>44113</v>
          </cell>
          <cell r="M755">
            <v>264</v>
          </cell>
          <cell r="N755">
            <v>314</v>
          </cell>
          <cell r="O755">
            <v>1734.433471679688</v>
          </cell>
          <cell r="P755">
            <v>8566.4685684607102</v>
          </cell>
          <cell r="Q755">
            <v>1683.583618164062</v>
          </cell>
        </row>
        <row r="756">
          <cell r="A756" t="str">
            <v>5NPE34AF9GH343443</v>
          </cell>
          <cell r="B756">
            <v>2016</v>
          </cell>
          <cell r="C756" t="str">
            <v>HYUNDAI</v>
          </cell>
          <cell r="D756" t="str">
            <v>SONATA</v>
          </cell>
          <cell r="E756">
            <v>116298</v>
          </cell>
          <cell r="F756" t="str">
            <v>Grade 2.7</v>
          </cell>
          <cell r="G756" t="str">
            <v>Green/Yellow</v>
          </cell>
          <cell r="H756" t="str">
            <v>Yes</v>
          </cell>
          <cell r="I756" t="str">
            <v>No</v>
          </cell>
          <cell r="J756">
            <v>45701</v>
          </cell>
          <cell r="K756" t="str">
            <v>Yes</v>
          </cell>
          <cell r="L756">
            <v>44113</v>
          </cell>
          <cell r="M756">
            <v>264</v>
          </cell>
          <cell r="N756">
            <v>314</v>
          </cell>
          <cell r="O756">
            <v>1701.625244140625</v>
          </cell>
          <cell r="P756">
            <v>8719.4761005823711</v>
          </cell>
          <cell r="Q756">
            <v>1678.0625</v>
          </cell>
        </row>
        <row r="757">
          <cell r="A757" t="str">
            <v>5NPEB4AC2BH144669</v>
          </cell>
          <cell r="B757">
            <v>2011</v>
          </cell>
          <cell r="C757" t="str">
            <v>HYUNDAI</v>
          </cell>
          <cell r="D757" t="str">
            <v>SONATA</v>
          </cell>
          <cell r="E757">
            <v>187031</v>
          </cell>
          <cell r="F757" t="str">
            <v>Grade 2.3</v>
          </cell>
          <cell r="G757" t="str">
            <v>Red Light</v>
          </cell>
          <cell r="H757" t="str">
            <v>No</v>
          </cell>
          <cell r="I757" t="str">
            <v>Yes</v>
          </cell>
          <cell r="J757">
            <v>45510</v>
          </cell>
          <cell r="K757" t="str">
            <v>Yes</v>
          </cell>
          <cell r="L757">
            <v>44113</v>
          </cell>
          <cell r="M757">
            <v>264</v>
          </cell>
          <cell r="N757">
            <v>314</v>
          </cell>
          <cell r="O757">
            <v>438.78475952148438</v>
          </cell>
          <cell r="P757">
            <v>8534.2740008235796</v>
          </cell>
          <cell r="Q757">
            <v>816.079345703125</v>
          </cell>
        </row>
        <row r="758">
          <cell r="A758" t="str">
            <v>5NPEC4AC5DH746174</v>
          </cell>
          <cell r="B758">
            <v>2013</v>
          </cell>
          <cell r="C758" t="str">
            <v>HYUNDAI</v>
          </cell>
          <cell r="D758" t="str">
            <v>SONATA</v>
          </cell>
          <cell r="E758">
            <v>134522</v>
          </cell>
          <cell r="F758" t="str">
            <v>Grade 2.4</v>
          </cell>
          <cell r="G758" t="str">
            <v>Red Light</v>
          </cell>
          <cell r="H758" t="str">
            <v>No</v>
          </cell>
          <cell r="I758" t="str">
            <v>Yes</v>
          </cell>
          <cell r="J758">
            <v>45659</v>
          </cell>
          <cell r="K758" t="str">
            <v>Yes</v>
          </cell>
          <cell r="L758">
            <v>44113</v>
          </cell>
          <cell r="M758">
            <v>264</v>
          </cell>
          <cell r="N758">
            <v>314</v>
          </cell>
          <cell r="O758">
            <v>573.71185302734375</v>
          </cell>
          <cell r="P758">
            <v>8529.4471609967404</v>
          </cell>
          <cell r="Q758">
            <v>936.92462158203125</v>
          </cell>
        </row>
        <row r="759">
          <cell r="A759" t="str">
            <v>5UXWX9C53G0D79282</v>
          </cell>
          <cell r="B759">
            <v>2016</v>
          </cell>
          <cell r="C759" t="str">
            <v>BMW</v>
          </cell>
          <cell r="D759" t="str">
            <v>X3</v>
          </cell>
          <cell r="E759">
            <v>61010</v>
          </cell>
          <cell r="F759" t="str">
            <v>Grade 3.7</v>
          </cell>
          <cell r="G759" t="str">
            <v>Green Light</v>
          </cell>
          <cell r="H759" t="str">
            <v>Yes</v>
          </cell>
          <cell r="I759" t="str">
            <v>No</v>
          </cell>
          <cell r="J759">
            <v>45370</v>
          </cell>
          <cell r="K759" t="str">
            <v>Yes</v>
          </cell>
          <cell r="L759">
            <v>44113</v>
          </cell>
          <cell r="M759">
            <v>264</v>
          </cell>
          <cell r="N759">
            <v>314</v>
          </cell>
          <cell r="O759">
            <v>12473.240234375</v>
          </cell>
          <cell r="P759">
            <v>12277.58100891803</v>
          </cell>
          <cell r="Q759">
            <v>12433.4453125</v>
          </cell>
        </row>
        <row r="760">
          <cell r="A760" t="str">
            <v>5XXGM4A74FG394566</v>
          </cell>
          <cell r="B760">
            <v>2015</v>
          </cell>
          <cell r="C760" t="str">
            <v>KIA</v>
          </cell>
          <cell r="D760" t="str">
            <v>OPTIMA</v>
          </cell>
          <cell r="E760">
            <v>146792</v>
          </cell>
          <cell r="F760" t="str">
            <v>Grade 1.5</v>
          </cell>
          <cell r="G760" t="str">
            <v>Red Light</v>
          </cell>
          <cell r="H760" t="str">
            <v>No</v>
          </cell>
          <cell r="I760" t="str">
            <v>Yes</v>
          </cell>
          <cell r="J760">
            <v>45421</v>
          </cell>
          <cell r="K760" t="str">
            <v>Yes</v>
          </cell>
          <cell r="L760">
            <v>44113</v>
          </cell>
          <cell r="M760">
            <v>264</v>
          </cell>
          <cell r="N760">
            <v>314</v>
          </cell>
          <cell r="O760">
            <v>1197.694702148438</v>
          </cell>
          <cell r="P760">
            <v>8549.1709146801913</v>
          </cell>
          <cell r="Q760">
            <v>1282.204956054688</v>
          </cell>
        </row>
        <row r="761">
          <cell r="A761" t="str">
            <v>5XXGN4A76DG152131</v>
          </cell>
          <cell r="B761">
            <v>2013</v>
          </cell>
          <cell r="C761" t="str">
            <v>KIA</v>
          </cell>
          <cell r="D761" t="str">
            <v>OPTIMA</v>
          </cell>
          <cell r="E761">
            <v>105906</v>
          </cell>
          <cell r="F761" t="str">
            <v>Grade 1.6</v>
          </cell>
          <cell r="G761" t="str">
            <v>Red Light</v>
          </cell>
          <cell r="H761" t="str">
            <v>No</v>
          </cell>
          <cell r="I761" t="str">
            <v>Yes</v>
          </cell>
          <cell r="J761">
            <v>45351</v>
          </cell>
          <cell r="K761" t="str">
            <v>Yes</v>
          </cell>
          <cell r="L761">
            <v>44113</v>
          </cell>
          <cell r="M761">
            <v>264</v>
          </cell>
          <cell r="N761">
            <v>314</v>
          </cell>
          <cell r="O761">
            <v>1291.144897460938</v>
          </cell>
          <cell r="P761">
            <v>8585.090890606356</v>
          </cell>
          <cell r="Q761">
            <v>1336.184326171875</v>
          </cell>
        </row>
        <row r="762">
          <cell r="A762" t="str">
            <v>5XXGN4A78DG111726</v>
          </cell>
          <cell r="B762">
            <v>2013</v>
          </cell>
          <cell r="C762" t="str">
            <v>KIA</v>
          </cell>
          <cell r="D762" t="str">
            <v>OPTIMA</v>
          </cell>
          <cell r="E762">
            <v>133095</v>
          </cell>
          <cell r="F762" t="str">
            <v>Grade 2.4</v>
          </cell>
          <cell r="G762" t="str">
            <v>Red Light</v>
          </cell>
          <cell r="H762" t="str">
            <v>No</v>
          </cell>
          <cell r="I762" t="str">
            <v>Yes</v>
          </cell>
          <cell r="J762">
            <v>45645</v>
          </cell>
          <cell r="K762" t="str">
            <v>Yes</v>
          </cell>
          <cell r="L762">
            <v>44113</v>
          </cell>
          <cell r="M762">
            <v>264</v>
          </cell>
          <cell r="N762">
            <v>314</v>
          </cell>
          <cell r="O762">
            <v>471.88763427734381</v>
          </cell>
          <cell r="P762">
            <v>8551.3003874688329</v>
          </cell>
          <cell r="Q762">
            <v>816.079345703125</v>
          </cell>
        </row>
        <row r="763">
          <cell r="A763" t="str">
            <v>5XXGN4A79EG269543</v>
          </cell>
          <cell r="B763">
            <v>2014</v>
          </cell>
          <cell r="C763" t="str">
            <v>KIA</v>
          </cell>
          <cell r="D763" t="str">
            <v>OPTIMA</v>
          </cell>
          <cell r="E763">
            <v>109351</v>
          </cell>
          <cell r="F763" t="str">
            <v>Grade 2.3</v>
          </cell>
          <cell r="G763" t="str">
            <v>Red Light</v>
          </cell>
          <cell r="H763" t="str">
            <v>No</v>
          </cell>
          <cell r="I763" t="str">
            <v>Yes</v>
          </cell>
          <cell r="J763">
            <v>45603</v>
          </cell>
          <cell r="K763" t="str">
            <v>Yes</v>
          </cell>
          <cell r="L763">
            <v>44113</v>
          </cell>
          <cell r="M763">
            <v>264</v>
          </cell>
          <cell r="N763">
            <v>314</v>
          </cell>
          <cell r="O763">
            <v>1319.012573242188</v>
          </cell>
          <cell r="P763">
            <v>8547.8371840056298</v>
          </cell>
          <cell r="Q763">
            <v>1355.831420898438</v>
          </cell>
        </row>
        <row r="764">
          <cell r="A764" t="str">
            <v>5XXGT4L32HG143996</v>
          </cell>
          <cell r="B764">
            <v>2017</v>
          </cell>
          <cell r="C764" t="str">
            <v>KIA</v>
          </cell>
          <cell r="D764" t="str">
            <v>OPTIMA</v>
          </cell>
          <cell r="E764">
            <v>96196</v>
          </cell>
          <cell r="F764" t="str">
            <v>Grade 1.3</v>
          </cell>
          <cell r="G764" t="str">
            <v>Red Light</v>
          </cell>
          <cell r="H764" t="str">
            <v>No</v>
          </cell>
          <cell r="I764" t="str">
            <v>Yes</v>
          </cell>
          <cell r="J764">
            <v>45398</v>
          </cell>
          <cell r="K764" t="str">
            <v>Yes</v>
          </cell>
          <cell r="L764">
            <v>44113</v>
          </cell>
          <cell r="M764">
            <v>264</v>
          </cell>
          <cell r="N764">
            <v>314</v>
          </cell>
          <cell r="O764">
            <v>2955.760498046875</v>
          </cell>
          <cell r="P764">
            <v>8777.8260545060566</v>
          </cell>
          <cell r="Q764">
            <v>2786.861328125</v>
          </cell>
        </row>
        <row r="765">
          <cell r="A765" t="str">
            <v>5XXGT4L32JG218007</v>
          </cell>
          <cell r="B765">
            <v>2018</v>
          </cell>
          <cell r="C765" t="str">
            <v>KIA</v>
          </cell>
          <cell r="D765" t="str">
            <v>OPTIMA</v>
          </cell>
          <cell r="E765">
            <v>98567</v>
          </cell>
          <cell r="F765" t="str">
            <v>Grade 2.4</v>
          </cell>
          <cell r="G765" t="str">
            <v>Green Light</v>
          </cell>
          <cell r="H765" t="str">
            <v>Yes</v>
          </cell>
          <cell r="I765" t="str">
            <v>No</v>
          </cell>
          <cell r="J765">
            <v>45302</v>
          </cell>
          <cell r="K765" t="str">
            <v>Yes</v>
          </cell>
          <cell r="L765">
            <v>44113</v>
          </cell>
          <cell r="M765">
            <v>264</v>
          </cell>
          <cell r="N765">
            <v>314</v>
          </cell>
          <cell r="O765">
            <v>4050.139892578125</v>
          </cell>
          <cell r="P765">
            <v>8834.1633138349043</v>
          </cell>
          <cell r="Q765">
            <v>3902.81396484375</v>
          </cell>
        </row>
        <row r="766">
          <cell r="A766" t="str">
            <v>5XXGT4L36KG320962</v>
          </cell>
          <cell r="B766">
            <v>2019</v>
          </cell>
          <cell r="C766" t="str">
            <v>KIA</v>
          </cell>
          <cell r="D766" t="str">
            <v>OPTIMA</v>
          </cell>
          <cell r="E766">
            <v>36281</v>
          </cell>
          <cell r="F766" t="str">
            <v>Grade 4.5</v>
          </cell>
          <cell r="G766" t="str">
            <v>Certified</v>
          </cell>
          <cell r="H766" t="str">
            <v>Yes</v>
          </cell>
          <cell r="I766" t="str">
            <v>No</v>
          </cell>
          <cell r="J766">
            <v>45337</v>
          </cell>
          <cell r="K766" t="str">
            <v>Yes</v>
          </cell>
          <cell r="L766">
            <v>44113</v>
          </cell>
          <cell r="M766">
            <v>264</v>
          </cell>
          <cell r="N766">
            <v>314</v>
          </cell>
          <cell r="O766">
            <v>10648.65234375</v>
          </cell>
          <cell r="P766">
            <v>12057.889293814689</v>
          </cell>
          <cell r="Q766">
            <v>10494.6142578125</v>
          </cell>
        </row>
        <row r="767">
          <cell r="A767" t="str">
            <v>5XXGT4L38HG170989</v>
          </cell>
          <cell r="B767">
            <v>2017</v>
          </cell>
          <cell r="C767" t="str">
            <v>KIA</v>
          </cell>
          <cell r="D767" t="str">
            <v>OPTIMA</v>
          </cell>
          <cell r="E767">
            <v>83440</v>
          </cell>
          <cell r="F767" t="str">
            <v>Grade 1.3</v>
          </cell>
          <cell r="G767" t="str">
            <v>Red Light</v>
          </cell>
          <cell r="H767" t="str">
            <v>No</v>
          </cell>
          <cell r="I767" t="str">
            <v>Yes</v>
          </cell>
          <cell r="J767">
            <v>45594</v>
          </cell>
          <cell r="K767" t="str">
            <v>Yes</v>
          </cell>
          <cell r="L767">
            <v>44113</v>
          </cell>
          <cell r="M767">
            <v>264</v>
          </cell>
          <cell r="N767">
            <v>314</v>
          </cell>
          <cell r="O767">
            <v>2961.04345703125</v>
          </cell>
          <cell r="P767">
            <v>8811.6183359360275</v>
          </cell>
          <cell r="Q767">
            <v>2864.41845703125</v>
          </cell>
        </row>
        <row r="768">
          <cell r="A768" t="str">
            <v>5XYKT3A11BG125790</v>
          </cell>
          <cell r="B768">
            <v>2011</v>
          </cell>
          <cell r="C768" t="str">
            <v>KIA</v>
          </cell>
          <cell r="D768" t="str">
            <v>SORENTO FWD 4C</v>
          </cell>
          <cell r="E768">
            <v>133423</v>
          </cell>
          <cell r="F768" t="str">
            <v>Grade 2.9</v>
          </cell>
          <cell r="G768" t="str">
            <v>Red Light</v>
          </cell>
          <cell r="H768" t="str">
            <v>No</v>
          </cell>
          <cell r="I768" t="str">
            <v>Yes</v>
          </cell>
          <cell r="J768">
            <v>45680</v>
          </cell>
          <cell r="K768" t="str">
            <v>Yes</v>
          </cell>
          <cell r="L768">
            <v>44113</v>
          </cell>
          <cell r="M768">
            <v>264</v>
          </cell>
          <cell r="N768">
            <v>314</v>
          </cell>
          <cell r="O768">
            <v>319.35650634765619</v>
          </cell>
          <cell r="P768">
            <v>8708.9995346943688</v>
          </cell>
          <cell r="Q768">
            <v>815.262451171875</v>
          </cell>
        </row>
        <row r="769">
          <cell r="A769" t="str">
            <v>5XYKU4A26BG136196</v>
          </cell>
          <cell r="B769">
            <v>2011</v>
          </cell>
          <cell r="C769" t="str">
            <v>KIA</v>
          </cell>
          <cell r="D769" t="str">
            <v>SORENTO FWD V6</v>
          </cell>
          <cell r="E769">
            <v>166616</v>
          </cell>
          <cell r="F769" t="str">
            <v>Grade 2.5</v>
          </cell>
          <cell r="G769" t="str">
            <v>Red Light</v>
          </cell>
          <cell r="H769" t="str">
            <v>No</v>
          </cell>
          <cell r="I769" t="str">
            <v>Yes</v>
          </cell>
          <cell r="J769">
            <v>45302</v>
          </cell>
          <cell r="K769" t="str">
            <v>Yes</v>
          </cell>
          <cell r="L769">
            <v>44113</v>
          </cell>
          <cell r="M769">
            <v>264</v>
          </cell>
          <cell r="N769">
            <v>314</v>
          </cell>
          <cell r="O769">
            <v>803.41961669921875</v>
          </cell>
          <cell r="P769">
            <v>8691.745660572582</v>
          </cell>
          <cell r="Q769">
            <v>1088.946655273438</v>
          </cell>
        </row>
        <row r="770">
          <cell r="A770" t="str">
            <v>5XYKW4A22CG298564</v>
          </cell>
          <cell r="B770">
            <v>2012</v>
          </cell>
          <cell r="C770" t="str">
            <v>KIA</v>
          </cell>
          <cell r="D770" t="str">
            <v>SORENTO FWD V6</v>
          </cell>
          <cell r="E770">
            <v>96078</v>
          </cell>
          <cell r="F770" t="str">
            <v>Grade 2.5</v>
          </cell>
          <cell r="G770" t="str">
            <v>Green Light</v>
          </cell>
          <cell r="H770" t="str">
            <v>Yes</v>
          </cell>
          <cell r="I770" t="str">
            <v>No</v>
          </cell>
          <cell r="J770">
            <v>45428</v>
          </cell>
          <cell r="K770" t="str">
            <v>Yes</v>
          </cell>
          <cell r="L770">
            <v>44113</v>
          </cell>
          <cell r="M770">
            <v>264</v>
          </cell>
          <cell r="N770">
            <v>314</v>
          </cell>
          <cell r="O770">
            <v>1486.618896484375</v>
          </cell>
          <cell r="P770">
            <v>8925.9283572007462</v>
          </cell>
          <cell r="Q770">
            <v>1395.367431640625</v>
          </cell>
        </row>
        <row r="771">
          <cell r="A771" t="str">
            <v>5XYKWDA24BG094346</v>
          </cell>
          <cell r="B771">
            <v>2011</v>
          </cell>
          <cell r="C771" t="str">
            <v>KIA</v>
          </cell>
          <cell r="D771" t="str">
            <v>SORENTO</v>
          </cell>
          <cell r="E771">
            <v>147208</v>
          </cell>
          <cell r="F771" t="str">
            <v>Grade 1.8</v>
          </cell>
          <cell r="G771" t="str">
            <v>Red Light</v>
          </cell>
          <cell r="H771" t="str">
            <v>No</v>
          </cell>
          <cell r="I771" t="str">
            <v>Yes</v>
          </cell>
          <cell r="J771">
            <v>45622</v>
          </cell>
          <cell r="K771" t="str">
            <v>Yes</v>
          </cell>
          <cell r="L771">
            <v>44113</v>
          </cell>
          <cell r="M771">
            <v>264</v>
          </cell>
          <cell r="N771">
            <v>314</v>
          </cell>
          <cell r="O771">
            <v>318.48287963867188</v>
          </cell>
          <cell r="P771">
            <v>8591.4305248377295</v>
          </cell>
          <cell r="Q771">
            <v>820.78350830078125</v>
          </cell>
        </row>
        <row r="772">
          <cell r="A772" t="str">
            <v>5XYPHDA58HG291135</v>
          </cell>
          <cell r="B772">
            <v>2017</v>
          </cell>
          <cell r="C772" t="str">
            <v>KIA</v>
          </cell>
          <cell r="D772" t="str">
            <v>SORENTO</v>
          </cell>
          <cell r="E772">
            <v>107038</v>
          </cell>
          <cell r="F772" t="str">
            <v>Grade 0.0</v>
          </cell>
          <cell r="G772" t="str">
            <v>Inoperable</v>
          </cell>
          <cell r="H772" t="str">
            <v>No</v>
          </cell>
          <cell r="I772" t="str">
            <v>Yes</v>
          </cell>
          <cell r="J772">
            <v>45664</v>
          </cell>
          <cell r="K772" t="str">
            <v>Yes</v>
          </cell>
          <cell r="L772">
            <v>44113</v>
          </cell>
          <cell r="M772">
            <v>264</v>
          </cell>
          <cell r="N772">
            <v>314</v>
          </cell>
          <cell r="O772">
            <v>2156.579345703125</v>
          </cell>
          <cell r="P772">
            <v>8619.5009781879144</v>
          </cell>
          <cell r="Q772">
            <v>2095.49365234375</v>
          </cell>
        </row>
        <row r="773">
          <cell r="A773" t="str">
            <v>JF2SHADC1CH455622</v>
          </cell>
          <cell r="B773">
            <v>2012</v>
          </cell>
          <cell r="C773" t="str">
            <v>SUBARU</v>
          </cell>
          <cell r="D773" t="str">
            <v>FORESTER</v>
          </cell>
          <cell r="E773">
            <v>104632</v>
          </cell>
          <cell r="F773" t="str">
            <v>Grade 4.1</v>
          </cell>
          <cell r="G773" t="str">
            <v>Green Light</v>
          </cell>
          <cell r="H773" t="str">
            <v>Yes</v>
          </cell>
          <cell r="I773" t="str">
            <v>No</v>
          </cell>
          <cell r="J773">
            <v>45344</v>
          </cell>
          <cell r="K773" t="str">
            <v>Yes</v>
          </cell>
          <cell r="L773">
            <v>44113</v>
          </cell>
          <cell r="M773">
            <v>264</v>
          </cell>
          <cell r="N773">
            <v>314</v>
          </cell>
          <cell r="O773">
            <v>6369.19140625</v>
          </cell>
          <cell r="P773">
            <v>9918.2355129347325</v>
          </cell>
          <cell r="Q773">
            <v>6315.2724609375</v>
          </cell>
        </row>
        <row r="774">
          <cell r="A774" t="str">
            <v>JM1GJ1V6XF1170755</v>
          </cell>
          <cell r="B774">
            <v>2015</v>
          </cell>
          <cell r="C774" t="str">
            <v>MAZDA</v>
          </cell>
          <cell r="D774" t="str">
            <v>MAZDA6</v>
          </cell>
          <cell r="E774">
            <v>154030</v>
          </cell>
          <cell r="F774" t="str">
            <v>Grade 2.8</v>
          </cell>
          <cell r="G774" t="str">
            <v>Red Light</v>
          </cell>
          <cell r="H774" t="str">
            <v>No</v>
          </cell>
          <cell r="I774" t="str">
            <v>Yes</v>
          </cell>
          <cell r="J774">
            <v>45505</v>
          </cell>
          <cell r="K774" t="str">
            <v>Yes</v>
          </cell>
          <cell r="L774">
            <v>44113</v>
          </cell>
          <cell r="M774">
            <v>264</v>
          </cell>
          <cell r="N774">
            <v>314</v>
          </cell>
          <cell r="O774">
            <v>1945.2080078125</v>
          </cell>
          <cell r="P774">
            <v>9117.4917118129797</v>
          </cell>
          <cell r="Q774">
            <v>1885.53759765625</v>
          </cell>
        </row>
        <row r="775">
          <cell r="A775" t="str">
            <v>JM1GJ1W59G1450268</v>
          </cell>
          <cell r="B775">
            <v>2016</v>
          </cell>
          <cell r="C775" t="str">
            <v>MAZDA</v>
          </cell>
          <cell r="D775" t="str">
            <v>MAZDA6</v>
          </cell>
          <cell r="E775">
            <v>134345</v>
          </cell>
          <cell r="F775" t="str">
            <v>Grade 3.8</v>
          </cell>
          <cell r="G775" t="str">
            <v>Green Light</v>
          </cell>
          <cell r="H775" t="str">
            <v>Yes</v>
          </cell>
          <cell r="I775" t="str">
            <v>No</v>
          </cell>
          <cell r="J775">
            <v>45454</v>
          </cell>
          <cell r="K775" t="str">
            <v>Yes</v>
          </cell>
          <cell r="L775">
            <v>44113</v>
          </cell>
          <cell r="M775">
            <v>264</v>
          </cell>
          <cell r="N775">
            <v>314</v>
          </cell>
          <cell r="O775">
            <v>5805.8193359375</v>
          </cell>
          <cell r="P775">
            <v>9889.1035205849003</v>
          </cell>
          <cell r="Q775">
            <v>5916.62841796875</v>
          </cell>
        </row>
        <row r="776">
          <cell r="A776" t="str">
            <v>JM3KE2BE2E0423191</v>
          </cell>
          <cell r="B776">
            <v>2014</v>
          </cell>
          <cell r="C776" t="str">
            <v>MAZDA</v>
          </cell>
          <cell r="D776" t="str">
            <v>CX 5 FWD 4C</v>
          </cell>
          <cell r="E776">
            <v>111617</v>
          </cell>
          <cell r="F776" t="str">
            <v>Grade 2.8</v>
          </cell>
          <cell r="G776" t="str">
            <v>Green Light</v>
          </cell>
          <cell r="H776" t="str">
            <v>Yes</v>
          </cell>
          <cell r="I776" t="str">
            <v>No</v>
          </cell>
          <cell r="J776">
            <v>45673</v>
          </cell>
          <cell r="K776" t="str">
            <v>Yes</v>
          </cell>
          <cell r="L776">
            <v>44113</v>
          </cell>
          <cell r="M776">
            <v>264</v>
          </cell>
          <cell r="N776">
            <v>314</v>
          </cell>
          <cell r="O776">
            <v>1839.23828125</v>
          </cell>
          <cell r="P776">
            <v>9110.4379829700429</v>
          </cell>
          <cell r="Q776">
            <v>1747.880249023438</v>
          </cell>
        </row>
        <row r="777">
          <cell r="A777" t="str">
            <v>JN8AS5MTXCW299468</v>
          </cell>
          <cell r="B777">
            <v>2012</v>
          </cell>
          <cell r="C777" t="str">
            <v>NISSAN</v>
          </cell>
          <cell r="D777" t="str">
            <v>ROGUE FWD</v>
          </cell>
          <cell r="E777">
            <v>130185</v>
          </cell>
          <cell r="F777" t="str">
            <v>Grade 2.9</v>
          </cell>
          <cell r="G777" t="str">
            <v>Red Light</v>
          </cell>
          <cell r="H777" t="str">
            <v>No</v>
          </cell>
          <cell r="I777" t="str">
            <v>Yes</v>
          </cell>
          <cell r="J777">
            <v>45393</v>
          </cell>
          <cell r="K777" t="str">
            <v>Yes</v>
          </cell>
          <cell r="L777">
            <v>44113</v>
          </cell>
          <cell r="M777">
            <v>264</v>
          </cell>
          <cell r="N777">
            <v>314</v>
          </cell>
          <cell r="O777">
            <v>1264.311401367188</v>
          </cell>
          <cell r="P777">
            <v>8888.6411987201682</v>
          </cell>
          <cell r="Q777">
            <v>1325.587768554688</v>
          </cell>
        </row>
        <row r="778">
          <cell r="A778" t="str">
            <v>JTDKBRFU7H3574137</v>
          </cell>
          <cell r="B778">
            <v>2017</v>
          </cell>
          <cell r="C778" t="str">
            <v>TOYOTA</v>
          </cell>
          <cell r="D778" t="str">
            <v>PRIUS</v>
          </cell>
          <cell r="E778">
            <v>195322</v>
          </cell>
          <cell r="F778" t="str">
            <v>Grade 1.3</v>
          </cell>
          <cell r="G778" t="str">
            <v>Red Light</v>
          </cell>
          <cell r="H778" t="str">
            <v>No</v>
          </cell>
          <cell r="I778" t="str">
            <v>Yes</v>
          </cell>
          <cell r="J778">
            <v>45622</v>
          </cell>
          <cell r="K778" t="str">
            <v>Yes</v>
          </cell>
          <cell r="L778">
            <v>44113</v>
          </cell>
          <cell r="M778">
            <v>264</v>
          </cell>
          <cell r="N778">
            <v>314</v>
          </cell>
          <cell r="O778">
            <v>3540.610107421875</v>
          </cell>
          <cell r="P778">
            <v>9349.0354994971367</v>
          </cell>
          <cell r="Q778">
            <v>3484.11572265625</v>
          </cell>
        </row>
        <row r="779">
          <cell r="A779" t="str">
            <v>KL4CJASBXKB733401</v>
          </cell>
          <cell r="B779">
            <v>2019</v>
          </cell>
          <cell r="C779" t="str">
            <v>BUICK</v>
          </cell>
          <cell r="D779" t="str">
            <v>ENCORE</v>
          </cell>
          <cell r="E779">
            <v>89160</v>
          </cell>
          <cell r="F779" t="str">
            <v>Grade 2.5</v>
          </cell>
          <cell r="G779" t="str">
            <v>Red Light</v>
          </cell>
          <cell r="H779" t="str">
            <v>No</v>
          </cell>
          <cell r="I779" t="str">
            <v>Yes</v>
          </cell>
          <cell r="J779">
            <v>45580</v>
          </cell>
          <cell r="K779" t="str">
            <v>Yes</v>
          </cell>
          <cell r="L779">
            <v>44113</v>
          </cell>
          <cell r="M779">
            <v>264</v>
          </cell>
          <cell r="N779">
            <v>314</v>
          </cell>
          <cell r="O779">
            <v>4239.51708984375</v>
          </cell>
          <cell r="P779">
            <v>9394.7773755536473</v>
          </cell>
          <cell r="Q779">
            <v>4229.32421875</v>
          </cell>
        </row>
        <row r="780">
          <cell r="A780" t="str">
            <v>KL4CJBSB6JB525519</v>
          </cell>
          <cell r="B780">
            <v>2018</v>
          </cell>
          <cell r="C780" t="str">
            <v>BUICK</v>
          </cell>
          <cell r="D780" t="str">
            <v>ENCORE</v>
          </cell>
          <cell r="E780">
            <v>48678</v>
          </cell>
          <cell r="F780" t="str">
            <v>Grade 3.2</v>
          </cell>
          <cell r="G780" t="str">
            <v>Green Light</v>
          </cell>
          <cell r="H780" t="str">
            <v>Yes</v>
          </cell>
          <cell r="I780" t="str">
            <v>No</v>
          </cell>
          <cell r="J780">
            <v>45314</v>
          </cell>
          <cell r="K780" t="str">
            <v>Yes</v>
          </cell>
          <cell r="L780">
            <v>44113</v>
          </cell>
          <cell r="M780">
            <v>264</v>
          </cell>
          <cell r="N780">
            <v>314</v>
          </cell>
          <cell r="O780">
            <v>12084.2509765625</v>
          </cell>
          <cell r="P780">
            <v>11161.76744676116</v>
          </cell>
          <cell r="Q780">
            <v>12106.640625</v>
          </cell>
        </row>
        <row r="781">
          <cell r="A781" t="str">
            <v>KL7CJLSB1JB661064</v>
          </cell>
          <cell r="B781">
            <v>2018</v>
          </cell>
          <cell r="C781" t="str">
            <v>CHEVROLET</v>
          </cell>
          <cell r="D781" t="str">
            <v>TRAX</v>
          </cell>
          <cell r="E781">
            <v>71011</v>
          </cell>
          <cell r="F781" t="str">
            <v>Grade 3.8</v>
          </cell>
          <cell r="G781" t="str">
            <v>Red Light</v>
          </cell>
          <cell r="H781" t="str">
            <v>No</v>
          </cell>
          <cell r="I781" t="str">
            <v>Yes</v>
          </cell>
          <cell r="J781">
            <v>45636</v>
          </cell>
          <cell r="K781" t="str">
            <v>Yes</v>
          </cell>
          <cell r="L781">
            <v>44113</v>
          </cell>
          <cell r="M781">
            <v>264</v>
          </cell>
          <cell r="N781">
            <v>314</v>
          </cell>
          <cell r="O781">
            <v>9980.8525390625</v>
          </cell>
          <cell r="P781">
            <v>10542.55430243314</v>
          </cell>
          <cell r="Q781">
            <v>9951.3173828125</v>
          </cell>
        </row>
        <row r="782">
          <cell r="A782" t="str">
            <v>KM8J33A26GU044063</v>
          </cell>
          <cell r="B782">
            <v>2016</v>
          </cell>
          <cell r="C782" t="str">
            <v>HYUNDAI</v>
          </cell>
          <cell r="D782" t="str">
            <v>TUCSON</v>
          </cell>
          <cell r="E782">
            <v>105302</v>
          </cell>
          <cell r="F782" t="str">
            <v>Grade 3.9</v>
          </cell>
          <cell r="G782" t="str">
            <v>Certified</v>
          </cell>
          <cell r="H782" t="str">
            <v>Yes</v>
          </cell>
          <cell r="I782" t="str">
            <v>No</v>
          </cell>
          <cell r="J782">
            <v>45510</v>
          </cell>
          <cell r="K782" t="str">
            <v>Yes</v>
          </cell>
          <cell r="L782">
            <v>44113</v>
          </cell>
          <cell r="M782">
            <v>264</v>
          </cell>
          <cell r="N782">
            <v>314</v>
          </cell>
          <cell r="O782">
            <v>5339.0693359375</v>
          </cell>
          <cell r="P782">
            <v>9559.1315027868532</v>
          </cell>
          <cell r="Q782">
            <v>5424.1708984375</v>
          </cell>
        </row>
        <row r="783">
          <cell r="A783" t="str">
            <v>KM8J3CA41LU116203</v>
          </cell>
          <cell r="B783">
            <v>2020</v>
          </cell>
          <cell r="C783" t="str">
            <v>HYUNDAI</v>
          </cell>
          <cell r="D783" t="str">
            <v>TUCSON</v>
          </cell>
          <cell r="E783">
            <v>76907</v>
          </cell>
          <cell r="F783" t="str">
            <v>Grade 2.7</v>
          </cell>
          <cell r="G783" t="str">
            <v>Green Light</v>
          </cell>
          <cell r="H783" t="str">
            <v>Yes</v>
          </cell>
          <cell r="I783" t="str">
            <v>No</v>
          </cell>
          <cell r="J783">
            <v>45538</v>
          </cell>
          <cell r="K783" t="str">
            <v>Yes</v>
          </cell>
          <cell r="L783">
            <v>44113</v>
          </cell>
          <cell r="M783">
            <v>264</v>
          </cell>
          <cell r="N783">
            <v>314</v>
          </cell>
          <cell r="O783">
            <v>5718.00439453125</v>
          </cell>
          <cell r="P783">
            <v>10318.69754292481</v>
          </cell>
          <cell r="Q783">
            <v>5300.666015625</v>
          </cell>
        </row>
        <row r="784">
          <cell r="A784" t="str">
            <v>KM8JT3ABXCU506960</v>
          </cell>
          <cell r="B784">
            <v>2012</v>
          </cell>
          <cell r="C784" t="str">
            <v>HYUNDAI</v>
          </cell>
          <cell r="D784" t="str">
            <v>TUCSON FWD 4C</v>
          </cell>
          <cell r="E784">
            <v>108025</v>
          </cell>
          <cell r="F784" t="str">
            <v>Grade 3.5</v>
          </cell>
          <cell r="G784" t="str">
            <v>Green/Yellow</v>
          </cell>
          <cell r="H784" t="str">
            <v>Yes</v>
          </cell>
          <cell r="I784" t="str">
            <v>No</v>
          </cell>
          <cell r="J784">
            <v>45701</v>
          </cell>
          <cell r="K784" t="str">
            <v>Yes</v>
          </cell>
          <cell r="L784">
            <v>44113</v>
          </cell>
          <cell r="M784">
            <v>264</v>
          </cell>
          <cell r="N784">
            <v>314</v>
          </cell>
          <cell r="O784">
            <v>3331.923828125</v>
          </cell>
          <cell r="P784">
            <v>8793.9779702409051</v>
          </cell>
          <cell r="Q784">
            <v>3239.19140625</v>
          </cell>
        </row>
        <row r="785">
          <cell r="A785" t="str">
            <v>KM8K22AA1MU708807</v>
          </cell>
          <cell r="B785">
            <v>2021</v>
          </cell>
          <cell r="C785" t="str">
            <v>HYUNDAI</v>
          </cell>
          <cell r="D785" t="str">
            <v>KONA</v>
          </cell>
          <cell r="E785">
            <v>35981</v>
          </cell>
          <cell r="F785" t="str">
            <v>Grade 2.4</v>
          </cell>
          <cell r="G785" t="str">
            <v>Green/Yellow</v>
          </cell>
          <cell r="H785" t="str">
            <v>Yes</v>
          </cell>
          <cell r="I785" t="str">
            <v>No</v>
          </cell>
          <cell r="J785">
            <v>45328</v>
          </cell>
          <cell r="K785" t="str">
            <v>Yes</v>
          </cell>
          <cell r="L785">
            <v>44113</v>
          </cell>
          <cell r="M785">
            <v>264</v>
          </cell>
          <cell r="N785">
            <v>314</v>
          </cell>
          <cell r="O785">
            <v>7393.0517578125</v>
          </cell>
          <cell r="P785">
            <v>13439.670985855921</v>
          </cell>
          <cell r="Q785">
            <v>8680.359375</v>
          </cell>
        </row>
        <row r="786">
          <cell r="A786" t="str">
            <v>KMHCT4AE6EU668564</v>
          </cell>
          <cell r="B786">
            <v>2014</v>
          </cell>
          <cell r="C786" t="str">
            <v>HYUNDAI</v>
          </cell>
          <cell r="D786" t="str">
            <v>ACCENT</v>
          </cell>
          <cell r="E786">
            <v>221889</v>
          </cell>
          <cell r="F786" t="str">
            <v>Grade 2.3</v>
          </cell>
          <cell r="G786" t="str">
            <v>Red Light</v>
          </cell>
          <cell r="H786" t="str">
            <v>No</v>
          </cell>
          <cell r="I786" t="str">
            <v>Yes</v>
          </cell>
          <cell r="J786">
            <v>45603</v>
          </cell>
          <cell r="K786" t="str">
            <v>Yes</v>
          </cell>
          <cell r="L786">
            <v>44113</v>
          </cell>
          <cell r="M786">
            <v>264</v>
          </cell>
          <cell r="N786">
            <v>314</v>
          </cell>
          <cell r="O786">
            <v>890.52496337890625</v>
          </cell>
          <cell r="P786">
            <v>8623.6643072839779</v>
          </cell>
          <cell r="Q786">
            <v>1094.4677734375</v>
          </cell>
        </row>
        <row r="787">
          <cell r="A787" t="str">
            <v>KMHTC6AD0CU070714</v>
          </cell>
          <cell r="B787">
            <v>2012</v>
          </cell>
          <cell r="C787" t="str">
            <v>HYUNDAI</v>
          </cell>
          <cell r="D787" t="str">
            <v>VELOSTER</v>
          </cell>
          <cell r="E787">
            <v>86381</v>
          </cell>
          <cell r="F787" t="str">
            <v>Grade 1.9</v>
          </cell>
          <cell r="G787" t="str">
            <v>Red Light</v>
          </cell>
          <cell r="H787" t="str">
            <v>No</v>
          </cell>
          <cell r="I787" t="str">
            <v>Yes</v>
          </cell>
          <cell r="J787">
            <v>45370</v>
          </cell>
          <cell r="K787" t="str">
            <v>Yes</v>
          </cell>
          <cell r="L787">
            <v>44113</v>
          </cell>
          <cell r="M787">
            <v>264</v>
          </cell>
          <cell r="N787">
            <v>314</v>
          </cell>
          <cell r="O787">
            <v>1909.953491210938</v>
          </cell>
          <cell r="P787">
            <v>8843.8345295024137</v>
          </cell>
          <cell r="Q787">
            <v>1778.49755859375</v>
          </cell>
        </row>
        <row r="788">
          <cell r="A788" t="str">
            <v>KMHTC6ADXGU269453</v>
          </cell>
          <cell r="B788">
            <v>2016</v>
          </cell>
          <cell r="C788" t="str">
            <v>HYUNDAI</v>
          </cell>
          <cell r="D788" t="str">
            <v>VELOSTER</v>
          </cell>
          <cell r="E788">
            <v>143904</v>
          </cell>
          <cell r="F788" t="str">
            <v>Grade 1.6</v>
          </cell>
          <cell r="G788" t="str">
            <v>Red Light</v>
          </cell>
          <cell r="H788" t="str">
            <v>No</v>
          </cell>
          <cell r="I788" t="str">
            <v>Yes</v>
          </cell>
          <cell r="J788">
            <v>45540</v>
          </cell>
          <cell r="K788" t="str">
            <v>Yes</v>
          </cell>
          <cell r="L788">
            <v>44113</v>
          </cell>
          <cell r="M788">
            <v>264</v>
          </cell>
          <cell r="N788">
            <v>314</v>
          </cell>
          <cell r="O788">
            <v>1490.213500976562</v>
          </cell>
          <cell r="P788">
            <v>8651.1149695011354</v>
          </cell>
          <cell r="Q788">
            <v>1403.335083007812</v>
          </cell>
        </row>
        <row r="789">
          <cell r="A789" t="str">
            <v>KNADM4A33H6026605</v>
          </cell>
          <cell r="B789">
            <v>2017</v>
          </cell>
          <cell r="C789" t="str">
            <v>KIA</v>
          </cell>
          <cell r="D789" t="str">
            <v>RIO</v>
          </cell>
          <cell r="E789">
            <v>105352</v>
          </cell>
          <cell r="F789" t="str">
            <v>Grade 2.3</v>
          </cell>
          <cell r="G789" t="str">
            <v>Red Light</v>
          </cell>
          <cell r="H789" t="str">
            <v>No</v>
          </cell>
          <cell r="I789" t="str">
            <v>Yes</v>
          </cell>
          <cell r="J789">
            <v>45610</v>
          </cell>
          <cell r="K789" t="str">
            <v>Yes</v>
          </cell>
          <cell r="L789">
            <v>44113</v>
          </cell>
          <cell r="M789">
            <v>264</v>
          </cell>
          <cell r="N789">
            <v>314</v>
          </cell>
          <cell r="O789">
            <v>2322.480224609375</v>
          </cell>
          <cell r="P789">
            <v>8570.673470895239</v>
          </cell>
          <cell r="Q789">
            <v>2200.2490234375</v>
          </cell>
        </row>
        <row r="790">
          <cell r="A790" t="str">
            <v>KNADM4A37G6677556</v>
          </cell>
          <cell r="B790">
            <v>2016</v>
          </cell>
          <cell r="C790" t="str">
            <v>KIA</v>
          </cell>
          <cell r="D790" t="str">
            <v>RIO</v>
          </cell>
          <cell r="E790">
            <v>84871</v>
          </cell>
          <cell r="F790" t="str">
            <v>Grade 4.2</v>
          </cell>
          <cell r="G790" t="str">
            <v>Certified</v>
          </cell>
          <cell r="H790" t="str">
            <v>Yes</v>
          </cell>
          <cell r="I790" t="str">
            <v>No</v>
          </cell>
          <cell r="J790">
            <v>45407</v>
          </cell>
          <cell r="K790" t="str">
            <v>Yes</v>
          </cell>
          <cell r="L790">
            <v>44113</v>
          </cell>
          <cell r="M790">
            <v>264</v>
          </cell>
          <cell r="N790">
            <v>314</v>
          </cell>
          <cell r="O790">
            <v>8069.71923828125</v>
          </cell>
          <cell r="P790">
            <v>9733.4862453154128</v>
          </cell>
          <cell r="Q790">
            <v>8182.09619140625</v>
          </cell>
        </row>
        <row r="791">
          <cell r="A791" t="str">
            <v>KNAFW4A32D5663911</v>
          </cell>
          <cell r="B791">
            <v>2013</v>
          </cell>
          <cell r="C791" t="str">
            <v>KIA</v>
          </cell>
          <cell r="D791" t="str">
            <v>FORTE</v>
          </cell>
          <cell r="E791">
            <v>84003</v>
          </cell>
          <cell r="F791" t="str">
            <v>Grade 1.1</v>
          </cell>
          <cell r="G791" t="str">
            <v>Inoperable</v>
          </cell>
          <cell r="H791" t="str">
            <v>No</v>
          </cell>
          <cell r="I791" t="str">
            <v>Yes</v>
          </cell>
          <cell r="J791">
            <v>45678</v>
          </cell>
          <cell r="K791" t="str">
            <v>Yes</v>
          </cell>
          <cell r="L791">
            <v>44113</v>
          </cell>
          <cell r="M791">
            <v>264</v>
          </cell>
          <cell r="N791">
            <v>314</v>
          </cell>
          <cell r="O791">
            <v>1594.152099609375</v>
          </cell>
          <cell r="P791">
            <v>8721.7544335317343</v>
          </cell>
          <cell r="Q791">
            <v>1545.571166992188</v>
          </cell>
        </row>
        <row r="792">
          <cell r="A792" t="str">
            <v>KNAFX4A89F5341911</v>
          </cell>
          <cell r="B792">
            <v>2015</v>
          </cell>
          <cell r="C792" t="str">
            <v>KIA</v>
          </cell>
          <cell r="D792" t="str">
            <v>FORTE</v>
          </cell>
          <cell r="E792">
            <v>88419</v>
          </cell>
          <cell r="F792" t="str">
            <v>Grade 2.3</v>
          </cell>
          <cell r="G792" t="str">
            <v>Red Light</v>
          </cell>
          <cell r="H792" t="str">
            <v>No</v>
          </cell>
          <cell r="I792" t="str">
            <v>Yes</v>
          </cell>
          <cell r="J792">
            <v>45510</v>
          </cell>
          <cell r="K792" t="str">
            <v>Yes</v>
          </cell>
          <cell r="L792">
            <v>44113</v>
          </cell>
          <cell r="M792">
            <v>264</v>
          </cell>
          <cell r="N792">
            <v>314</v>
          </cell>
          <cell r="O792">
            <v>2447.84130859375</v>
          </cell>
          <cell r="P792">
            <v>8789.9425081290647</v>
          </cell>
          <cell r="Q792">
            <v>2319.4345703125</v>
          </cell>
        </row>
        <row r="793">
          <cell r="A793" t="str">
            <v>KNAGM4A74F5575636</v>
          </cell>
          <cell r="B793">
            <v>2015</v>
          </cell>
          <cell r="C793" t="str">
            <v>KIA</v>
          </cell>
          <cell r="D793" t="str">
            <v>OPTIMA</v>
          </cell>
          <cell r="E793">
            <v>108286</v>
          </cell>
          <cell r="F793" t="str">
            <v>Grade 3.9</v>
          </cell>
          <cell r="G793" t="str">
            <v>Green/Yellow</v>
          </cell>
          <cell r="H793" t="str">
            <v>Yes</v>
          </cell>
          <cell r="I793" t="str">
            <v>No</v>
          </cell>
          <cell r="J793">
            <v>45330</v>
          </cell>
          <cell r="K793" t="str">
            <v>Yes</v>
          </cell>
          <cell r="L793">
            <v>44113</v>
          </cell>
          <cell r="M793">
            <v>264</v>
          </cell>
          <cell r="N793">
            <v>314</v>
          </cell>
          <cell r="O793">
            <v>5511.72802734375</v>
          </cell>
          <cell r="P793">
            <v>9617.0653802273318</v>
          </cell>
          <cell r="Q793">
            <v>5626.990234375</v>
          </cell>
        </row>
        <row r="794">
          <cell r="A794" t="str">
            <v>KNAGM4AD0F5078220</v>
          </cell>
          <cell r="B794">
            <v>2015</v>
          </cell>
          <cell r="C794" t="str">
            <v>KIA</v>
          </cell>
          <cell r="D794" t="str">
            <v>OPTIMA</v>
          </cell>
          <cell r="E794">
            <v>71754</v>
          </cell>
          <cell r="F794" t="str">
            <v>Grade 1.0</v>
          </cell>
          <cell r="G794" t="str">
            <v>Inoperable</v>
          </cell>
          <cell r="H794" t="str">
            <v>No</v>
          </cell>
          <cell r="I794" t="str">
            <v>Yes</v>
          </cell>
          <cell r="J794">
            <v>45386</v>
          </cell>
          <cell r="K794" t="str">
            <v>Yes</v>
          </cell>
          <cell r="L794">
            <v>44113</v>
          </cell>
          <cell r="M794">
            <v>264</v>
          </cell>
          <cell r="N794">
            <v>314</v>
          </cell>
          <cell r="O794">
            <v>2147.808837890625</v>
          </cell>
          <cell r="P794">
            <v>8832.5547734335632</v>
          </cell>
          <cell r="Q794">
            <v>2084.408203125</v>
          </cell>
        </row>
        <row r="795">
          <cell r="A795" t="str">
            <v>KNDJ23AU0L7050037</v>
          </cell>
          <cell r="B795">
            <v>2020</v>
          </cell>
          <cell r="C795" t="str">
            <v>KIA</v>
          </cell>
          <cell r="D795" t="str">
            <v>SOUL</v>
          </cell>
          <cell r="E795">
            <v>105978</v>
          </cell>
          <cell r="F795" t="str">
            <v>Grade 2.4</v>
          </cell>
          <cell r="G795" t="str">
            <v>Green Light</v>
          </cell>
          <cell r="H795" t="str">
            <v>Yes</v>
          </cell>
          <cell r="I795" t="str">
            <v>No</v>
          </cell>
          <cell r="J795">
            <v>45442</v>
          </cell>
          <cell r="K795" t="str">
            <v>Yes</v>
          </cell>
          <cell r="L795">
            <v>44113</v>
          </cell>
          <cell r="M795">
            <v>264</v>
          </cell>
          <cell r="N795">
            <v>314</v>
          </cell>
          <cell r="O795">
            <v>5085.68896484375</v>
          </cell>
          <cell r="P795">
            <v>9894.8243048969616</v>
          </cell>
          <cell r="Q795">
            <v>5014.802734375</v>
          </cell>
        </row>
        <row r="796">
          <cell r="A796" t="str">
            <v>KNDJP3A53F7115400</v>
          </cell>
          <cell r="B796">
            <v>2015</v>
          </cell>
          <cell r="C796" t="str">
            <v>KIA</v>
          </cell>
          <cell r="D796" t="str">
            <v>SOUL</v>
          </cell>
          <cell r="E796">
            <v>171888</v>
          </cell>
          <cell r="F796" t="str">
            <v>Grade 3.0</v>
          </cell>
          <cell r="G796" t="str">
            <v>Red Light</v>
          </cell>
          <cell r="H796" t="str">
            <v>No</v>
          </cell>
          <cell r="I796" t="str">
            <v>Yes</v>
          </cell>
          <cell r="J796">
            <v>45344</v>
          </cell>
          <cell r="K796" t="str">
            <v>Yes</v>
          </cell>
          <cell r="L796">
            <v>44113</v>
          </cell>
          <cell r="M796">
            <v>264</v>
          </cell>
          <cell r="N796">
            <v>314</v>
          </cell>
          <cell r="O796">
            <v>2740.84716796875</v>
          </cell>
          <cell r="P796">
            <v>8658.6831027501685</v>
          </cell>
          <cell r="Q796">
            <v>2609.54150390625</v>
          </cell>
        </row>
        <row r="797">
          <cell r="A797" t="str">
            <v>KNDJT2A2XB7730564</v>
          </cell>
          <cell r="B797">
            <v>2011</v>
          </cell>
          <cell r="C797" t="str">
            <v>KIA</v>
          </cell>
          <cell r="D797" t="str">
            <v>SOUL</v>
          </cell>
          <cell r="E797">
            <v>83377</v>
          </cell>
          <cell r="F797" t="str">
            <v>Grade 1.3</v>
          </cell>
          <cell r="G797" t="str">
            <v>Red Light</v>
          </cell>
          <cell r="H797" t="str">
            <v>No</v>
          </cell>
          <cell r="I797" t="str">
            <v>Yes</v>
          </cell>
          <cell r="J797">
            <v>45594</v>
          </cell>
          <cell r="K797" t="str">
            <v>Yes</v>
          </cell>
          <cell r="L797">
            <v>44113</v>
          </cell>
          <cell r="M797">
            <v>264</v>
          </cell>
          <cell r="N797">
            <v>314</v>
          </cell>
          <cell r="O797">
            <v>1555.5615234375</v>
          </cell>
          <cell r="P797">
            <v>8733.461570803689</v>
          </cell>
          <cell r="Q797">
            <v>1524.272094726562</v>
          </cell>
        </row>
        <row r="798">
          <cell r="A798" t="str">
            <v>KNDMA5C19F6020768</v>
          </cell>
          <cell r="B798">
            <v>2015</v>
          </cell>
          <cell r="C798" t="str">
            <v>KIA</v>
          </cell>
          <cell r="D798" t="str">
            <v>SEDONA</v>
          </cell>
          <cell r="E798">
            <v>112236</v>
          </cell>
          <cell r="F798" t="str">
            <v>Grade 2.7</v>
          </cell>
          <cell r="G798" t="str">
            <v>Green/Yellow</v>
          </cell>
          <cell r="H798" t="str">
            <v>Yes</v>
          </cell>
          <cell r="I798" t="str">
            <v>No</v>
          </cell>
          <cell r="J798">
            <v>45594</v>
          </cell>
          <cell r="K798" t="str">
            <v>Yes</v>
          </cell>
          <cell r="L798">
            <v>44113</v>
          </cell>
          <cell r="M798">
            <v>264</v>
          </cell>
          <cell r="N798">
            <v>314</v>
          </cell>
          <cell r="O798">
            <v>1263.992553710938</v>
          </cell>
          <cell r="P798">
            <v>8702.0136471372334</v>
          </cell>
          <cell r="Q798">
            <v>1330.663208007812</v>
          </cell>
        </row>
        <row r="799">
          <cell r="A799" t="str">
            <v>ML32A3HJXLH001850</v>
          </cell>
          <cell r="B799">
            <v>2020</v>
          </cell>
          <cell r="C799" t="str">
            <v>MITSUBISHI</v>
          </cell>
          <cell r="D799" t="str">
            <v>MIRAGE</v>
          </cell>
          <cell r="E799">
            <v>99999</v>
          </cell>
          <cell r="F799" t="str">
            <v>Grade 3.2</v>
          </cell>
          <cell r="G799" t="str">
            <v>Red Light</v>
          </cell>
          <cell r="H799" t="str">
            <v>No</v>
          </cell>
          <cell r="I799" t="str">
            <v>Yes</v>
          </cell>
          <cell r="J799">
            <v>45328</v>
          </cell>
          <cell r="K799" t="str">
            <v>Yes</v>
          </cell>
          <cell r="L799">
            <v>44113</v>
          </cell>
          <cell r="M799">
            <v>264</v>
          </cell>
          <cell r="N799">
            <v>314</v>
          </cell>
          <cell r="O799">
            <v>6998.73388671875</v>
          </cell>
          <cell r="P799">
            <v>10485.397379759739</v>
          </cell>
          <cell r="Q799">
            <v>6707.5009765625</v>
          </cell>
        </row>
        <row r="800">
          <cell r="A800" t="str">
            <v>WAUBFAFL8CN019513</v>
          </cell>
          <cell r="B800">
            <v>2012</v>
          </cell>
          <cell r="C800" t="str">
            <v>AUDI</v>
          </cell>
          <cell r="D800" t="str">
            <v>A4</v>
          </cell>
          <cell r="E800">
            <v>95173</v>
          </cell>
          <cell r="F800" t="str">
            <v>Grade 2.2</v>
          </cell>
          <cell r="G800" t="str">
            <v>Inoperable</v>
          </cell>
          <cell r="H800" t="str">
            <v>No</v>
          </cell>
          <cell r="I800" t="str">
            <v>Yes</v>
          </cell>
          <cell r="J800">
            <v>45482</v>
          </cell>
          <cell r="K800" t="str">
            <v>Yes</v>
          </cell>
          <cell r="L800">
            <v>44113</v>
          </cell>
          <cell r="M800">
            <v>264</v>
          </cell>
          <cell r="N800">
            <v>314</v>
          </cell>
          <cell r="O800">
            <v>2830.19580078125</v>
          </cell>
          <cell r="P800">
            <v>9156.4152025944768</v>
          </cell>
          <cell r="Q800">
            <v>2664.12353515625</v>
          </cell>
        </row>
        <row r="801">
          <cell r="A801" t="str">
            <v>WBA8B9G31HNU56232</v>
          </cell>
          <cell r="B801">
            <v>2017</v>
          </cell>
          <cell r="C801" t="str">
            <v>BMW</v>
          </cell>
          <cell r="D801" t="str">
            <v>330I</v>
          </cell>
          <cell r="E801">
            <v>63191</v>
          </cell>
          <cell r="F801" t="str">
            <v>Grade 2.2</v>
          </cell>
          <cell r="G801" t="str">
            <v>Inoperable</v>
          </cell>
          <cell r="H801" t="str">
            <v>No</v>
          </cell>
          <cell r="I801" t="str">
            <v>Yes</v>
          </cell>
          <cell r="J801">
            <v>45664</v>
          </cell>
          <cell r="K801" t="str">
            <v>Yes</v>
          </cell>
          <cell r="L801">
            <v>44113</v>
          </cell>
          <cell r="M801">
            <v>264</v>
          </cell>
          <cell r="N801">
            <v>314</v>
          </cell>
          <cell r="O801">
            <v>7918.61669921875</v>
          </cell>
          <cell r="P801">
            <v>11369.28135674652</v>
          </cell>
          <cell r="Q801">
            <v>7666.888671875</v>
          </cell>
        </row>
        <row r="802">
          <cell r="A802" t="str">
            <v>WDCGG8JB9DG123960</v>
          </cell>
          <cell r="B802">
            <v>2013</v>
          </cell>
          <cell r="C802" t="str">
            <v>MERCEDES-BENZ</v>
          </cell>
          <cell r="D802" t="str">
            <v>GLK 350</v>
          </cell>
          <cell r="E802">
            <v>127875</v>
          </cell>
          <cell r="F802" t="str">
            <v>Grade 2.6</v>
          </cell>
          <cell r="G802" t="str">
            <v>Red Light</v>
          </cell>
          <cell r="H802" t="str">
            <v>No</v>
          </cell>
          <cell r="I802" t="str">
            <v>Yes</v>
          </cell>
          <cell r="J802">
            <v>45370</v>
          </cell>
          <cell r="K802" t="str">
            <v>Yes</v>
          </cell>
          <cell r="L802">
            <v>44113</v>
          </cell>
          <cell r="M802">
            <v>264</v>
          </cell>
          <cell r="N802">
            <v>314</v>
          </cell>
          <cell r="O802">
            <v>2323.429931640625</v>
          </cell>
          <cell r="P802">
            <v>9864.4248420300391</v>
          </cell>
          <cell r="Q802">
            <v>2255.45654296875</v>
          </cell>
        </row>
        <row r="803">
          <cell r="A803" t="str">
            <v>WDDGF8AB6DR300659</v>
          </cell>
          <cell r="B803">
            <v>2013</v>
          </cell>
          <cell r="C803" t="str">
            <v>MERCEDES-BENZ</v>
          </cell>
          <cell r="D803" t="str">
            <v>C 300</v>
          </cell>
          <cell r="E803">
            <v>100145</v>
          </cell>
          <cell r="F803" t="str">
            <v>Grade 1.3</v>
          </cell>
          <cell r="G803" t="str">
            <v>Red Light</v>
          </cell>
          <cell r="H803" t="str">
            <v>Yes</v>
          </cell>
          <cell r="I803" t="str">
            <v>No</v>
          </cell>
          <cell r="J803">
            <v>45622</v>
          </cell>
          <cell r="K803" t="str">
            <v>Yes</v>
          </cell>
          <cell r="L803">
            <v>44113</v>
          </cell>
          <cell r="M803">
            <v>264</v>
          </cell>
          <cell r="N803">
            <v>314</v>
          </cell>
          <cell r="O803">
            <v>2678.616943359375</v>
          </cell>
          <cell r="P803">
            <v>9788.7877376007964</v>
          </cell>
          <cell r="Q803">
            <v>2582.27587890625</v>
          </cell>
        </row>
        <row r="804">
          <cell r="A804" t="str">
            <v>WDDLJ7DB0EA109788</v>
          </cell>
          <cell r="B804">
            <v>2014</v>
          </cell>
          <cell r="C804" t="str">
            <v>MERCEDES-BENZ</v>
          </cell>
          <cell r="D804" t="str">
            <v>CLS 550</v>
          </cell>
          <cell r="E804">
            <v>91040</v>
          </cell>
          <cell r="F804" t="str">
            <v>Grade 4.4</v>
          </cell>
          <cell r="G804" t="str">
            <v>Green Light</v>
          </cell>
          <cell r="H804" t="str">
            <v>Yes</v>
          </cell>
          <cell r="I804" t="str">
            <v>No</v>
          </cell>
          <cell r="J804">
            <v>45328</v>
          </cell>
          <cell r="K804" t="str">
            <v>Yes</v>
          </cell>
          <cell r="L804">
            <v>44113</v>
          </cell>
          <cell r="M804">
            <v>264</v>
          </cell>
          <cell r="N804">
            <v>314</v>
          </cell>
          <cell r="O804">
            <v>8997.720703125</v>
          </cell>
          <cell r="P804">
            <v>10689.213979398481</v>
          </cell>
          <cell r="Q804">
            <v>9032.2666015625</v>
          </cell>
        </row>
        <row r="805">
          <cell r="A805" t="str">
            <v>WVWBP7AN7EE528717</v>
          </cell>
          <cell r="B805">
            <v>2014</v>
          </cell>
          <cell r="C805" t="str">
            <v>VOLKSWAGEN</v>
          </cell>
          <cell r="D805" t="str">
            <v>CC</v>
          </cell>
          <cell r="E805">
            <v>142897</v>
          </cell>
          <cell r="F805" t="str">
            <v>Grade 1.3</v>
          </cell>
          <cell r="G805" t="str">
            <v>Red Light</v>
          </cell>
          <cell r="H805" t="str">
            <v>No</v>
          </cell>
          <cell r="I805" t="str">
            <v>Yes</v>
          </cell>
          <cell r="J805">
            <v>45300</v>
          </cell>
          <cell r="K805" t="str">
            <v>Yes</v>
          </cell>
          <cell r="L805">
            <v>44113</v>
          </cell>
          <cell r="M805">
            <v>264</v>
          </cell>
          <cell r="N805">
            <v>314</v>
          </cell>
          <cell r="O805">
            <v>1101.86376953125</v>
          </cell>
          <cell r="P805">
            <v>8403.3033115530143</v>
          </cell>
          <cell r="Q805">
            <v>1182.089599609375</v>
          </cell>
        </row>
        <row r="806">
          <cell r="A806" t="str">
            <v>YV1612FS7E1299204</v>
          </cell>
          <cell r="B806">
            <v>2014</v>
          </cell>
          <cell r="C806" t="str">
            <v>VOLVO</v>
          </cell>
          <cell r="D806" t="str">
            <v>S60</v>
          </cell>
          <cell r="E806">
            <v>120574</v>
          </cell>
          <cell r="F806" t="str">
            <v>Grade 2.4</v>
          </cell>
          <cell r="G806" t="str">
            <v>Green/Yellow</v>
          </cell>
          <cell r="H806" t="str">
            <v>Yes</v>
          </cell>
          <cell r="I806" t="str">
            <v>No</v>
          </cell>
          <cell r="J806">
            <v>45664</v>
          </cell>
          <cell r="K806" t="str">
            <v>Yes</v>
          </cell>
          <cell r="L806">
            <v>44113</v>
          </cell>
          <cell r="M806">
            <v>264</v>
          </cell>
          <cell r="N806">
            <v>314</v>
          </cell>
          <cell r="O806">
            <v>2032.426025390625</v>
          </cell>
          <cell r="P806">
            <v>8863.495240996197</v>
          </cell>
          <cell r="Q806">
            <v>1967.080444335938</v>
          </cell>
        </row>
        <row r="807">
          <cell r="A807" t="str">
            <v>ZACCJADT0GPD85276</v>
          </cell>
          <cell r="B807">
            <v>2016</v>
          </cell>
          <cell r="C807" t="str">
            <v>JEEP</v>
          </cell>
          <cell r="D807" t="str">
            <v>RENEGADE</v>
          </cell>
          <cell r="E807">
            <v>114770</v>
          </cell>
          <cell r="F807" t="str">
            <v>Grade 2.6</v>
          </cell>
          <cell r="G807" t="str">
            <v>Green Light</v>
          </cell>
          <cell r="H807" t="str">
            <v>Yes</v>
          </cell>
          <cell r="I807" t="str">
            <v>No</v>
          </cell>
          <cell r="J807">
            <v>45538</v>
          </cell>
          <cell r="K807" t="str">
            <v>Yes</v>
          </cell>
          <cell r="L807">
            <v>44113</v>
          </cell>
          <cell r="M807">
            <v>264</v>
          </cell>
          <cell r="N807">
            <v>314</v>
          </cell>
          <cell r="O807">
            <v>3200.8115234375</v>
          </cell>
          <cell r="P807">
            <v>9220.5063952831515</v>
          </cell>
          <cell r="Q807">
            <v>3077.73388671875</v>
          </cell>
        </row>
        <row r="808">
          <cell r="A808" t="str">
            <v>2GNAXJEV8J6241900</v>
          </cell>
          <cell r="B808">
            <v>2018</v>
          </cell>
          <cell r="C808" t="str">
            <v>CHEVROLET</v>
          </cell>
          <cell r="D808" t="str">
            <v>EQUINOX</v>
          </cell>
          <cell r="E808">
            <v>75554</v>
          </cell>
          <cell r="F808" t="str">
            <v>Grade 3.8</v>
          </cell>
          <cell r="G808" t="str">
            <v>Certified</v>
          </cell>
          <cell r="H808" t="str">
            <v>Yes</v>
          </cell>
          <cell r="I808" t="str">
            <v>No</v>
          </cell>
          <cell r="J808">
            <v>45692</v>
          </cell>
          <cell r="K808" t="str">
            <v>Yes</v>
          </cell>
          <cell r="L808">
            <v>44121</v>
          </cell>
          <cell r="M808">
            <v>280</v>
          </cell>
          <cell r="N808">
            <v>330</v>
          </cell>
          <cell r="O808">
            <v>10667.2255859375</v>
          </cell>
          <cell r="P808">
            <v>10489.918602454931</v>
          </cell>
          <cell r="Q808">
            <v>10783.1630859375</v>
          </cell>
        </row>
        <row r="809">
          <cell r="A809" t="str">
            <v>JM3TB3MA6A0238004</v>
          </cell>
          <cell r="B809">
            <v>2010</v>
          </cell>
          <cell r="C809" t="str">
            <v>MAZDA</v>
          </cell>
          <cell r="D809" t="str">
            <v>CX-9</v>
          </cell>
          <cell r="E809">
            <v>141211</v>
          </cell>
          <cell r="F809" t="str">
            <v>Grade 2.2</v>
          </cell>
          <cell r="G809" t="str">
            <v>Red Light</v>
          </cell>
          <cell r="H809" t="str">
            <v>No</v>
          </cell>
          <cell r="I809" t="str">
            <v>Yes</v>
          </cell>
          <cell r="J809">
            <v>45664</v>
          </cell>
          <cell r="K809" t="str">
            <v>Yes</v>
          </cell>
          <cell r="L809">
            <v>44121</v>
          </cell>
          <cell r="M809">
            <v>280</v>
          </cell>
          <cell r="N809">
            <v>330</v>
          </cell>
          <cell r="O809">
            <v>887.5302734375</v>
          </cell>
          <cell r="P809">
            <v>8986.164644020746</v>
          </cell>
          <cell r="Q809">
            <v>1083.871215820312</v>
          </cell>
        </row>
        <row r="810">
          <cell r="A810" t="str">
            <v>WDCTG4EB8HJ321682</v>
          </cell>
          <cell r="B810">
            <v>2017</v>
          </cell>
          <cell r="C810" t="str">
            <v>MERCEDES-BENZ</v>
          </cell>
          <cell r="D810" t="str">
            <v>GLA 250</v>
          </cell>
          <cell r="E810">
            <v>86613</v>
          </cell>
          <cell r="F810" t="str">
            <v>Grade 2.9</v>
          </cell>
          <cell r="G810" t="str">
            <v>Red Light</v>
          </cell>
          <cell r="H810" t="str">
            <v>No</v>
          </cell>
          <cell r="I810" t="str">
            <v>Yes</v>
          </cell>
          <cell r="J810">
            <v>45734</v>
          </cell>
          <cell r="K810" t="str">
            <v>Yes</v>
          </cell>
          <cell r="L810">
            <v>44121</v>
          </cell>
          <cell r="M810">
            <v>280</v>
          </cell>
          <cell r="N810">
            <v>330</v>
          </cell>
          <cell r="O810">
            <v>5904.8388671875</v>
          </cell>
          <cell r="P810">
            <v>10079.06929053201</v>
          </cell>
          <cell r="Q810">
            <v>5955.173828125</v>
          </cell>
        </row>
        <row r="811">
          <cell r="A811" t="str">
            <v>1C3CCCAB3FN502636</v>
          </cell>
          <cell r="B811">
            <v>2015</v>
          </cell>
          <cell r="C811" t="str">
            <v>CHRYSLER</v>
          </cell>
          <cell r="D811" t="str">
            <v>200 FWD 4C</v>
          </cell>
          <cell r="E811">
            <v>175148</v>
          </cell>
          <cell r="F811" t="str">
            <v>Grade 1.3</v>
          </cell>
          <cell r="G811" t="str">
            <v>Red Light</v>
          </cell>
          <cell r="H811" t="str">
            <v>No</v>
          </cell>
          <cell r="I811" t="str">
            <v>Yes</v>
          </cell>
          <cell r="J811">
            <v>45435</v>
          </cell>
          <cell r="K811" t="str">
            <v>Yes</v>
          </cell>
          <cell r="L811">
            <v>44128</v>
          </cell>
          <cell r="M811">
            <v>264</v>
          </cell>
          <cell r="N811">
            <v>314</v>
          </cell>
          <cell r="O811">
            <v>1173.910400390625</v>
          </cell>
          <cell r="P811">
            <v>8782.288646543524</v>
          </cell>
          <cell r="Q811">
            <v>1281.388061523438</v>
          </cell>
        </row>
        <row r="812">
          <cell r="A812" t="str">
            <v>1C3CDFBB2FD237677</v>
          </cell>
          <cell r="B812">
            <v>2015</v>
          </cell>
          <cell r="C812" t="str">
            <v>DODGE</v>
          </cell>
          <cell r="D812" t="str">
            <v>DART</v>
          </cell>
          <cell r="E812">
            <v>109570</v>
          </cell>
          <cell r="F812" t="str">
            <v>Grade 2.9</v>
          </cell>
          <cell r="G812" t="str">
            <v>Green Light</v>
          </cell>
          <cell r="H812" t="str">
            <v>Yes</v>
          </cell>
          <cell r="I812" t="str">
            <v>No</v>
          </cell>
          <cell r="J812">
            <v>45449</v>
          </cell>
          <cell r="K812" t="str">
            <v>Yes</v>
          </cell>
          <cell r="L812">
            <v>44128</v>
          </cell>
          <cell r="M812">
            <v>264</v>
          </cell>
          <cell r="N812">
            <v>314</v>
          </cell>
          <cell r="O812">
            <v>3203.23486328125</v>
          </cell>
          <cell r="P812">
            <v>8912.0418094028137</v>
          </cell>
          <cell r="Q812">
            <v>3070.48291015625</v>
          </cell>
        </row>
        <row r="813">
          <cell r="A813" t="str">
            <v>1C4NJCEA0GD633428</v>
          </cell>
          <cell r="B813">
            <v>2016</v>
          </cell>
          <cell r="C813" t="str">
            <v>JEEP</v>
          </cell>
          <cell r="D813" t="str">
            <v>COMPASS</v>
          </cell>
          <cell r="E813">
            <v>164927</v>
          </cell>
          <cell r="F813" t="str">
            <v>Grade 2.2</v>
          </cell>
          <cell r="G813" t="str">
            <v>Green/Yellow</v>
          </cell>
          <cell r="H813" t="str">
            <v>Yes</v>
          </cell>
          <cell r="I813" t="str">
            <v>No</v>
          </cell>
          <cell r="J813">
            <v>45454</v>
          </cell>
          <cell r="K813" t="str">
            <v>Yes</v>
          </cell>
          <cell r="L813">
            <v>44128</v>
          </cell>
          <cell r="M813">
            <v>264</v>
          </cell>
          <cell r="N813">
            <v>314</v>
          </cell>
          <cell r="O813">
            <v>2195.900390625</v>
          </cell>
          <cell r="P813">
            <v>9188.3846158808974</v>
          </cell>
          <cell r="Q813">
            <v>2105.391845703125</v>
          </cell>
        </row>
        <row r="814">
          <cell r="A814" t="str">
            <v>1C4NJCEA3GD744541</v>
          </cell>
          <cell r="B814">
            <v>2016</v>
          </cell>
          <cell r="C814" t="str">
            <v>JEEP</v>
          </cell>
          <cell r="D814" t="str">
            <v>COMPASS</v>
          </cell>
          <cell r="E814">
            <v>139375</v>
          </cell>
          <cell r="F814" t="str">
            <v>Grade 2.0</v>
          </cell>
          <cell r="G814" t="str">
            <v>Red Light</v>
          </cell>
          <cell r="H814" t="str">
            <v>No</v>
          </cell>
          <cell r="I814" t="str">
            <v>Yes</v>
          </cell>
          <cell r="J814">
            <v>45552</v>
          </cell>
          <cell r="K814" t="str">
            <v>Yes</v>
          </cell>
          <cell r="L814">
            <v>44128</v>
          </cell>
          <cell r="M814">
            <v>264</v>
          </cell>
          <cell r="N814">
            <v>314</v>
          </cell>
          <cell r="O814">
            <v>2447.08740234375</v>
          </cell>
          <cell r="P814">
            <v>9215.8971733792096</v>
          </cell>
          <cell r="Q814">
            <v>2321.60986328125</v>
          </cell>
        </row>
        <row r="815">
          <cell r="A815" t="str">
            <v>1C4NJPBA4ED775001</v>
          </cell>
          <cell r="B815">
            <v>2014</v>
          </cell>
          <cell r="C815" t="str">
            <v>JEEP</v>
          </cell>
          <cell r="D815" t="str">
            <v>PATRIOT FWD 4C</v>
          </cell>
          <cell r="E815">
            <v>134623</v>
          </cell>
          <cell r="F815" t="str">
            <v>Grade 1.4</v>
          </cell>
          <cell r="G815" t="str">
            <v>Red Light</v>
          </cell>
          <cell r="H815" t="str">
            <v>No</v>
          </cell>
          <cell r="I815" t="str">
            <v>Yes</v>
          </cell>
          <cell r="J815">
            <v>45701</v>
          </cell>
          <cell r="K815" t="str">
            <v>Yes</v>
          </cell>
          <cell r="L815">
            <v>44128</v>
          </cell>
          <cell r="M815">
            <v>264</v>
          </cell>
          <cell r="N815">
            <v>314</v>
          </cell>
          <cell r="O815">
            <v>1727.49072265625</v>
          </cell>
          <cell r="P815">
            <v>9122.5184998862842</v>
          </cell>
          <cell r="Q815">
            <v>1672.987060546875</v>
          </cell>
        </row>
        <row r="816">
          <cell r="A816" t="str">
            <v>1C4NJRFB2ED824730</v>
          </cell>
          <cell r="B816">
            <v>2014</v>
          </cell>
          <cell r="C816" t="str">
            <v>JEEP</v>
          </cell>
          <cell r="D816" t="str">
            <v>PATRIOT 4X4 4C</v>
          </cell>
          <cell r="E816">
            <v>134249</v>
          </cell>
          <cell r="F816" t="str">
            <v>Grade 2.6</v>
          </cell>
          <cell r="G816" t="str">
            <v>Red Light</v>
          </cell>
          <cell r="H816" t="str">
            <v>No</v>
          </cell>
          <cell r="I816" t="str">
            <v>Yes</v>
          </cell>
          <cell r="J816">
            <v>45673</v>
          </cell>
          <cell r="K816" t="str">
            <v>Yes</v>
          </cell>
          <cell r="L816">
            <v>44128</v>
          </cell>
          <cell r="M816">
            <v>264</v>
          </cell>
          <cell r="N816">
            <v>314</v>
          </cell>
          <cell r="O816">
            <v>1931.418701171875</v>
          </cell>
          <cell r="P816">
            <v>9219.4667864989478</v>
          </cell>
          <cell r="Q816">
            <v>1892.78857421875</v>
          </cell>
        </row>
        <row r="817">
          <cell r="A817" t="str">
            <v>1C4PJLDS9EW238135</v>
          </cell>
          <cell r="B817">
            <v>2014</v>
          </cell>
          <cell r="C817" t="str">
            <v>JEEP</v>
          </cell>
          <cell r="D817" t="str">
            <v>CHEROKEE FWD V6</v>
          </cell>
          <cell r="E817">
            <v>117237</v>
          </cell>
          <cell r="F817" t="str">
            <v>Grade 2.4</v>
          </cell>
          <cell r="G817" t="str">
            <v>Red Light</v>
          </cell>
          <cell r="H817" t="str">
            <v>No</v>
          </cell>
          <cell r="I817" t="str">
            <v>Yes</v>
          </cell>
          <cell r="J817">
            <v>45568</v>
          </cell>
          <cell r="K817" t="str">
            <v>Yes</v>
          </cell>
          <cell r="L817">
            <v>44128</v>
          </cell>
          <cell r="M817">
            <v>264</v>
          </cell>
          <cell r="N817">
            <v>314</v>
          </cell>
          <cell r="O817">
            <v>2449.5537109375</v>
          </cell>
          <cell r="P817">
            <v>9196.4892335764544</v>
          </cell>
          <cell r="Q817">
            <v>2321.60986328125</v>
          </cell>
        </row>
        <row r="818">
          <cell r="A818" t="str">
            <v>1C4PJMAK4CW118380</v>
          </cell>
          <cell r="B818">
            <v>2012</v>
          </cell>
          <cell r="C818" t="str">
            <v>JEEP</v>
          </cell>
          <cell r="D818" t="str">
            <v>LIBERTY</v>
          </cell>
          <cell r="E818">
            <v>84056</v>
          </cell>
          <cell r="F818" t="str">
            <v>Grade 1.0</v>
          </cell>
          <cell r="G818" t="str">
            <v>Inoperable</v>
          </cell>
          <cell r="H818" t="str">
            <v>No</v>
          </cell>
          <cell r="I818" t="str">
            <v>Yes</v>
          </cell>
          <cell r="J818">
            <v>45622</v>
          </cell>
          <cell r="K818" t="str">
            <v>Yes</v>
          </cell>
          <cell r="L818">
            <v>44128</v>
          </cell>
          <cell r="M818">
            <v>264</v>
          </cell>
          <cell r="N818">
            <v>314</v>
          </cell>
          <cell r="O818">
            <v>3005.4287109375</v>
          </cell>
          <cell r="P818">
            <v>9398.8038258645884</v>
          </cell>
          <cell r="Q818">
            <v>2970.3740234375</v>
          </cell>
        </row>
        <row r="819">
          <cell r="A819" t="str">
            <v>1C4RDJDG7MC694702</v>
          </cell>
          <cell r="B819">
            <v>2021</v>
          </cell>
          <cell r="C819" t="str">
            <v>DODGE</v>
          </cell>
          <cell r="D819" t="str">
            <v>DURANGO</v>
          </cell>
          <cell r="E819">
            <v>51759</v>
          </cell>
          <cell r="F819" t="str">
            <v>Grade 3.8</v>
          </cell>
          <cell r="G819" t="str">
            <v>Certified</v>
          </cell>
          <cell r="H819" t="str">
            <v>Yes</v>
          </cell>
          <cell r="I819" t="str">
            <v>No</v>
          </cell>
          <cell r="J819">
            <v>45538</v>
          </cell>
          <cell r="K819" t="str">
            <v>Yes</v>
          </cell>
          <cell r="L819">
            <v>44128</v>
          </cell>
          <cell r="M819">
            <v>264</v>
          </cell>
          <cell r="N819">
            <v>314</v>
          </cell>
          <cell r="O819">
            <v>19964.494140625</v>
          </cell>
          <cell r="P819">
            <v>14740.640980210679</v>
          </cell>
          <cell r="Q819">
            <v>19977.6953125</v>
          </cell>
        </row>
        <row r="820">
          <cell r="A820" t="str">
            <v>1C4RJKBG8M8162475</v>
          </cell>
          <cell r="B820">
            <v>2021</v>
          </cell>
          <cell r="C820" t="str">
            <v>JEEP</v>
          </cell>
          <cell r="D820" t="str">
            <v>GRAND CHEROKEE L</v>
          </cell>
          <cell r="E820">
            <v>30002</v>
          </cell>
          <cell r="F820" t="str">
            <v>Grade 2.0</v>
          </cell>
          <cell r="G820" t="str">
            <v>Green/Yellow</v>
          </cell>
          <cell r="H820" t="str">
            <v>Yes</v>
          </cell>
          <cell r="I820" t="str">
            <v>No</v>
          </cell>
          <cell r="J820">
            <v>45468</v>
          </cell>
          <cell r="K820" t="str">
            <v>Yes</v>
          </cell>
          <cell r="L820">
            <v>44128</v>
          </cell>
          <cell r="M820">
            <v>264</v>
          </cell>
          <cell r="N820">
            <v>314</v>
          </cell>
          <cell r="O820">
            <v>14689.2646484375</v>
          </cell>
          <cell r="P820">
            <v>13990.64374826415</v>
          </cell>
          <cell r="Q820">
            <v>14251.421875</v>
          </cell>
        </row>
        <row r="821">
          <cell r="A821" t="str">
            <v>1FA6P0HD9G5120329</v>
          </cell>
          <cell r="B821">
            <v>2016</v>
          </cell>
          <cell r="C821" t="str">
            <v>FORD</v>
          </cell>
          <cell r="D821" t="str">
            <v>FUSION</v>
          </cell>
          <cell r="E821">
            <v>105821</v>
          </cell>
          <cell r="F821" t="str">
            <v>Grade 1.3</v>
          </cell>
          <cell r="G821" t="str">
            <v>Red Light</v>
          </cell>
          <cell r="H821" t="str">
            <v>No</v>
          </cell>
          <cell r="I821" t="str">
            <v>Yes</v>
          </cell>
          <cell r="J821">
            <v>45594</v>
          </cell>
          <cell r="K821" t="str">
            <v>Yes</v>
          </cell>
          <cell r="L821">
            <v>44128</v>
          </cell>
          <cell r="M821">
            <v>264</v>
          </cell>
          <cell r="N821">
            <v>314</v>
          </cell>
          <cell r="O821">
            <v>3068.05908203125</v>
          </cell>
          <cell r="P821">
            <v>9090.2531395633268</v>
          </cell>
          <cell r="Q821">
            <v>2896.08837890625</v>
          </cell>
        </row>
        <row r="822">
          <cell r="A822" t="str">
            <v>1FAHP3K23CL407494</v>
          </cell>
          <cell r="B822">
            <v>2012</v>
          </cell>
          <cell r="C822" t="str">
            <v>FORD</v>
          </cell>
          <cell r="D822" t="str">
            <v>FOCUS</v>
          </cell>
          <cell r="E822">
            <v>123559</v>
          </cell>
          <cell r="F822" t="str">
            <v>Grade 1.8</v>
          </cell>
          <cell r="G822" t="str">
            <v>Inoperable</v>
          </cell>
          <cell r="H822" t="str">
            <v>No</v>
          </cell>
          <cell r="I822" t="str">
            <v>Yes</v>
          </cell>
          <cell r="J822">
            <v>45566</v>
          </cell>
          <cell r="K822" t="str">
            <v>Yes</v>
          </cell>
          <cell r="L822">
            <v>44128</v>
          </cell>
          <cell r="M822">
            <v>264</v>
          </cell>
          <cell r="N822">
            <v>314</v>
          </cell>
          <cell r="O822">
            <v>1726.888305664062</v>
          </cell>
          <cell r="P822">
            <v>9083.3643891211414</v>
          </cell>
          <cell r="Q822">
            <v>1672.987060546875</v>
          </cell>
        </row>
        <row r="823">
          <cell r="A823" t="str">
            <v>1FM5K7B92DGC64172</v>
          </cell>
          <cell r="B823">
            <v>2013</v>
          </cell>
          <cell r="C823" t="str">
            <v>FORD</v>
          </cell>
          <cell r="D823" t="str">
            <v>EXPLORER FWD 4C</v>
          </cell>
          <cell r="E823">
            <v>201631</v>
          </cell>
          <cell r="F823" t="str">
            <v>Grade 3.2</v>
          </cell>
          <cell r="G823" t="str">
            <v>Red Light</v>
          </cell>
          <cell r="H823" t="str">
            <v>No</v>
          </cell>
          <cell r="I823" t="str">
            <v>Yes</v>
          </cell>
          <cell r="J823">
            <v>45323</v>
          </cell>
          <cell r="K823" t="str">
            <v>Yes</v>
          </cell>
          <cell r="L823">
            <v>44128</v>
          </cell>
          <cell r="M823">
            <v>264</v>
          </cell>
          <cell r="N823">
            <v>314</v>
          </cell>
          <cell r="O823">
            <v>3351.07275390625</v>
          </cell>
          <cell r="P823">
            <v>9298.1553125163864</v>
          </cell>
          <cell r="Q823">
            <v>3278.65771484375</v>
          </cell>
        </row>
        <row r="824">
          <cell r="A824" t="str">
            <v>1FMCU0GD9KUA26324</v>
          </cell>
          <cell r="B824">
            <v>2019</v>
          </cell>
          <cell r="C824" t="str">
            <v>FORD</v>
          </cell>
          <cell r="D824" t="str">
            <v>ESCAPE</v>
          </cell>
          <cell r="E824">
            <v>34686</v>
          </cell>
          <cell r="F824" t="str">
            <v>Grade 4.6</v>
          </cell>
          <cell r="G824" t="str">
            <v>Certified</v>
          </cell>
          <cell r="H824" t="str">
            <v>Yes</v>
          </cell>
          <cell r="I824" t="str">
            <v>No</v>
          </cell>
          <cell r="J824">
            <v>45454</v>
          </cell>
          <cell r="K824" t="str">
            <v>Yes</v>
          </cell>
          <cell r="L824">
            <v>44128</v>
          </cell>
          <cell r="M824">
            <v>264</v>
          </cell>
          <cell r="N824">
            <v>314</v>
          </cell>
          <cell r="O824">
            <v>13859.6591796875</v>
          </cell>
          <cell r="P824">
            <v>12353.43879558584</v>
          </cell>
          <cell r="Q824">
            <v>13795.61328125</v>
          </cell>
        </row>
        <row r="825">
          <cell r="A825" t="str">
            <v>1FMCU0GDXHUD26768</v>
          </cell>
          <cell r="B825">
            <v>2017</v>
          </cell>
          <cell r="C825" t="str">
            <v>FORD</v>
          </cell>
          <cell r="D825" t="str">
            <v>ESCAPE</v>
          </cell>
          <cell r="E825">
            <v>103281</v>
          </cell>
          <cell r="F825" t="str">
            <v>Grade 1.7</v>
          </cell>
          <cell r="G825" t="str">
            <v>Inoperable</v>
          </cell>
          <cell r="H825" t="str">
            <v>No</v>
          </cell>
          <cell r="I825" t="str">
            <v>Yes</v>
          </cell>
          <cell r="J825">
            <v>45720</v>
          </cell>
          <cell r="K825" t="str">
            <v>Yes</v>
          </cell>
          <cell r="L825">
            <v>44128</v>
          </cell>
          <cell r="M825">
            <v>264</v>
          </cell>
          <cell r="N825">
            <v>314</v>
          </cell>
          <cell r="O825">
            <v>1808.009033203125</v>
          </cell>
          <cell r="P825">
            <v>9202.4762443832715</v>
          </cell>
          <cell r="Q825">
            <v>1755.131225585938</v>
          </cell>
        </row>
        <row r="826">
          <cell r="A826" t="str">
            <v>1FMCU0GX0GUB33344</v>
          </cell>
          <cell r="B826">
            <v>2016</v>
          </cell>
          <cell r="C826" t="str">
            <v>FORD</v>
          </cell>
          <cell r="D826" t="str">
            <v>ESCAPE FWD 4C</v>
          </cell>
          <cell r="E826">
            <v>161310</v>
          </cell>
          <cell r="F826" t="str">
            <v>Grade 2.7</v>
          </cell>
          <cell r="G826" t="str">
            <v>Red Light</v>
          </cell>
          <cell r="H826" t="str">
            <v>No</v>
          </cell>
          <cell r="I826" t="str">
            <v>Yes</v>
          </cell>
          <cell r="J826">
            <v>45463</v>
          </cell>
          <cell r="K826" t="str">
            <v>Yes</v>
          </cell>
          <cell r="L826">
            <v>44128</v>
          </cell>
          <cell r="M826">
            <v>264</v>
          </cell>
          <cell r="N826">
            <v>314</v>
          </cell>
          <cell r="O826">
            <v>2810.0302734375</v>
          </cell>
          <cell r="P826">
            <v>9333.2986627555219</v>
          </cell>
          <cell r="Q826">
            <v>2645.82568359375</v>
          </cell>
        </row>
        <row r="827">
          <cell r="A827" t="str">
            <v>1FMCU0GX7EUB47061</v>
          </cell>
          <cell r="B827">
            <v>2014</v>
          </cell>
          <cell r="C827" t="str">
            <v>FORD</v>
          </cell>
          <cell r="D827" t="str">
            <v>ESCAPE FWD 4C</v>
          </cell>
          <cell r="E827">
            <v>146545</v>
          </cell>
          <cell r="F827" t="str">
            <v>Grade 2.3</v>
          </cell>
          <cell r="G827" t="str">
            <v>Red Light</v>
          </cell>
          <cell r="H827" t="str">
            <v>No</v>
          </cell>
          <cell r="I827" t="str">
            <v>Yes</v>
          </cell>
          <cell r="J827">
            <v>45701</v>
          </cell>
          <cell r="K827" t="str">
            <v>Yes</v>
          </cell>
          <cell r="L827">
            <v>44128</v>
          </cell>
          <cell r="M827">
            <v>264</v>
          </cell>
          <cell r="N827">
            <v>314</v>
          </cell>
          <cell r="O827">
            <v>1897.36865234375</v>
          </cell>
          <cell r="P827">
            <v>9190.1972929737076</v>
          </cell>
          <cell r="Q827">
            <v>1785.74853515625</v>
          </cell>
        </row>
        <row r="828">
          <cell r="A828" t="str">
            <v>1FMCU9GD8JUB81644</v>
          </cell>
          <cell r="B828">
            <v>2018</v>
          </cell>
          <cell r="C828" t="str">
            <v>FORD</v>
          </cell>
          <cell r="D828" t="str">
            <v>ESCAPE 4X4 4C</v>
          </cell>
          <cell r="E828">
            <v>106994</v>
          </cell>
          <cell r="F828" t="str">
            <v>Grade 2.0</v>
          </cell>
          <cell r="G828" t="str">
            <v>Inoperable</v>
          </cell>
          <cell r="H828" t="str">
            <v>No</v>
          </cell>
          <cell r="I828" t="str">
            <v>Yes</v>
          </cell>
          <cell r="J828">
            <v>45547</v>
          </cell>
          <cell r="K828" t="str">
            <v>Yes</v>
          </cell>
          <cell r="L828">
            <v>44128</v>
          </cell>
          <cell r="M828">
            <v>264</v>
          </cell>
          <cell r="N828">
            <v>314</v>
          </cell>
          <cell r="O828">
            <v>5128.39306640625</v>
          </cell>
          <cell r="P828">
            <v>9293.6796064764876</v>
          </cell>
          <cell r="Q828">
            <v>4984.4052734375</v>
          </cell>
        </row>
        <row r="829">
          <cell r="A829" t="str">
            <v>1FMCU9GX1FUA18335</v>
          </cell>
          <cell r="B829">
            <v>2015</v>
          </cell>
          <cell r="C829" t="str">
            <v>FORD</v>
          </cell>
          <cell r="D829" t="str">
            <v>ESCAPE 4X4 4C</v>
          </cell>
          <cell r="E829">
            <v>234603</v>
          </cell>
          <cell r="F829" t="str">
            <v>Grade 2.6</v>
          </cell>
          <cell r="G829" t="str">
            <v>Inoperable</v>
          </cell>
          <cell r="H829" t="str">
            <v>No</v>
          </cell>
          <cell r="I829" t="str">
            <v>Yes</v>
          </cell>
          <cell r="J829">
            <v>45393</v>
          </cell>
          <cell r="K829" t="str">
            <v>Yes</v>
          </cell>
          <cell r="L829">
            <v>44128</v>
          </cell>
          <cell r="M829">
            <v>264</v>
          </cell>
          <cell r="N829">
            <v>314</v>
          </cell>
          <cell r="O829">
            <v>2707.13818359375</v>
          </cell>
          <cell r="P829">
            <v>9301.3912432523175</v>
          </cell>
          <cell r="Q829">
            <v>2556.26416015625</v>
          </cell>
        </row>
        <row r="830">
          <cell r="A830" t="str">
            <v>1FMCU9GX4GUA12806</v>
          </cell>
          <cell r="B830">
            <v>2016</v>
          </cell>
          <cell r="C830" t="str">
            <v>FORD</v>
          </cell>
          <cell r="D830" t="str">
            <v>ESCAPE 4X4 4C</v>
          </cell>
          <cell r="E830">
            <v>110885</v>
          </cell>
          <cell r="F830" t="str">
            <v>Grade 2.6</v>
          </cell>
          <cell r="G830" t="str">
            <v>Red Light</v>
          </cell>
          <cell r="H830" t="str">
            <v>No</v>
          </cell>
          <cell r="I830" t="str">
            <v>Yes</v>
          </cell>
          <cell r="J830">
            <v>45687</v>
          </cell>
          <cell r="K830" t="str">
            <v>Yes</v>
          </cell>
          <cell r="L830">
            <v>44128</v>
          </cell>
          <cell r="M830">
            <v>264</v>
          </cell>
          <cell r="N830">
            <v>314</v>
          </cell>
          <cell r="O830">
            <v>3243.076904296875</v>
          </cell>
          <cell r="P830">
            <v>9329.2772548248558</v>
          </cell>
          <cell r="Q830">
            <v>3148.9013671875</v>
          </cell>
        </row>
        <row r="831">
          <cell r="A831" t="str">
            <v>1FMCU9J99DUD14632</v>
          </cell>
          <cell r="B831">
            <v>2013</v>
          </cell>
          <cell r="C831" t="str">
            <v>FORD</v>
          </cell>
          <cell r="D831" t="str">
            <v>ESCAPE 4X4 4C</v>
          </cell>
          <cell r="E831">
            <v>96445</v>
          </cell>
          <cell r="F831" t="str">
            <v>Grade 4.4</v>
          </cell>
          <cell r="G831" t="str">
            <v>Certified</v>
          </cell>
          <cell r="H831" t="str">
            <v>Yes</v>
          </cell>
          <cell r="I831" t="str">
            <v>No</v>
          </cell>
          <cell r="J831">
            <v>45428</v>
          </cell>
          <cell r="K831" t="str">
            <v>Yes</v>
          </cell>
          <cell r="L831">
            <v>44128</v>
          </cell>
          <cell r="M831">
            <v>264</v>
          </cell>
          <cell r="N831">
            <v>314</v>
          </cell>
          <cell r="O831">
            <v>7300.83203125</v>
          </cell>
          <cell r="P831">
            <v>10196.880122965569</v>
          </cell>
          <cell r="Q831">
            <v>7099.1279296875</v>
          </cell>
        </row>
        <row r="832">
          <cell r="A832" t="str">
            <v>1FTER1EH5KLA86052</v>
          </cell>
          <cell r="B832">
            <v>2019</v>
          </cell>
          <cell r="C832" t="str">
            <v>FORD</v>
          </cell>
          <cell r="D832" t="str">
            <v>RANGER</v>
          </cell>
          <cell r="E832">
            <v>27441</v>
          </cell>
          <cell r="F832" t="str">
            <v>Grade 4.2</v>
          </cell>
          <cell r="G832" t="str">
            <v>Certified</v>
          </cell>
          <cell r="H832" t="str">
            <v>Yes</v>
          </cell>
          <cell r="I832" t="str">
            <v>No</v>
          </cell>
          <cell r="J832">
            <v>45566</v>
          </cell>
          <cell r="K832" t="str">
            <v>Yes</v>
          </cell>
          <cell r="L832">
            <v>44128</v>
          </cell>
          <cell r="M832">
            <v>264</v>
          </cell>
          <cell r="N832">
            <v>314</v>
          </cell>
          <cell r="O832">
            <v>17490.779296875</v>
          </cell>
          <cell r="P832">
            <v>12838.837564255349</v>
          </cell>
          <cell r="Q832">
            <v>17555.337890625</v>
          </cell>
        </row>
        <row r="833">
          <cell r="A833" t="str">
            <v>1FTMF1C80GKD28251</v>
          </cell>
          <cell r="B833">
            <v>2016</v>
          </cell>
          <cell r="C833" t="str">
            <v>FORD</v>
          </cell>
          <cell r="D833" t="str">
            <v>F-150</v>
          </cell>
          <cell r="E833">
            <v>80832</v>
          </cell>
          <cell r="F833" t="str">
            <v>Grade 4.6</v>
          </cell>
          <cell r="G833" t="str">
            <v>Certified</v>
          </cell>
          <cell r="H833" t="str">
            <v>Yes</v>
          </cell>
          <cell r="I833" t="str">
            <v>No</v>
          </cell>
          <cell r="J833">
            <v>45692</v>
          </cell>
          <cell r="K833" t="str">
            <v>Yes</v>
          </cell>
          <cell r="L833">
            <v>44128</v>
          </cell>
          <cell r="M833">
            <v>264</v>
          </cell>
          <cell r="N833">
            <v>314</v>
          </cell>
          <cell r="O833">
            <v>17428.685546875</v>
          </cell>
          <cell r="P833">
            <v>10771.483260799299</v>
          </cell>
          <cell r="Q833">
            <v>18070.1328125</v>
          </cell>
        </row>
        <row r="834">
          <cell r="A834" t="str">
            <v>1G1125S37EU137688</v>
          </cell>
          <cell r="B834">
            <v>2014</v>
          </cell>
          <cell r="C834" t="str">
            <v>CHEVROLET</v>
          </cell>
          <cell r="D834" t="str">
            <v>IMPALA</v>
          </cell>
          <cell r="E834">
            <v>105938</v>
          </cell>
          <cell r="F834" t="str">
            <v>Grade 1.3</v>
          </cell>
          <cell r="G834" t="str">
            <v>Green/Yellow</v>
          </cell>
          <cell r="H834" t="str">
            <v>Yes</v>
          </cell>
          <cell r="I834" t="str">
            <v>No</v>
          </cell>
          <cell r="J834">
            <v>45356</v>
          </cell>
          <cell r="K834" t="str">
            <v>Yes</v>
          </cell>
          <cell r="L834">
            <v>44128</v>
          </cell>
          <cell r="M834">
            <v>264</v>
          </cell>
          <cell r="N834">
            <v>314</v>
          </cell>
          <cell r="O834">
            <v>2678.743896484375</v>
          </cell>
          <cell r="P834">
            <v>9191.953392128913</v>
          </cell>
          <cell r="Q834">
            <v>2505.3798828125</v>
          </cell>
        </row>
        <row r="835">
          <cell r="A835" t="str">
            <v>1G11B5SA0DF304085</v>
          </cell>
          <cell r="B835">
            <v>2013</v>
          </cell>
          <cell r="C835" t="str">
            <v>CHEVROLET</v>
          </cell>
          <cell r="D835" t="str">
            <v>MALIBU</v>
          </cell>
          <cell r="E835">
            <v>80329</v>
          </cell>
          <cell r="F835" t="str">
            <v>Grade 1.0</v>
          </cell>
          <cell r="G835" t="str">
            <v>Salvage</v>
          </cell>
          <cell r="H835" t="str">
            <v>No</v>
          </cell>
          <cell r="I835" t="str">
            <v>Yes</v>
          </cell>
          <cell r="J835">
            <v>45295</v>
          </cell>
          <cell r="K835" t="str">
            <v>Yes</v>
          </cell>
          <cell r="L835">
            <v>44128</v>
          </cell>
          <cell r="M835">
            <v>264</v>
          </cell>
          <cell r="N835">
            <v>314</v>
          </cell>
          <cell r="O835">
            <v>2309.015380859375</v>
          </cell>
          <cell r="P835">
            <v>9448.4857724410085</v>
          </cell>
          <cell r="Q835">
            <v>2255.45654296875</v>
          </cell>
        </row>
        <row r="836">
          <cell r="A836" t="str">
            <v>1G11E5SL6EF231329</v>
          </cell>
          <cell r="B836">
            <v>2014</v>
          </cell>
          <cell r="C836" t="str">
            <v>CHEVROLET</v>
          </cell>
          <cell r="D836" t="str">
            <v>MALIBU</v>
          </cell>
          <cell r="E836">
            <v>129278</v>
          </cell>
          <cell r="F836" t="str">
            <v>Grade 2.0</v>
          </cell>
          <cell r="G836" t="str">
            <v>Inoperable</v>
          </cell>
          <cell r="H836" t="str">
            <v>No</v>
          </cell>
          <cell r="I836" t="str">
            <v>Yes</v>
          </cell>
          <cell r="J836">
            <v>45449</v>
          </cell>
          <cell r="K836" t="str">
            <v>Yes</v>
          </cell>
          <cell r="L836">
            <v>44128</v>
          </cell>
          <cell r="M836">
            <v>264</v>
          </cell>
          <cell r="N836">
            <v>314</v>
          </cell>
          <cell r="O836">
            <v>992.15167236328125</v>
          </cell>
          <cell r="P836">
            <v>9229.3398971799252</v>
          </cell>
          <cell r="Q836">
            <v>1195.601196289062</v>
          </cell>
        </row>
        <row r="837">
          <cell r="A837" t="str">
            <v>1G1BB5SM3J7153523</v>
          </cell>
          <cell r="B837">
            <v>2018</v>
          </cell>
          <cell r="C837" t="str">
            <v>CHEVROLET</v>
          </cell>
          <cell r="D837" t="str">
            <v>CRUZE</v>
          </cell>
          <cell r="E837">
            <v>79923</v>
          </cell>
          <cell r="F837" t="str">
            <v>Grade 3.7</v>
          </cell>
          <cell r="G837" t="str">
            <v>Certified</v>
          </cell>
          <cell r="H837" t="str">
            <v>Yes</v>
          </cell>
          <cell r="I837" t="str">
            <v>No</v>
          </cell>
          <cell r="J837">
            <v>45566</v>
          </cell>
          <cell r="K837" t="str">
            <v>Yes</v>
          </cell>
          <cell r="L837">
            <v>44128</v>
          </cell>
          <cell r="M837">
            <v>264</v>
          </cell>
          <cell r="N837">
            <v>314</v>
          </cell>
          <cell r="O837">
            <v>12372.212890625</v>
          </cell>
          <cell r="P837">
            <v>10420.792671357651</v>
          </cell>
          <cell r="Q837">
            <v>12346.5283203125</v>
          </cell>
        </row>
        <row r="838">
          <cell r="A838" t="str">
            <v>1G1BC5SM1H7154936</v>
          </cell>
          <cell r="B838">
            <v>2017</v>
          </cell>
          <cell r="C838" t="str">
            <v>CHEVROLET</v>
          </cell>
          <cell r="D838" t="str">
            <v>CRUZE</v>
          </cell>
          <cell r="E838">
            <v>101771</v>
          </cell>
          <cell r="F838" t="str">
            <v>Grade 2.1</v>
          </cell>
          <cell r="G838" t="str">
            <v>Green Light</v>
          </cell>
          <cell r="H838" t="str">
            <v>Yes</v>
          </cell>
          <cell r="I838" t="str">
            <v>No</v>
          </cell>
          <cell r="J838">
            <v>45484</v>
          </cell>
          <cell r="K838" t="str">
            <v>Yes</v>
          </cell>
          <cell r="L838">
            <v>44128</v>
          </cell>
          <cell r="M838">
            <v>264</v>
          </cell>
          <cell r="N838">
            <v>314</v>
          </cell>
          <cell r="O838">
            <v>4369.7626953125</v>
          </cell>
          <cell r="P838">
            <v>9232.3503221391966</v>
          </cell>
          <cell r="Q838">
            <v>4356.724609375</v>
          </cell>
        </row>
        <row r="839">
          <cell r="A839" t="str">
            <v>1G1BC5SM6H7240467</v>
          </cell>
          <cell r="B839">
            <v>2017</v>
          </cell>
          <cell r="C839" t="str">
            <v>CHEVROLET</v>
          </cell>
          <cell r="D839" t="str">
            <v>CRUZE</v>
          </cell>
          <cell r="E839">
            <v>51929</v>
          </cell>
          <cell r="F839" t="str">
            <v>Grade 4.3</v>
          </cell>
          <cell r="G839" t="str">
            <v>Certified</v>
          </cell>
          <cell r="H839" t="str">
            <v>Yes</v>
          </cell>
          <cell r="I839" t="str">
            <v>No</v>
          </cell>
          <cell r="J839">
            <v>45566</v>
          </cell>
          <cell r="K839" t="str">
            <v>Yes</v>
          </cell>
          <cell r="L839">
            <v>44128</v>
          </cell>
          <cell r="M839">
            <v>264</v>
          </cell>
          <cell r="N839">
            <v>314</v>
          </cell>
          <cell r="O839">
            <v>14605.19921875</v>
          </cell>
          <cell r="P839">
            <v>12415.842686678739</v>
          </cell>
          <cell r="Q839">
            <v>14589.0830078125</v>
          </cell>
        </row>
        <row r="840">
          <cell r="A840" t="str">
            <v>1G1BE5SM3H7126436</v>
          </cell>
          <cell r="B840">
            <v>2017</v>
          </cell>
          <cell r="C840" t="str">
            <v>CHEVROLET</v>
          </cell>
          <cell r="D840" t="str">
            <v>CRUZE</v>
          </cell>
          <cell r="E840">
            <v>163987</v>
          </cell>
          <cell r="F840" t="str">
            <v>Grade 2.4</v>
          </cell>
          <cell r="G840" t="str">
            <v>Red Light</v>
          </cell>
          <cell r="H840" t="str">
            <v>No</v>
          </cell>
          <cell r="I840" t="str">
            <v>Yes</v>
          </cell>
          <cell r="J840">
            <v>45552</v>
          </cell>
          <cell r="K840" t="str">
            <v>Yes</v>
          </cell>
          <cell r="L840">
            <v>44128</v>
          </cell>
          <cell r="M840">
            <v>264</v>
          </cell>
          <cell r="N840">
            <v>314</v>
          </cell>
          <cell r="O840">
            <v>3006.138427734375</v>
          </cell>
          <cell r="P840">
            <v>9211.4457973254139</v>
          </cell>
          <cell r="Q840">
            <v>2870.62841796875</v>
          </cell>
        </row>
        <row r="841">
          <cell r="A841" t="str">
            <v>1G1JC6SH5F4146891</v>
          </cell>
          <cell r="B841">
            <v>2015</v>
          </cell>
          <cell r="C841" t="str">
            <v>CHEVROLET</v>
          </cell>
          <cell r="D841" t="str">
            <v>SONIC</v>
          </cell>
          <cell r="E841">
            <v>105467</v>
          </cell>
          <cell r="F841" t="str">
            <v>Grade 2.3</v>
          </cell>
          <cell r="G841" t="str">
            <v>Green Light</v>
          </cell>
          <cell r="H841" t="str">
            <v>Yes</v>
          </cell>
          <cell r="I841" t="str">
            <v>No</v>
          </cell>
          <cell r="J841">
            <v>45342</v>
          </cell>
          <cell r="K841" t="str">
            <v>Yes</v>
          </cell>
          <cell r="L841">
            <v>44128</v>
          </cell>
          <cell r="M841">
            <v>264</v>
          </cell>
          <cell r="N841">
            <v>314</v>
          </cell>
          <cell r="O841">
            <v>3300.971435546875</v>
          </cell>
          <cell r="P841">
            <v>9193.4210898111123</v>
          </cell>
          <cell r="Q841">
            <v>3212.71337890625</v>
          </cell>
        </row>
        <row r="842">
          <cell r="A842" t="str">
            <v>1G1JD5SH4J4137017</v>
          </cell>
          <cell r="B842">
            <v>2018</v>
          </cell>
          <cell r="C842" t="str">
            <v>CHEVROLET</v>
          </cell>
          <cell r="D842" t="str">
            <v>SONIC</v>
          </cell>
          <cell r="E842">
            <v>59378</v>
          </cell>
          <cell r="F842" t="str">
            <v>Grade 1.0</v>
          </cell>
          <cell r="G842" t="str">
            <v>Inoperable</v>
          </cell>
          <cell r="H842" t="str">
            <v>No</v>
          </cell>
          <cell r="I842" t="str">
            <v>Yes</v>
          </cell>
          <cell r="J842">
            <v>45594</v>
          </cell>
          <cell r="K842" t="str">
            <v>Yes</v>
          </cell>
          <cell r="L842">
            <v>44128</v>
          </cell>
          <cell r="M842">
            <v>264</v>
          </cell>
          <cell r="N842">
            <v>314</v>
          </cell>
          <cell r="O842">
            <v>6383.50732421875</v>
          </cell>
          <cell r="P842">
            <v>11126.53810011747</v>
          </cell>
          <cell r="Q842">
            <v>6052.29443359375</v>
          </cell>
        </row>
        <row r="843">
          <cell r="A843" t="str">
            <v>1G1JF5SB3L4113235</v>
          </cell>
          <cell r="B843">
            <v>2020</v>
          </cell>
          <cell r="C843" t="str">
            <v>CHEVROLET</v>
          </cell>
          <cell r="D843" t="str">
            <v>SONIC</v>
          </cell>
          <cell r="E843">
            <v>69590</v>
          </cell>
          <cell r="F843" t="str">
            <v>Grade 4.3</v>
          </cell>
          <cell r="G843" t="str">
            <v>Certified</v>
          </cell>
          <cell r="H843" t="str">
            <v>Yes</v>
          </cell>
          <cell r="I843" t="str">
            <v>No</v>
          </cell>
          <cell r="J843">
            <v>45538</v>
          </cell>
          <cell r="K843" t="str">
            <v>Yes</v>
          </cell>
          <cell r="L843">
            <v>44128</v>
          </cell>
          <cell r="M843">
            <v>264</v>
          </cell>
          <cell r="N843">
            <v>314</v>
          </cell>
          <cell r="O843">
            <v>15174.8125</v>
          </cell>
          <cell r="P843">
            <v>11922.99000614465</v>
          </cell>
          <cell r="Q843">
            <v>15255.796875</v>
          </cell>
        </row>
        <row r="844">
          <cell r="A844" t="str">
            <v>1G1ZB5ST7HF183131</v>
          </cell>
          <cell r="B844">
            <v>2017</v>
          </cell>
          <cell r="C844" t="str">
            <v>CHEVROLET</v>
          </cell>
          <cell r="D844" t="str">
            <v>MALIBU</v>
          </cell>
          <cell r="E844">
            <v>77710</v>
          </cell>
          <cell r="F844" t="str">
            <v>Grade 1.0</v>
          </cell>
          <cell r="G844" t="str">
            <v>Inoperable</v>
          </cell>
          <cell r="H844" t="str">
            <v>No</v>
          </cell>
          <cell r="I844" t="str">
            <v>Yes</v>
          </cell>
          <cell r="J844">
            <v>45496</v>
          </cell>
          <cell r="K844" t="str">
            <v>Yes</v>
          </cell>
          <cell r="L844">
            <v>44128</v>
          </cell>
          <cell r="M844">
            <v>264</v>
          </cell>
          <cell r="N844">
            <v>314</v>
          </cell>
          <cell r="O844">
            <v>3588.253173828125</v>
          </cell>
          <cell r="P844">
            <v>9480.5581416397727</v>
          </cell>
          <cell r="Q844">
            <v>3595.61181640625</v>
          </cell>
        </row>
        <row r="845">
          <cell r="A845" t="str">
            <v>1G4GB5G34EF167354</v>
          </cell>
          <cell r="B845">
            <v>2014</v>
          </cell>
          <cell r="C845" t="str">
            <v>BUICK</v>
          </cell>
          <cell r="D845" t="str">
            <v>LACROSSE</v>
          </cell>
          <cell r="E845">
            <v>100091</v>
          </cell>
          <cell r="F845" t="str">
            <v>Grade 4.3</v>
          </cell>
          <cell r="G845" t="str">
            <v>Certified</v>
          </cell>
          <cell r="H845" t="str">
            <v>Yes</v>
          </cell>
          <cell r="I845" t="str">
            <v>No</v>
          </cell>
          <cell r="J845">
            <v>45664</v>
          </cell>
          <cell r="K845" t="str">
            <v>Yes</v>
          </cell>
          <cell r="L845">
            <v>44128</v>
          </cell>
          <cell r="M845">
            <v>264</v>
          </cell>
          <cell r="N845">
            <v>314</v>
          </cell>
          <cell r="O845">
            <v>6674.67822265625</v>
          </cell>
          <cell r="P845">
            <v>9899.5675504915089</v>
          </cell>
          <cell r="Q845">
            <v>6843.30517578125</v>
          </cell>
        </row>
        <row r="846">
          <cell r="A846" t="str">
            <v>1G6DG5EG0A0149495</v>
          </cell>
          <cell r="B846">
            <v>2010</v>
          </cell>
          <cell r="C846" t="str">
            <v>CADILLAC</v>
          </cell>
          <cell r="D846" t="str">
            <v>CTS</v>
          </cell>
          <cell r="E846">
            <v>73346</v>
          </cell>
          <cell r="F846" t="str">
            <v>Grade 3.5</v>
          </cell>
          <cell r="G846" t="str">
            <v>Green Light</v>
          </cell>
          <cell r="H846" t="str">
            <v>Yes</v>
          </cell>
          <cell r="I846" t="str">
            <v>No</v>
          </cell>
          <cell r="J846">
            <v>45356</v>
          </cell>
          <cell r="K846" t="str">
            <v>Yes</v>
          </cell>
          <cell r="L846">
            <v>44128</v>
          </cell>
          <cell r="M846">
            <v>264</v>
          </cell>
          <cell r="N846">
            <v>314</v>
          </cell>
          <cell r="O846">
            <v>6173.7294921875</v>
          </cell>
          <cell r="P846">
            <v>9180.7120851435302</v>
          </cell>
          <cell r="Q846">
            <v>6160.89794921875</v>
          </cell>
        </row>
        <row r="847">
          <cell r="A847" t="str">
            <v>1GCVKPECXHZ324074</v>
          </cell>
          <cell r="B847">
            <v>2017</v>
          </cell>
          <cell r="C847" t="str">
            <v>CHEVROLET</v>
          </cell>
          <cell r="D847" t="str">
            <v>SILVERADO 1500</v>
          </cell>
          <cell r="E847">
            <v>136007</v>
          </cell>
          <cell r="F847" t="str">
            <v>Grade 1.8</v>
          </cell>
          <cell r="G847" t="str">
            <v>Green Light</v>
          </cell>
          <cell r="H847" t="str">
            <v>Yes</v>
          </cell>
          <cell r="I847" t="str">
            <v>No</v>
          </cell>
          <cell r="J847">
            <v>45412</v>
          </cell>
          <cell r="K847" t="str">
            <v>Yes</v>
          </cell>
          <cell r="L847">
            <v>44128</v>
          </cell>
          <cell r="M847">
            <v>264</v>
          </cell>
          <cell r="N847">
            <v>314</v>
          </cell>
          <cell r="O847">
            <v>6025.73388671875</v>
          </cell>
          <cell r="P847">
            <v>10619.92050527852</v>
          </cell>
          <cell r="Q847">
            <v>5684.71484375</v>
          </cell>
        </row>
        <row r="848">
          <cell r="A848" t="str">
            <v>1GNFLFEK6EZ120376</v>
          </cell>
          <cell r="B848">
            <v>2014</v>
          </cell>
          <cell r="C848" t="str">
            <v>CHEVROLET</v>
          </cell>
          <cell r="D848" t="str">
            <v>EQUINOX</v>
          </cell>
          <cell r="E848">
            <v>117555</v>
          </cell>
          <cell r="F848" t="str">
            <v>Grade 2.7</v>
          </cell>
          <cell r="G848" t="str">
            <v>Green Light</v>
          </cell>
          <cell r="H848" t="str">
            <v>Yes</v>
          </cell>
          <cell r="I848" t="str">
            <v>No</v>
          </cell>
          <cell r="J848">
            <v>45720</v>
          </cell>
          <cell r="K848" t="str">
            <v>Yes</v>
          </cell>
          <cell r="L848">
            <v>44128</v>
          </cell>
          <cell r="M848">
            <v>264</v>
          </cell>
          <cell r="N848">
            <v>314</v>
          </cell>
          <cell r="O848">
            <v>1848.0732421875</v>
          </cell>
          <cell r="P848">
            <v>9383.1771879786029</v>
          </cell>
          <cell r="Q848">
            <v>1822.751098632812</v>
          </cell>
        </row>
        <row r="849">
          <cell r="A849" t="str">
            <v>1GNKVGKD8HJ251025</v>
          </cell>
          <cell r="B849">
            <v>2017</v>
          </cell>
          <cell r="C849" t="str">
            <v>CHEVROLET</v>
          </cell>
          <cell r="D849" t="str">
            <v>TRAVERSE AWD</v>
          </cell>
          <cell r="E849">
            <v>164486</v>
          </cell>
          <cell r="F849" t="str">
            <v>Grade 2.9</v>
          </cell>
          <cell r="G849" t="str">
            <v>Red Light</v>
          </cell>
          <cell r="H849" t="str">
            <v>No</v>
          </cell>
          <cell r="I849" t="str">
            <v>Yes</v>
          </cell>
          <cell r="J849">
            <v>45617</v>
          </cell>
          <cell r="K849" t="str">
            <v>Yes</v>
          </cell>
          <cell r="L849">
            <v>44128</v>
          </cell>
          <cell r="M849">
            <v>264</v>
          </cell>
          <cell r="N849">
            <v>314</v>
          </cell>
          <cell r="O849">
            <v>2748.732666015625</v>
          </cell>
          <cell r="P849">
            <v>9451.0969287322132</v>
          </cell>
          <cell r="Q849">
            <v>2713.12353515625</v>
          </cell>
        </row>
        <row r="850">
          <cell r="A850" t="str">
            <v>1HGCT1B33DA007009</v>
          </cell>
          <cell r="B850">
            <v>2013</v>
          </cell>
          <cell r="C850" t="str">
            <v>HONDA</v>
          </cell>
          <cell r="D850" t="str">
            <v>ACCORD 4C</v>
          </cell>
          <cell r="E850">
            <v>126124</v>
          </cell>
          <cell r="F850" t="str">
            <v>Grade 2.7</v>
          </cell>
          <cell r="G850" t="str">
            <v>Green Light</v>
          </cell>
          <cell r="H850" t="str">
            <v>Yes</v>
          </cell>
          <cell r="I850" t="str">
            <v>No</v>
          </cell>
          <cell r="J850">
            <v>45435</v>
          </cell>
          <cell r="K850" t="str">
            <v>Yes</v>
          </cell>
          <cell r="L850">
            <v>44128</v>
          </cell>
          <cell r="M850">
            <v>264</v>
          </cell>
          <cell r="N850">
            <v>314</v>
          </cell>
          <cell r="O850">
            <v>2765.628662109375</v>
          </cell>
          <cell r="P850">
            <v>9119.2846749855562</v>
          </cell>
          <cell r="Q850">
            <v>2601.28369140625</v>
          </cell>
        </row>
        <row r="851">
          <cell r="A851" t="str">
            <v>1N4AA6AP8GC405473</v>
          </cell>
          <cell r="B851">
            <v>2016</v>
          </cell>
          <cell r="C851" t="str">
            <v>NISSAN</v>
          </cell>
          <cell r="D851" t="str">
            <v>MAXIMA</v>
          </cell>
          <cell r="E851">
            <v>131829</v>
          </cell>
          <cell r="F851" t="str">
            <v>Grade 2.0</v>
          </cell>
          <cell r="G851" t="str">
            <v>Inoperable</v>
          </cell>
          <cell r="H851" t="str">
            <v>No</v>
          </cell>
          <cell r="I851" t="str">
            <v>Yes</v>
          </cell>
          <cell r="J851">
            <v>45435</v>
          </cell>
          <cell r="K851" t="str">
            <v>Yes</v>
          </cell>
          <cell r="L851">
            <v>44128</v>
          </cell>
          <cell r="M851">
            <v>264</v>
          </cell>
          <cell r="N851">
            <v>314</v>
          </cell>
          <cell r="O851">
            <v>2220.401123046875</v>
          </cell>
          <cell r="P851">
            <v>8839.083978825367</v>
          </cell>
          <cell r="Q851">
            <v>2103.21630859375</v>
          </cell>
        </row>
        <row r="852">
          <cell r="A852" t="str">
            <v>1N4AL3AP3FN881304</v>
          </cell>
          <cell r="B852">
            <v>2015</v>
          </cell>
          <cell r="C852" t="str">
            <v>NISSAN</v>
          </cell>
          <cell r="D852" t="str">
            <v>ALTIMA</v>
          </cell>
          <cell r="E852">
            <v>124538</v>
          </cell>
          <cell r="F852" t="str">
            <v>Grade 3.4</v>
          </cell>
          <cell r="G852" t="str">
            <v>Green Light</v>
          </cell>
          <cell r="H852" t="str">
            <v>Yes</v>
          </cell>
          <cell r="I852" t="str">
            <v>No</v>
          </cell>
          <cell r="J852">
            <v>45440</v>
          </cell>
          <cell r="K852" t="str">
            <v>Yes</v>
          </cell>
          <cell r="L852">
            <v>44128</v>
          </cell>
          <cell r="M852">
            <v>264</v>
          </cell>
          <cell r="N852">
            <v>314</v>
          </cell>
          <cell r="O852">
            <v>4578.3916015625</v>
          </cell>
          <cell r="P852">
            <v>8867.1980258651929</v>
          </cell>
          <cell r="Q852">
            <v>4464.6181640625</v>
          </cell>
        </row>
        <row r="853">
          <cell r="A853" t="str">
            <v>1V2SC2CA6NC222515</v>
          </cell>
          <cell r="B853">
            <v>2022</v>
          </cell>
          <cell r="C853" t="str">
            <v>VOLKSWAGEN</v>
          </cell>
          <cell r="D853" t="str">
            <v>ATLAS CROSS SPORT</v>
          </cell>
          <cell r="E853">
            <v>23520</v>
          </cell>
          <cell r="F853" t="str">
            <v>Grade 4.8</v>
          </cell>
          <cell r="G853" t="str">
            <v>Certified</v>
          </cell>
          <cell r="H853" t="str">
            <v>Yes</v>
          </cell>
          <cell r="I853" t="str">
            <v>No</v>
          </cell>
          <cell r="J853">
            <v>45328</v>
          </cell>
          <cell r="K853" t="str">
            <v>Yes</v>
          </cell>
          <cell r="L853">
            <v>44128</v>
          </cell>
          <cell r="M853">
            <v>264</v>
          </cell>
          <cell r="N853">
            <v>314</v>
          </cell>
          <cell r="O853">
            <v>20033.486328125</v>
          </cell>
          <cell r="P853">
            <v>14394.699555351481</v>
          </cell>
          <cell r="Q853">
            <v>19977.6953125</v>
          </cell>
        </row>
        <row r="854">
          <cell r="A854" t="str">
            <v>1VWBA7A3XJC013455</v>
          </cell>
          <cell r="B854">
            <v>2018</v>
          </cell>
          <cell r="C854" t="str">
            <v>VOLKSWAGEN</v>
          </cell>
          <cell r="D854" t="str">
            <v>PASSAT</v>
          </cell>
          <cell r="E854">
            <v>132752</v>
          </cell>
          <cell r="F854" t="str">
            <v>Grade 1.7</v>
          </cell>
          <cell r="G854" t="str">
            <v>Inoperable</v>
          </cell>
          <cell r="H854" t="str">
            <v>No</v>
          </cell>
          <cell r="I854" t="str">
            <v>Yes</v>
          </cell>
          <cell r="J854">
            <v>45580</v>
          </cell>
          <cell r="K854" t="str">
            <v>Yes</v>
          </cell>
          <cell r="L854">
            <v>44128</v>
          </cell>
          <cell r="M854">
            <v>264</v>
          </cell>
          <cell r="N854">
            <v>314</v>
          </cell>
          <cell r="O854">
            <v>1783.93701171875</v>
          </cell>
          <cell r="P854">
            <v>8804.6877830581343</v>
          </cell>
          <cell r="Q854">
            <v>1715.600830078125</v>
          </cell>
        </row>
        <row r="855">
          <cell r="A855" t="str">
            <v>1ZVBP8AN5A5127308</v>
          </cell>
          <cell r="B855">
            <v>2010</v>
          </cell>
          <cell r="C855" t="str">
            <v>FORD</v>
          </cell>
          <cell r="D855" t="str">
            <v>MUSTANG</v>
          </cell>
          <cell r="E855">
            <v>118340</v>
          </cell>
          <cell r="F855" t="str">
            <v>Grade 4.1</v>
          </cell>
          <cell r="G855" t="str">
            <v>Certified</v>
          </cell>
          <cell r="H855" t="str">
            <v>Yes</v>
          </cell>
          <cell r="I855" t="str">
            <v>No</v>
          </cell>
          <cell r="J855">
            <v>45412</v>
          </cell>
          <cell r="K855" t="str">
            <v>Yes</v>
          </cell>
          <cell r="L855">
            <v>44128</v>
          </cell>
          <cell r="M855">
            <v>264</v>
          </cell>
          <cell r="N855">
            <v>314</v>
          </cell>
          <cell r="O855">
            <v>6217.37548828125</v>
          </cell>
          <cell r="P855">
            <v>10702.614139162981</v>
          </cell>
          <cell r="Q855">
            <v>5812.80322265625</v>
          </cell>
        </row>
        <row r="856">
          <cell r="A856" t="str">
            <v>1ZVBP8CF7D5247606</v>
          </cell>
          <cell r="B856">
            <v>2013</v>
          </cell>
          <cell r="C856" t="str">
            <v>FORD</v>
          </cell>
          <cell r="D856" t="str">
            <v>MUSTANG</v>
          </cell>
          <cell r="E856">
            <v>113081</v>
          </cell>
          <cell r="F856" t="str">
            <v>Grade 4.0</v>
          </cell>
          <cell r="G856" t="str">
            <v>Certified</v>
          </cell>
          <cell r="H856" t="str">
            <v>Yes</v>
          </cell>
          <cell r="I856" t="str">
            <v>No</v>
          </cell>
          <cell r="J856">
            <v>45384</v>
          </cell>
          <cell r="K856" t="str">
            <v>Yes</v>
          </cell>
          <cell r="L856">
            <v>44128</v>
          </cell>
          <cell r="M856">
            <v>264</v>
          </cell>
          <cell r="N856">
            <v>314</v>
          </cell>
          <cell r="O856">
            <v>7909.49462890625</v>
          </cell>
          <cell r="P856">
            <v>10791.07302472186</v>
          </cell>
          <cell r="Q856">
            <v>7666.888671875</v>
          </cell>
        </row>
        <row r="857">
          <cell r="A857" t="str">
            <v>2C4RC1BG9JR113614</v>
          </cell>
          <cell r="B857">
            <v>2018</v>
          </cell>
          <cell r="C857" t="str">
            <v>CHRYSLER</v>
          </cell>
          <cell r="D857" t="str">
            <v>PACIFICA</v>
          </cell>
          <cell r="E857">
            <v>90789</v>
          </cell>
          <cell r="F857" t="str">
            <v>Grade 3.7</v>
          </cell>
          <cell r="G857" t="str">
            <v>Certified</v>
          </cell>
          <cell r="H857" t="str">
            <v>Yes</v>
          </cell>
          <cell r="I857" t="str">
            <v>No</v>
          </cell>
          <cell r="J857">
            <v>45482</v>
          </cell>
          <cell r="K857" t="str">
            <v>Yes</v>
          </cell>
          <cell r="L857">
            <v>44128</v>
          </cell>
          <cell r="M857">
            <v>264</v>
          </cell>
          <cell r="N857">
            <v>314</v>
          </cell>
          <cell r="O857">
            <v>10850.5205078125</v>
          </cell>
          <cell r="P857">
            <v>9997.5668163346454</v>
          </cell>
          <cell r="Q857">
            <v>10884.1552734375</v>
          </cell>
        </row>
        <row r="858">
          <cell r="A858" t="str">
            <v>2C4RC1EG0HR570463</v>
          </cell>
          <cell r="B858">
            <v>2017</v>
          </cell>
          <cell r="C858" t="str">
            <v>CHRYSLER</v>
          </cell>
          <cell r="D858" t="str">
            <v>PACIFICA</v>
          </cell>
          <cell r="E858">
            <v>117524</v>
          </cell>
          <cell r="F858" t="str">
            <v>Grade 2.9</v>
          </cell>
          <cell r="G858" t="str">
            <v>Green/Yellow</v>
          </cell>
          <cell r="H858" t="str">
            <v>Yes</v>
          </cell>
          <cell r="I858" t="str">
            <v>No</v>
          </cell>
          <cell r="J858">
            <v>45538</v>
          </cell>
          <cell r="K858" t="str">
            <v>Yes</v>
          </cell>
          <cell r="L858">
            <v>44128</v>
          </cell>
          <cell r="M858">
            <v>264</v>
          </cell>
          <cell r="N858">
            <v>314</v>
          </cell>
          <cell r="O858">
            <v>3417.68896484375</v>
          </cell>
          <cell r="P858">
            <v>9038.7485187448583</v>
          </cell>
          <cell r="Q858">
            <v>3291.81689453125</v>
          </cell>
        </row>
        <row r="859">
          <cell r="A859" t="str">
            <v>2CTFLXE56B6294856</v>
          </cell>
          <cell r="B859">
            <v>2011</v>
          </cell>
          <cell r="C859" t="str">
            <v>GMC TRUCK</v>
          </cell>
          <cell r="D859" t="str">
            <v>TERRAIN AWD V6</v>
          </cell>
          <cell r="E859">
            <v>145115</v>
          </cell>
          <cell r="F859" t="str">
            <v>Grade 1.0</v>
          </cell>
          <cell r="G859" t="str">
            <v>Inoperable</v>
          </cell>
          <cell r="H859" t="str">
            <v>No</v>
          </cell>
          <cell r="I859" t="str">
            <v>Yes</v>
          </cell>
          <cell r="J859">
            <v>45463</v>
          </cell>
          <cell r="K859" t="str">
            <v>Yes</v>
          </cell>
          <cell r="L859">
            <v>44128</v>
          </cell>
          <cell r="M859">
            <v>264</v>
          </cell>
          <cell r="N859">
            <v>314</v>
          </cell>
          <cell r="O859">
            <v>1587.074951171875</v>
          </cell>
          <cell r="P859">
            <v>9189.1399532464966</v>
          </cell>
          <cell r="Q859">
            <v>1547.746704101562</v>
          </cell>
        </row>
        <row r="860">
          <cell r="A860" t="str">
            <v>2FMDK4JC3BBA91788</v>
          </cell>
          <cell r="B860">
            <v>2011</v>
          </cell>
          <cell r="C860" t="str">
            <v>FORD</v>
          </cell>
          <cell r="D860" t="str">
            <v>EDGE</v>
          </cell>
          <cell r="E860">
            <v>111204</v>
          </cell>
          <cell r="F860" t="str">
            <v>Grade 3.9</v>
          </cell>
          <cell r="G860" t="str">
            <v>Certified</v>
          </cell>
          <cell r="H860" t="str">
            <v>Yes</v>
          </cell>
          <cell r="I860" t="str">
            <v>No</v>
          </cell>
          <cell r="J860">
            <v>45482</v>
          </cell>
          <cell r="K860" t="str">
            <v>Yes</v>
          </cell>
          <cell r="L860">
            <v>44128</v>
          </cell>
          <cell r="M860">
            <v>264</v>
          </cell>
          <cell r="N860">
            <v>314</v>
          </cell>
          <cell r="O860">
            <v>4616.72900390625</v>
          </cell>
          <cell r="P860">
            <v>10025.74774233256</v>
          </cell>
          <cell r="Q860">
            <v>4428.83935546875</v>
          </cell>
        </row>
        <row r="861">
          <cell r="A861" t="str">
            <v>2FMGK5B8XEBD08142</v>
          </cell>
          <cell r="B861">
            <v>2014</v>
          </cell>
          <cell r="C861" t="str">
            <v>FORD</v>
          </cell>
          <cell r="D861" t="str">
            <v>FLEX FWD SUV</v>
          </cell>
          <cell r="E861">
            <v>135548</v>
          </cell>
          <cell r="F861" t="str">
            <v>Grade 1.0</v>
          </cell>
          <cell r="G861" t="str">
            <v>Salvage</v>
          </cell>
          <cell r="H861" t="str">
            <v>No</v>
          </cell>
          <cell r="I861" t="str">
            <v>Yes</v>
          </cell>
          <cell r="J861">
            <v>45701</v>
          </cell>
          <cell r="K861" t="str">
            <v>Yes</v>
          </cell>
          <cell r="L861">
            <v>44128</v>
          </cell>
          <cell r="M861">
            <v>264</v>
          </cell>
          <cell r="N861">
            <v>314</v>
          </cell>
          <cell r="O861">
            <v>1758.700073242188</v>
          </cell>
          <cell r="P861">
            <v>9190.1972929737076</v>
          </cell>
          <cell r="Q861">
            <v>1717.7763671875</v>
          </cell>
        </row>
        <row r="862">
          <cell r="A862" t="str">
            <v>2G1FA1E33E9185182</v>
          </cell>
          <cell r="B862">
            <v>2014</v>
          </cell>
          <cell r="C862" t="str">
            <v>CHEVROLET</v>
          </cell>
          <cell r="D862" t="str">
            <v>CAMARO</v>
          </cell>
          <cell r="E862">
            <v>63137</v>
          </cell>
          <cell r="F862" t="str">
            <v>Grade 3.7</v>
          </cell>
          <cell r="G862" t="str">
            <v>Certified</v>
          </cell>
          <cell r="H862" t="str">
            <v>Yes</v>
          </cell>
          <cell r="I862" t="str">
            <v>No</v>
          </cell>
          <cell r="J862">
            <v>45314</v>
          </cell>
          <cell r="K862" t="str">
            <v>Yes</v>
          </cell>
          <cell r="L862">
            <v>44128</v>
          </cell>
          <cell r="M862">
            <v>264</v>
          </cell>
          <cell r="N862">
            <v>314</v>
          </cell>
          <cell r="O862">
            <v>9848.5205078125</v>
          </cell>
          <cell r="P862">
            <v>12590.482828405469</v>
          </cell>
          <cell r="Q862">
            <v>9584.09765625</v>
          </cell>
        </row>
        <row r="863">
          <cell r="A863" t="str">
            <v>2G1FB1EV3A9199592</v>
          </cell>
          <cell r="B863">
            <v>2010</v>
          </cell>
          <cell r="C863" t="str">
            <v>CHEVROLET</v>
          </cell>
          <cell r="D863" t="str">
            <v>CAMARO</v>
          </cell>
          <cell r="E863">
            <v>123429</v>
          </cell>
          <cell r="F863" t="str">
            <v>Grade 1.3</v>
          </cell>
          <cell r="G863" t="str">
            <v>Red Light</v>
          </cell>
          <cell r="H863" t="str">
            <v>No</v>
          </cell>
          <cell r="I863" t="str">
            <v>Yes</v>
          </cell>
          <cell r="J863">
            <v>45356</v>
          </cell>
          <cell r="K863" t="str">
            <v>Yes</v>
          </cell>
          <cell r="L863">
            <v>44128</v>
          </cell>
          <cell r="M863">
            <v>264</v>
          </cell>
          <cell r="N863">
            <v>314</v>
          </cell>
          <cell r="O863">
            <v>2180.69140625</v>
          </cell>
          <cell r="P863">
            <v>9302.3363544063195</v>
          </cell>
          <cell r="Q863">
            <v>2142.682861328125</v>
          </cell>
        </row>
        <row r="864">
          <cell r="A864" t="str">
            <v>2G1WT57K291248296</v>
          </cell>
          <cell r="B864">
            <v>2009</v>
          </cell>
          <cell r="C864" t="str">
            <v>CHEVROLET</v>
          </cell>
          <cell r="D864" t="str">
            <v>IMPALA</v>
          </cell>
          <cell r="E864">
            <v>121946</v>
          </cell>
          <cell r="F864" t="str">
            <v>Grade 1.3</v>
          </cell>
          <cell r="G864" t="str">
            <v>Red Light</v>
          </cell>
          <cell r="H864" t="str">
            <v>No</v>
          </cell>
          <cell r="I864" t="str">
            <v>Yes</v>
          </cell>
          <cell r="J864">
            <v>45622</v>
          </cell>
          <cell r="K864" t="str">
            <v>Yes</v>
          </cell>
          <cell r="L864">
            <v>44128</v>
          </cell>
          <cell r="M864">
            <v>264</v>
          </cell>
          <cell r="N864">
            <v>314</v>
          </cell>
          <cell r="O864">
            <v>1511.353271484375</v>
          </cell>
          <cell r="P864">
            <v>9197.8950380046881</v>
          </cell>
          <cell r="Q864">
            <v>1526.447631835938</v>
          </cell>
        </row>
        <row r="865">
          <cell r="A865" t="str">
            <v>2G4GS5GX8G9203187</v>
          </cell>
          <cell r="B865">
            <v>2016</v>
          </cell>
          <cell r="C865" t="str">
            <v>BUICK</v>
          </cell>
          <cell r="D865" t="str">
            <v>REGAL</v>
          </cell>
          <cell r="E865">
            <v>110552</v>
          </cell>
          <cell r="F865" t="str">
            <v>Grade 1.7</v>
          </cell>
          <cell r="G865" t="str">
            <v>Inoperable</v>
          </cell>
          <cell r="H865" t="str">
            <v>No</v>
          </cell>
          <cell r="I865" t="str">
            <v>Yes</v>
          </cell>
          <cell r="J865">
            <v>45664</v>
          </cell>
          <cell r="K865" t="str">
            <v>Yes</v>
          </cell>
          <cell r="L865">
            <v>44128</v>
          </cell>
          <cell r="M865">
            <v>264</v>
          </cell>
          <cell r="N865">
            <v>314</v>
          </cell>
          <cell r="O865">
            <v>2054.235595703125</v>
          </cell>
          <cell r="P865">
            <v>9018.0375526030493</v>
          </cell>
          <cell r="Q865">
            <v>1967.080444335938</v>
          </cell>
        </row>
        <row r="866">
          <cell r="A866" t="str">
            <v>2GKALMEK0F6427132</v>
          </cell>
          <cell r="B866">
            <v>2015</v>
          </cell>
          <cell r="C866" t="str">
            <v>GMC</v>
          </cell>
          <cell r="D866" t="str">
            <v>TERRAIN</v>
          </cell>
          <cell r="E866">
            <v>130697</v>
          </cell>
          <cell r="F866" t="str">
            <v>Grade 1.0</v>
          </cell>
          <cell r="G866" t="str">
            <v>Inoperable</v>
          </cell>
          <cell r="H866" t="str">
            <v>No</v>
          </cell>
          <cell r="I866" t="str">
            <v>Yes</v>
          </cell>
          <cell r="J866">
            <v>45706</v>
          </cell>
          <cell r="K866" t="str">
            <v>Yes</v>
          </cell>
          <cell r="L866">
            <v>44128</v>
          </cell>
          <cell r="M866">
            <v>264</v>
          </cell>
          <cell r="N866">
            <v>314</v>
          </cell>
          <cell r="O866">
            <v>2848.804931640625</v>
          </cell>
          <cell r="P866">
            <v>10046.17618820505</v>
          </cell>
          <cell r="Q866">
            <v>2685.137939453125</v>
          </cell>
        </row>
        <row r="867">
          <cell r="A867" t="str">
            <v>2GKFLVEK7F6193163</v>
          </cell>
          <cell r="B867">
            <v>2015</v>
          </cell>
          <cell r="C867" t="str">
            <v>GMC</v>
          </cell>
          <cell r="D867" t="str">
            <v>TERRAIN</v>
          </cell>
          <cell r="E867">
            <v>99892</v>
          </cell>
          <cell r="F867" t="str">
            <v>Grade 4.4</v>
          </cell>
          <cell r="G867" t="str">
            <v>Certified</v>
          </cell>
          <cell r="H867" t="str">
            <v>Yes</v>
          </cell>
          <cell r="I867" t="str">
            <v>No</v>
          </cell>
          <cell r="J867">
            <v>45384</v>
          </cell>
          <cell r="K867" t="str">
            <v>Yes</v>
          </cell>
          <cell r="L867">
            <v>44128</v>
          </cell>
          <cell r="M867">
            <v>264</v>
          </cell>
          <cell r="N867">
            <v>314</v>
          </cell>
          <cell r="O867">
            <v>11250.1533203125</v>
          </cell>
          <cell r="P867">
            <v>11085.795597663689</v>
          </cell>
          <cell r="Q867">
            <v>11341.4404296875</v>
          </cell>
        </row>
        <row r="868">
          <cell r="A868" t="str">
            <v>2GNALBEK7G1126685</v>
          </cell>
          <cell r="B868">
            <v>2016</v>
          </cell>
          <cell r="C868" t="str">
            <v>CHEVROLET</v>
          </cell>
          <cell r="D868" t="str">
            <v>EQUINOX FWD 4C</v>
          </cell>
          <cell r="E868">
            <v>160191</v>
          </cell>
          <cell r="F868" t="str">
            <v>Grade 2.7</v>
          </cell>
          <cell r="G868" t="str">
            <v>Inoperable</v>
          </cell>
          <cell r="H868" t="str">
            <v>No</v>
          </cell>
          <cell r="I868" t="str">
            <v>Yes</v>
          </cell>
          <cell r="J868">
            <v>45596</v>
          </cell>
          <cell r="K868" t="str">
            <v>Yes</v>
          </cell>
          <cell r="L868">
            <v>44128</v>
          </cell>
          <cell r="M868">
            <v>264</v>
          </cell>
          <cell r="N868">
            <v>314</v>
          </cell>
          <cell r="O868">
            <v>2231.921142578125</v>
          </cell>
          <cell r="P868">
            <v>9451.0969287322132</v>
          </cell>
          <cell r="Q868">
            <v>2182.28759765625</v>
          </cell>
        </row>
        <row r="869">
          <cell r="A869" t="str">
            <v>2GNAXJEV2J6255890</v>
          </cell>
          <cell r="B869">
            <v>2018</v>
          </cell>
          <cell r="C869" t="str">
            <v>CHEVROLET</v>
          </cell>
          <cell r="D869" t="str">
            <v>EQUINOX</v>
          </cell>
          <cell r="E869">
            <v>311035</v>
          </cell>
          <cell r="F869" t="str">
            <v>Grade 2.1</v>
          </cell>
          <cell r="G869" t="str">
            <v>Red Light</v>
          </cell>
          <cell r="H869" t="str">
            <v>No</v>
          </cell>
          <cell r="I869" t="str">
            <v>Yes</v>
          </cell>
          <cell r="J869">
            <v>45356</v>
          </cell>
          <cell r="K869" t="str">
            <v>Yes</v>
          </cell>
          <cell r="L869">
            <v>44128</v>
          </cell>
          <cell r="M869">
            <v>264</v>
          </cell>
          <cell r="N869">
            <v>314</v>
          </cell>
          <cell r="O869">
            <v>3738.814453125</v>
          </cell>
          <cell r="P869">
            <v>9318.6649784820329</v>
          </cell>
          <cell r="Q869">
            <v>3597.75048828125</v>
          </cell>
        </row>
        <row r="870">
          <cell r="A870" t="str">
            <v>2GNAXUEV9L6221837</v>
          </cell>
          <cell r="B870">
            <v>2020</v>
          </cell>
          <cell r="C870" t="str">
            <v>CHEVROLET</v>
          </cell>
          <cell r="D870" t="str">
            <v>EQUINOX</v>
          </cell>
          <cell r="E870">
            <v>82806</v>
          </cell>
          <cell r="F870" t="str">
            <v>Grade 1.9</v>
          </cell>
          <cell r="G870" t="str">
            <v>Green/Yellow</v>
          </cell>
          <cell r="H870" t="str">
            <v>Yes</v>
          </cell>
          <cell r="I870" t="str">
            <v>No</v>
          </cell>
          <cell r="J870">
            <v>45510</v>
          </cell>
          <cell r="K870" t="str">
            <v>Yes</v>
          </cell>
          <cell r="L870">
            <v>44128</v>
          </cell>
          <cell r="M870">
            <v>264</v>
          </cell>
          <cell r="N870">
            <v>314</v>
          </cell>
          <cell r="O870">
            <v>5343.787109375</v>
          </cell>
          <cell r="P870">
            <v>10751.06293781909</v>
          </cell>
          <cell r="Q870">
            <v>5027.3564453125</v>
          </cell>
        </row>
        <row r="871">
          <cell r="A871" t="str">
            <v>2LMPJ8LR2JBL41226</v>
          </cell>
          <cell r="B871">
            <v>2018</v>
          </cell>
          <cell r="C871" t="str">
            <v>LINCOLN</v>
          </cell>
          <cell r="D871" t="str">
            <v>MKX</v>
          </cell>
          <cell r="E871">
            <v>57847</v>
          </cell>
          <cell r="F871" t="str">
            <v>Grade 4.7</v>
          </cell>
          <cell r="G871" t="str">
            <v>Certified</v>
          </cell>
          <cell r="H871" t="str">
            <v>Yes</v>
          </cell>
          <cell r="I871" t="str">
            <v>No</v>
          </cell>
          <cell r="J871">
            <v>45692</v>
          </cell>
          <cell r="K871" t="str">
            <v>Yes</v>
          </cell>
          <cell r="L871">
            <v>44128</v>
          </cell>
          <cell r="M871">
            <v>264</v>
          </cell>
          <cell r="N871">
            <v>314</v>
          </cell>
          <cell r="O871">
            <v>14497.076171875</v>
          </cell>
          <cell r="P871">
            <v>12271.552871886721</v>
          </cell>
          <cell r="Q871">
            <v>14464.45703125</v>
          </cell>
        </row>
        <row r="872">
          <cell r="A872" t="str">
            <v>3C4NJCAB2MT546036</v>
          </cell>
          <cell r="B872">
            <v>2021</v>
          </cell>
          <cell r="C872" t="str">
            <v>JEEP</v>
          </cell>
          <cell r="D872" t="str">
            <v>COMPASS</v>
          </cell>
          <cell r="E872">
            <v>24719</v>
          </cell>
          <cell r="F872" t="str">
            <v>Grade 4.3</v>
          </cell>
          <cell r="G872" t="str">
            <v>Certified</v>
          </cell>
          <cell r="H872" t="str">
            <v>Yes</v>
          </cell>
          <cell r="I872" t="str">
            <v>No</v>
          </cell>
          <cell r="J872">
            <v>45314</v>
          </cell>
          <cell r="K872" t="str">
            <v>Yes</v>
          </cell>
          <cell r="L872">
            <v>44128</v>
          </cell>
          <cell r="M872">
            <v>264</v>
          </cell>
          <cell r="N872">
            <v>314</v>
          </cell>
          <cell r="O872">
            <v>18709.6640625</v>
          </cell>
          <cell r="P872">
            <v>14776.717186766249</v>
          </cell>
          <cell r="Q872">
            <v>18840.40625</v>
          </cell>
        </row>
        <row r="873">
          <cell r="A873" t="str">
            <v>3C4NJCBBXKT623778</v>
          </cell>
          <cell r="B873">
            <v>2019</v>
          </cell>
          <cell r="C873" t="str">
            <v>JEEP</v>
          </cell>
          <cell r="D873" t="str">
            <v>COMPASS</v>
          </cell>
          <cell r="E873">
            <v>47384</v>
          </cell>
          <cell r="F873" t="str">
            <v>Grade 4.2</v>
          </cell>
          <cell r="G873" t="str">
            <v>Certified</v>
          </cell>
          <cell r="H873" t="str">
            <v>Yes</v>
          </cell>
          <cell r="I873" t="str">
            <v>No</v>
          </cell>
          <cell r="J873">
            <v>45622</v>
          </cell>
          <cell r="K873" t="str">
            <v>Yes</v>
          </cell>
          <cell r="L873">
            <v>44128</v>
          </cell>
          <cell r="M873">
            <v>264</v>
          </cell>
          <cell r="N873">
            <v>314</v>
          </cell>
          <cell r="O873">
            <v>14731.572265625</v>
          </cell>
          <cell r="P873">
            <v>12482.71121712947</v>
          </cell>
          <cell r="Q873">
            <v>15282.5029296875</v>
          </cell>
        </row>
        <row r="874">
          <cell r="A874" t="str">
            <v>3C4NJDBB0KT600631</v>
          </cell>
          <cell r="B874">
            <v>2019</v>
          </cell>
          <cell r="C874" t="str">
            <v>JEEP</v>
          </cell>
          <cell r="D874" t="str">
            <v>COMPASS</v>
          </cell>
          <cell r="E874">
            <v>94795</v>
          </cell>
          <cell r="F874" t="str">
            <v>Grade 3.1</v>
          </cell>
          <cell r="G874" t="str">
            <v>Green/Yellow</v>
          </cell>
          <cell r="H874" t="str">
            <v>Yes</v>
          </cell>
          <cell r="I874" t="str">
            <v>No</v>
          </cell>
          <cell r="J874">
            <v>45496</v>
          </cell>
          <cell r="K874" t="str">
            <v>Yes</v>
          </cell>
          <cell r="L874">
            <v>44128</v>
          </cell>
          <cell r="M874">
            <v>264</v>
          </cell>
          <cell r="N874">
            <v>314</v>
          </cell>
          <cell r="O874">
            <v>9987.9873046875</v>
          </cell>
          <cell r="P874">
            <v>9593.9215979142627</v>
          </cell>
          <cell r="Q874">
            <v>10012.79296875</v>
          </cell>
        </row>
        <row r="875">
          <cell r="A875" t="str">
            <v>3C4NJDBB4JT283869</v>
          </cell>
          <cell r="B875">
            <v>2018</v>
          </cell>
          <cell r="C875" t="str">
            <v>JEEP</v>
          </cell>
          <cell r="D875" t="str">
            <v>COMPASS</v>
          </cell>
          <cell r="E875">
            <v>55339</v>
          </cell>
          <cell r="F875" t="str">
            <v>Grade 1.2</v>
          </cell>
          <cell r="G875" t="str">
            <v>Inoperable</v>
          </cell>
          <cell r="H875" t="str">
            <v>No</v>
          </cell>
          <cell r="I875" t="str">
            <v>Yes</v>
          </cell>
          <cell r="J875">
            <v>45706</v>
          </cell>
          <cell r="K875" t="str">
            <v>Yes</v>
          </cell>
          <cell r="L875">
            <v>44128</v>
          </cell>
          <cell r="M875">
            <v>264</v>
          </cell>
          <cell r="N875">
            <v>314</v>
          </cell>
          <cell r="O875">
            <v>6405.0185546875</v>
          </cell>
          <cell r="P875">
            <v>11420.68071988161</v>
          </cell>
          <cell r="Q875">
            <v>6040.43994140625</v>
          </cell>
        </row>
        <row r="876">
          <cell r="A876" t="str">
            <v>3C4NJDBB7HT624630</v>
          </cell>
          <cell r="B876">
            <v>2017</v>
          </cell>
          <cell r="C876" t="str">
            <v>JEEP</v>
          </cell>
          <cell r="D876" t="str">
            <v>NEW COMPASS</v>
          </cell>
          <cell r="E876">
            <v>83788</v>
          </cell>
          <cell r="F876" t="str">
            <v>Grade 2.9</v>
          </cell>
          <cell r="G876" t="str">
            <v>Green Light</v>
          </cell>
          <cell r="H876" t="str">
            <v>Yes</v>
          </cell>
          <cell r="I876" t="str">
            <v>No</v>
          </cell>
          <cell r="J876">
            <v>45622</v>
          </cell>
          <cell r="K876" t="str">
            <v>Yes</v>
          </cell>
          <cell r="L876">
            <v>44128</v>
          </cell>
          <cell r="M876">
            <v>264</v>
          </cell>
          <cell r="N876">
            <v>314</v>
          </cell>
          <cell r="O876">
            <v>5225.9375</v>
          </cell>
          <cell r="P876">
            <v>9509.815242209901</v>
          </cell>
          <cell r="Q876">
            <v>5193.2509765625</v>
          </cell>
        </row>
        <row r="877">
          <cell r="A877" t="str">
            <v>3C4NJDCB2HT651555</v>
          </cell>
          <cell r="B877">
            <v>2017</v>
          </cell>
          <cell r="C877" t="str">
            <v>JEEP</v>
          </cell>
          <cell r="D877" t="str">
            <v>NEW COMPASS</v>
          </cell>
          <cell r="E877">
            <v>122668</v>
          </cell>
          <cell r="F877" t="str">
            <v>Grade 2.0</v>
          </cell>
          <cell r="G877" t="str">
            <v>Red Light</v>
          </cell>
          <cell r="H877" t="str">
            <v>No</v>
          </cell>
          <cell r="I877" t="str">
            <v>Yes</v>
          </cell>
          <cell r="J877">
            <v>45636</v>
          </cell>
          <cell r="K877" t="str">
            <v>Yes</v>
          </cell>
          <cell r="L877">
            <v>44128</v>
          </cell>
          <cell r="M877">
            <v>264</v>
          </cell>
          <cell r="N877">
            <v>314</v>
          </cell>
          <cell r="O877">
            <v>3858.069580078125</v>
          </cell>
          <cell r="P877">
            <v>9224.559686926641</v>
          </cell>
          <cell r="Q877">
            <v>3803.46435546875</v>
          </cell>
        </row>
        <row r="878">
          <cell r="A878" t="str">
            <v>3FA6P0G70JR147130</v>
          </cell>
          <cell r="B878">
            <v>2018</v>
          </cell>
          <cell r="C878" t="str">
            <v>FORD</v>
          </cell>
          <cell r="D878" t="str">
            <v>FUSION FWD 4C</v>
          </cell>
          <cell r="E878">
            <v>90630</v>
          </cell>
          <cell r="F878" t="str">
            <v>Grade 4.0</v>
          </cell>
          <cell r="G878" t="str">
            <v>Red Light</v>
          </cell>
          <cell r="H878" t="str">
            <v>No</v>
          </cell>
          <cell r="I878" t="str">
            <v>Yes</v>
          </cell>
          <cell r="J878">
            <v>45540</v>
          </cell>
          <cell r="K878" t="str">
            <v>Yes</v>
          </cell>
          <cell r="L878">
            <v>44128</v>
          </cell>
          <cell r="M878">
            <v>264</v>
          </cell>
          <cell r="N878">
            <v>314</v>
          </cell>
          <cell r="O878">
            <v>12501.2314453125</v>
          </cell>
          <cell r="P878">
            <v>10276.57136000233</v>
          </cell>
          <cell r="Q878">
            <v>12625.42578125</v>
          </cell>
        </row>
        <row r="879">
          <cell r="A879" t="str">
            <v>3FA6P0G75GR335831</v>
          </cell>
          <cell r="B879">
            <v>2016</v>
          </cell>
          <cell r="C879" t="str">
            <v>FORD</v>
          </cell>
          <cell r="D879" t="str">
            <v>FUSION FWD 4C</v>
          </cell>
          <cell r="E879">
            <v>141919</v>
          </cell>
          <cell r="F879" t="str">
            <v>Grade 1.0</v>
          </cell>
          <cell r="G879" t="str">
            <v>Salvage</v>
          </cell>
          <cell r="H879" t="str">
            <v>No</v>
          </cell>
          <cell r="I879" t="str">
            <v>Yes</v>
          </cell>
          <cell r="J879">
            <v>45722</v>
          </cell>
          <cell r="K879" t="str">
            <v>Yes</v>
          </cell>
          <cell r="L879">
            <v>44128</v>
          </cell>
          <cell r="M879">
            <v>264</v>
          </cell>
          <cell r="N879">
            <v>314</v>
          </cell>
          <cell r="O879">
            <v>2164.821044921875</v>
          </cell>
          <cell r="P879">
            <v>9222.3469443736703</v>
          </cell>
          <cell r="Q879">
            <v>2086.583740234375</v>
          </cell>
        </row>
        <row r="880">
          <cell r="A880" t="str">
            <v>3FA6P0H70GR345648</v>
          </cell>
          <cell r="B880">
            <v>2016</v>
          </cell>
          <cell r="C880" t="str">
            <v>FORD</v>
          </cell>
          <cell r="D880" t="str">
            <v>FUSION FWD 4C</v>
          </cell>
          <cell r="E880">
            <v>79076</v>
          </cell>
          <cell r="F880" t="str">
            <v>Grade 1.0</v>
          </cell>
          <cell r="G880" t="str">
            <v>Salvage</v>
          </cell>
          <cell r="H880" t="str">
            <v>No</v>
          </cell>
          <cell r="I880" t="str">
            <v>Yes</v>
          </cell>
          <cell r="J880">
            <v>45302</v>
          </cell>
          <cell r="K880" t="str">
            <v>Yes</v>
          </cell>
          <cell r="L880">
            <v>44128</v>
          </cell>
          <cell r="M880">
            <v>264</v>
          </cell>
          <cell r="N880">
            <v>314</v>
          </cell>
          <cell r="O880">
            <v>4721.6552734375</v>
          </cell>
          <cell r="P880">
            <v>9412.6865944425263</v>
          </cell>
          <cell r="Q880">
            <v>4734.20703125</v>
          </cell>
        </row>
        <row r="881">
          <cell r="A881" t="str">
            <v>3FA6P0H73LR153487</v>
          </cell>
          <cell r="B881">
            <v>2020</v>
          </cell>
          <cell r="C881" t="str">
            <v>FORD</v>
          </cell>
          <cell r="D881" t="str">
            <v>FUSION FWD 4C</v>
          </cell>
          <cell r="E881">
            <v>99087</v>
          </cell>
          <cell r="F881" t="str">
            <v>Grade 4.4</v>
          </cell>
          <cell r="G881" t="str">
            <v>Certified</v>
          </cell>
          <cell r="H881" t="str">
            <v>Yes</v>
          </cell>
          <cell r="I881" t="str">
            <v>No</v>
          </cell>
          <cell r="J881">
            <v>45470</v>
          </cell>
          <cell r="K881" t="str">
            <v>Yes</v>
          </cell>
          <cell r="L881">
            <v>44128</v>
          </cell>
          <cell r="M881">
            <v>264</v>
          </cell>
          <cell r="N881">
            <v>314</v>
          </cell>
          <cell r="O881">
            <v>13912.2060546875</v>
          </cell>
          <cell r="P881">
            <v>11405.385346135199</v>
          </cell>
          <cell r="Q881">
            <v>14070.3662109375</v>
          </cell>
        </row>
        <row r="882">
          <cell r="A882" t="str">
            <v>3GKALTEV8JL268966</v>
          </cell>
          <cell r="B882">
            <v>2018</v>
          </cell>
          <cell r="C882" t="str">
            <v>GMC</v>
          </cell>
          <cell r="D882" t="str">
            <v>TERRAIN</v>
          </cell>
          <cell r="E882">
            <v>87557</v>
          </cell>
          <cell r="F882" t="str">
            <v>Grade 3.7</v>
          </cell>
          <cell r="G882" t="str">
            <v>Red Light</v>
          </cell>
          <cell r="H882" t="str">
            <v>No</v>
          </cell>
          <cell r="I882" t="str">
            <v>Yes</v>
          </cell>
          <cell r="J882">
            <v>45664</v>
          </cell>
          <cell r="K882" t="str">
            <v>Yes</v>
          </cell>
          <cell r="L882">
            <v>44128</v>
          </cell>
          <cell r="M882">
            <v>264</v>
          </cell>
          <cell r="N882">
            <v>314</v>
          </cell>
          <cell r="O882">
            <v>15590.7158203125</v>
          </cell>
          <cell r="P882">
            <v>11159.77615326472</v>
          </cell>
          <cell r="Q882">
            <v>15584.6455078125</v>
          </cell>
        </row>
        <row r="883">
          <cell r="A883" t="str">
            <v>3GNAXHEV4JS624260</v>
          </cell>
          <cell r="B883">
            <v>2018</v>
          </cell>
          <cell r="C883" t="str">
            <v>CHEVROLET</v>
          </cell>
          <cell r="D883" t="str">
            <v>EQUINOX FWD 4C</v>
          </cell>
          <cell r="E883">
            <v>97764</v>
          </cell>
          <cell r="F883" t="str">
            <v>Grade 2.6</v>
          </cell>
          <cell r="G883" t="str">
            <v>Inoperable</v>
          </cell>
          <cell r="H883" t="str">
            <v>No</v>
          </cell>
          <cell r="I883" t="str">
            <v>Yes</v>
          </cell>
          <cell r="J883">
            <v>45631</v>
          </cell>
          <cell r="K883" t="str">
            <v>Yes</v>
          </cell>
          <cell r="L883">
            <v>44128</v>
          </cell>
          <cell r="M883">
            <v>264</v>
          </cell>
          <cell r="N883">
            <v>314</v>
          </cell>
          <cell r="O883">
            <v>5305.9521484375</v>
          </cell>
          <cell r="P883">
            <v>9705.9027753545397</v>
          </cell>
          <cell r="Q883">
            <v>5410.2001953125</v>
          </cell>
        </row>
        <row r="884">
          <cell r="A884" t="str">
            <v>3GNAXUEV0NL199774</v>
          </cell>
          <cell r="B884">
            <v>2022</v>
          </cell>
          <cell r="C884" t="str">
            <v>CHEVROLET</v>
          </cell>
          <cell r="D884" t="str">
            <v>EQUINOX</v>
          </cell>
          <cell r="E884">
            <v>68934</v>
          </cell>
          <cell r="F884" t="str">
            <v>Grade 2.8</v>
          </cell>
          <cell r="G884" t="str">
            <v>Green/Yellow</v>
          </cell>
          <cell r="H884" t="str">
            <v>Yes</v>
          </cell>
          <cell r="I884" t="str">
            <v>No</v>
          </cell>
          <cell r="J884">
            <v>45538</v>
          </cell>
          <cell r="K884" t="str">
            <v>Yes</v>
          </cell>
          <cell r="L884">
            <v>44128</v>
          </cell>
          <cell r="M884">
            <v>264</v>
          </cell>
          <cell r="N884">
            <v>314</v>
          </cell>
          <cell r="O884">
            <v>11840.3271484375</v>
          </cell>
          <cell r="P884">
            <v>12362.643747380729</v>
          </cell>
          <cell r="Q884">
            <v>11599.2109375</v>
          </cell>
        </row>
        <row r="885">
          <cell r="A885" t="str">
            <v>3GNCJKSBXGL124625</v>
          </cell>
          <cell r="B885">
            <v>2016</v>
          </cell>
          <cell r="C885" t="str">
            <v>CHEVROLET</v>
          </cell>
          <cell r="D885" t="str">
            <v>TRAX</v>
          </cell>
          <cell r="E885">
            <v>68665</v>
          </cell>
          <cell r="F885" t="str">
            <v>Grade 3.3</v>
          </cell>
          <cell r="G885" t="str">
            <v>Green Light</v>
          </cell>
          <cell r="H885" t="str">
            <v>Yes</v>
          </cell>
          <cell r="I885" t="str">
            <v>No</v>
          </cell>
          <cell r="J885">
            <v>45594</v>
          </cell>
          <cell r="K885" t="str">
            <v>Yes</v>
          </cell>
          <cell r="L885">
            <v>44128</v>
          </cell>
          <cell r="M885">
            <v>264</v>
          </cell>
          <cell r="N885">
            <v>314</v>
          </cell>
          <cell r="O885">
            <v>8489.6552734375</v>
          </cell>
          <cell r="P885">
            <v>9910.5215613251585</v>
          </cell>
          <cell r="Q885">
            <v>8503.9990234375</v>
          </cell>
        </row>
        <row r="886">
          <cell r="A886" t="str">
            <v>3GNCJLSB9FL182200</v>
          </cell>
          <cell r="B886">
            <v>2015</v>
          </cell>
          <cell r="C886" t="str">
            <v>CHEVROLET</v>
          </cell>
          <cell r="D886" t="str">
            <v>TRAX FWD</v>
          </cell>
          <cell r="E886">
            <v>137741</v>
          </cell>
          <cell r="F886" t="str">
            <v>Grade 1.5</v>
          </cell>
          <cell r="G886" t="str">
            <v>Red Light</v>
          </cell>
          <cell r="H886" t="str">
            <v>No</v>
          </cell>
          <cell r="I886" t="str">
            <v>Yes</v>
          </cell>
          <cell r="J886">
            <v>45456</v>
          </cell>
          <cell r="K886" t="str">
            <v>Yes</v>
          </cell>
          <cell r="L886">
            <v>44128</v>
          </cell>
          <cell r="M886">
            <v>264</v>
          </cell>
          <cell r="N886">
            <v>314</v>
          </cell>
          <cell r="O886">
            <v>2222.11572265625</v>
          </cell>
          <cell r="P886">
            <v>9316.8441877846126</v>
          </cell>
          <cell r="Q886">
            <v>2142.682861328125</v>
          </cell>
        </row>
        <row r="887">
          <cell r="A887" t="str">
            <v>3GYFNGE34FS611443</v>
          </cell>
          <cell r="B887">
            <v>2015</v>
          </cell>
          <cell r="C887" t="str">
            <v>CADILLAC</v>
          </cell>
          <cell r="D887" t="str">
            <v>SRX</v>
          </cell>
          <cell r="E887">
            <v>82683</v>
          </cell>
          <cell r="F887" t="str">
            <v>Grade 4.1</v>
          </cell>
          <cell r="G887" t="str">
            <v>Certified</v>
          </cell>
          <cell r="H887" t="str">
            <v>Yes</v>
          </cell>
          <cell r="I887" t="str">
            <v>No</v>
          </cell>
          <cell r="J887">
            <v>45454</v>
          </cell>
          <cell r="K887" t="str">
            <v>Yes</v>
          </cell>
          <cell r="L887">
            <v>44128</v>
          </cell>
          <cell r="M887">
            <v>264</v>
          </cell>
          <cell r="N887">
            <v>314</v>
          </cell>
          <cell r="O887">
            <v>9584.7060546875</v>
          </cell>
          <cell r="P887">
            <v>10159.93357193816</v>
          </cell>
          <cell r="Q887">
            <v>9722.689453125</v>
          </cell>
        </row>
        <row r="888">
          <cell r="A888" t="str">
            <v>3KPFK4A74HE139641</v>
          </cell>
          <cell r="B888">
            <v>2017</v>
          </cell>
          <cell r="C888" t="str">
            <v>KIA</v>
          </cell>
          <cell r="D888" t="str">
            <v>FORTE</v>
          </cell>
          <cell r="E888">
            <v>118821</v>
          </cell>
          <cell r="F888" t="str">
            <v>Grade 2.6</v>
          </cell>
          <cell r="G888" t="str">
            <v>Red Light</v>
          </cell>
          <cell r="H888" t="str">
            <v>No</v>
          </cell>
          <cell r="I888" t="str">
            <v>Yes</v>
          </cell>
          <cell r="J888">
            <v>45309</v>
          </cell>
          <cell r="K888" t="str">
            <v>Yes</v>
          </cell>
          <cell r="L888">
            <v>44128</v>
          </cell>
          <cell r="M888">
            <v>264</v>
          </cell>
          <cell r="N888">
            <v>314</v>
          </cell>
          <cell r="O888">
            <v>2891.205810546875</v>
          </cell>
          <cell r="P888">
            <v>8665.9764637380467</v>
          </cell>
          <cell r="Q888">
            <v>2701.1015625</v>
          </cell>
        </row>
        <row r="889">
          <cell r="A889" t="str">
            <v>3KPFL4A72JE184418</v>
          </cell>
          <cell r="B889">
            <v>2018</v>
          </cell>
          <cell r="C889" t="str">
            <v>KIA</v>
          </cell>
          <cell r="D889" t="str">
            <v>FORTE</v>
          </cell>
          <cell r="E889">
            <v>61247</v>
          </cell>
          <cell r="F889" t="str">
            <v>Grade 4.4</v>
          </cell>
          <cell r="G889" t="str">
            <v>Certified</v>
          </cell>
          <cell r="H889" t="str">
            <v>Yes</v>
          </cell>
          <cell r="I889" t="str">
            <v>No</v>
          </cell>
          <cell r="J889">
            <v>45603</v>
          </cell>
          <cell r="K889" t="str">
            <v>Yes</v>
          </cell>
          <cell r="L889">
            <v>44128</v>
          </cell>
          <cell r="M889">
            <v>264</v>
          </cell>
          <cell r="N889">
            <v>314</v>
          </cell>
          <cell r="O889">
            <v>9816.1240234375</v>
          </cell>
          <cell r="P889">
            <v>11583.10789023834</v>
          </cell>
          <cell r="Q889">
            <v>9467.8876953125</v>
          </cell>
        </row>
        <row r="890">
          <cell r="A890" t="str">
            <v>3KPFL4A7XHE025074</v>
          </cell>
          <cell r="B890">
            <v>2017</v>
          </cell>
          <cell r="C890" t="str">
            <v>KIA</v>
          </cell>
          <cell r="D890" t="str">
            <v>FORTE</v>
          </cell>
          <cell r="E890">
            <v>75012</v>
          </cell>
          <cell r="F890" t="str">
            <v>Grade 2.9</v>
          </cell>
          <cell r="G890" t="str">
            <v>Green/Yellow</v>
          </cell>
          <cell r="H890" t="str">
            <v>Yes</v>
          </cell>
          <cell r="I890" t="str">
            <v>No</v>
          </cell>
          <cell r="J890">
            <v>45645</v>
          </cell>
          <cell r="K890" t="str">
            <v>Yes</v>
          </cell>
          <cell r="L890">
            <v>44128</v>
          </cell>
          <cell r="M890">
            <v>264</v>
          </cell>
          <cell r="N890">
            <v>314</v>
          </cell>
          <cell r="O890">
            <v>2827.39208984375</v>
          </cell>
          <cell r="P890">
            <v>8986.3605854955385</v>
          </cell>
          <cell r="Q890">
            <v>2664.12353515625</v>
          </cell>
        </row>
        <row r="891">
          <cell r="A891" t="str">
            <v>3LN6L5LU9HR630412</v>
          </cell>
          <cell r="B891">
            <v>2017</v>
          </cell>
          <cell r="C891" t="str">
            <v>LINCOLN</v>
          </cell>
          <cell r="D891" t="str">
            <v>MKZ HYBRID</v>
          </cell>
          <cell r="E891">
            <v>135117</v>
          </cell>
          <cell r="F891" t="str">
            <v>Grade 2.2</v>
          </cell>
          <cell r="G891" t="str">
            <v>Green/Yellow</v>
          </cell>
          <cell r="H891" t="str">
            <v>Yes</v>
          </cell>
          <cell r="I891" t="str">
            <v>No</v>
          </cell>
          <cell r="J891">
            <v>45356</v>
          </cell>
          <cell r="K891" t="str">
            <v>Yes</v>
          </cell>
          <cell r="L891">
            <v>44128</v>
          </cell>
          <cell r="M891">
            <v>264</v>
          </cell>
          <cell r="N891">
            <v>314</v>
          </cell>
          <cell r="O891">
            <v>3892.827392578125</v>
          </cell>
          <cell r="P891">
            <v>9143.7646122288406</v>
          </cell>
          <cell r="Q891">
            <v>3803.46435546875</v>
          </cell>
        </row>
        <row r="892">
          <cell r="A892" t="str">
            <v>3MYDLBZV5GY101586</v>
          </cell>
          <cell r="B892">
            <v>2016</v>
          </cell>
          <cell r="C892" t="str">
            <v>SCION</v>
          </cell>
          <cell r="D892" t="str">
            <v>IA</v>
          </cell>
          <cell r="E892">
            <v>97161</v>
          </cell>
          <cell r="F892" t="str">
            <v>Grade 2.5</v>
          </cell>
          <cell r="G892" t="str">
            <v>Green Light</v>
          </cell>
          <cell r="H892" t="str">
            <v>Yes</v>
          </cell>
          <cell r="I892" t="str">
            <v>No</v>
          </cell>
          <cell r="J892">
            <v>45510</v>
          </cell>
          <cell r="K892" t="str">
            <v>Yes</v>
          </cell>
          <cell r="L892">
            <v>44128</v>
          </cell>
          <cell r="M892">
            <v>264</v>
          </cell>
          <cell r="N892">
            <v>314</v>
          </cell>
          <cell r="O892">
            <v>4044.6767578125</v>
          </cell>
          <cell r="P892">
            <v>9143.339852774985</v>
          </cell>
          <cell r="Q892">
            <v>3881.8876953125</v>
          </cell>
        </row>
        <row r="893">
          <cell r="A893" t="str">
            <v>3N1CE2CP3GL398873</v>
          </cell>
          <cell r="B893">
            <v>2016</v>
          </cell>
          <cell r="C893" t="str">
            <v>NISSAN</v>
          </cell>
          <cell r="D893" t="str">
            <v>VERSA NOTE</v>
          </cell>
          <cell r="E893">
            <v>101076</v>
          </cell>
          <cell r="F893" t="str">
            <v>Grade 2.8</v>
          </cell>
          <cell r="G893" t="str">
            <v>Red Light</v>
          </cell>
          <cell r="H893" t="str">
            <v>No</v>
          </cell>
          <cell r="I893" t="str">
            <v>Yes</v>
          </cell>
          <cell r="J893">
            <v>45398</v>
          </cell>
          <cell r="K893" t="str">
            <v>Yes</v>
          </cell>
          <cell r="L893">
            <v>44128</v>
          </cell>
          <cell r="M893">
            <v>264</v>
          </cell>
          <cell r="N893">
            <v>314</v>
          </cell>
          <cell r="O893">
            <v>3009.044677734375</v>
          </cell>
          <cell r="P893">
            <v>8806.4284826736512</v>
          </cell>
          <cell r="Q893">
            <v>2868.453125</v>
          </cell>
        </row>
        <row r="894">
          <cell r="A894" t="str">
            <v>3N1CN7AP2HK453661</v>
          </cell>
          <cell r="B894">
            <v>2017</v>
          </cell>
          <cell r="C894" t="str">
            <v>NISSAN</v>
          </cell>
          <cell r="D894" t="str">
            <v>VERSA</v>
          </cell>
          <cell r="E894">
            <v>97309</v>
          </cell>
          <cell r="F894" t="str">
            <v>Grade 2.1</v>
          </cell>
          <cell r="G894" t="str">
            <v>Green/Yellow</v>
          </cell>
          <cell r="H894" t="str">
            <v>Yes</v>
          </cell>
          <cell r="I894" t="str">
            <v>No</v>
          </cell>
          <cell r="J894">
            <v>45554</v>
          </cell>
          <cell r="K894" t="str">
            <v>Yes</v>
          </cell>
          <cell r="L894">
            <v>44128</v>
          </cell>
          <cell r="M894">
            <v>264</v>
          </cell>
          <cell r="N894">
            <v>314</v>
          </cell>
          <cell r="O894">
            <v>3964.016845703125</v>
          </cell>
          <cell r="P894">
            <v>8970.1071963982595</v>
          </cell>
          <cell r="Q894">
            <v>3881.8876953125</v>
          </cell>
        </row>
        <row r="895">
          <cell r="A895" t="str">
            <v>3N1CN7APXHL871847</v>
          </cell>
          <cell r="B895">
            <v>2017</v>
          </cell>
          <cell r="C895" t="str">
            <v>NISSAN</v>
          </cell>
          <cell r="D895" t="str">
            <v>VERSA</v>
          </cell>
          <cell r="E895">
            <v>160297</v>
          </cell>
          <cell r="F895" t="str">
            <v>Grade 1.4</v>
          </cell>
          <cell r="G895" t="str">
            <v>Red Light</v>
          </cell>
          <cell r="H895" t="str">
            <v>No</v>
          </cell>
          <cell r="I895" t="str">
            <v>Yes</v>
          </cell>
          <cell r="J895">
            <v>45435</v>
          </cell>
          <cell r="K895" t="str">
            <v>Yes</v>
          </cell>
          <cell r="L895">
            <v>44128</v>
          </cell>
          <cell r="M895">
            <v>264</v>
          </cell>
          <cell r="N895">
            <v>314</v>
          </cell>
          <cell r="O895">
            <v>1898.469482421875</v>
          </cell>
          <cell r="P895">
            <v>8735.6542430819554</v>
          </cell>
          <cell r="Q895">
            <v>1783.572998046875</v>
          </cell>
        </row>
        <row r="896">
          <cell r="A896" t="str">
            <v>3VW2K7AJ3FM300704</v>
          </cell>
          <cell r="B896">
            <v>2015</v>
          </cell>
          <cell r="C896" t="str">
            <v>VOLKSWAGEN</v>
          </cell>
          <cell r="D896" t="str">
            <v>JETTA</v>
          </cell>
          <cell r="E896">
            <v>49566</v>
          </cell>
          <cell r="F896" t="str">
            <v>Grade 3.4</v>
          </cell>
          <cell r="G896" t="str">
            <v>Red Light</v>
          </cell>
          <cell r="H896" t="str">
            <v>No</v>
          </cell>
          <cell r="I896" t="str">
            <v>Yes</v>
          </cell>
          <cell r="J896">
            <v>45393</v>
          </cell>
          <cell r="K896" t="str">
            <v>Yes</v>
          </cell>
          <cell r="L896">
            <v>44128</v>
          </cell>
          <cell r="M896">
            <v>264</v>
          </cell>
          <cell r="N896">
            <v>314</v>
          </cell>
          <cell r="O896">
            <v>10096.029296875</v>
          </cell>
          <cell r="P896">
            <v>11138.71959082134</v>
          </cell>
          <cell r="Q896">
            <v>10117.771484375</v>
          </cell>
        </row>
        <row r="897">
          <cell r="A897" t="str">
            <v>3VWPL7AJ8DM693891</v>
          </cell>
          <cell r="B897">
            <v>2013</v>
          </cell>
          <cell r="C897" t="str">
            <v>VOLKSWAGEN</v>
          </cell>
          <cell r="D897" t="str">
            <v>JETTA SPORTWAGEN</v>
          </cell>
          <cell r="E897">
            <v>97321</v>
          </cell>
          <cell r="F897" t="str">
            <v>Grade 2.1</v>
          </cell>
          <cell r="G897" t="str">
            <v>Green/Yellow</v>
          </cell>
          <cell r="H897" t="str">
            <v>Yes</v>
          </cell>
          <cell r="I897" t="str">
            <v>No</v>
          </cell>
          <cell r="J897">
            <v>45370</v>
          </cell>
          <cell r="K897" t="str">
            <v>Yes</v>
          </cell>
          <cell r="L897">
            <v>44128</v>
          </cell>
          <cell r="M897">
            <v>264</v>
          </cell>
          <cell r="N897">
            <v>314</v>
          </cell>
          <cell r="O897">
            <v>1789.630249023438</v>
          </cell>
          <cell r="P897">
            <v>8972.6405832776418</v>
          </cell>
          <cell r="Q897">
            <v>1710.525390625</v>
          </cell>
        </row>
        <row r="898">
          <cell r="A898" t="str">
            <v>4A4AR3AU3EE027161</v>
          </cell>
          <cell r="B898">
            <v>2014</v>
          </cell>
          <cell r="C898" t="str">
            <v>MITSUBISHI</v>
          </cell>
          <cell r="D898" t="str">
            <v>OUTLANDER SPORT</v>
          </cell>
          <cell r="E898">
            <v>117075</v>
          </cell>
          <cell r="F898" t="str">
            <v>Grade 2.7</v>
          </cell>
          <cell r="G898" t="str">
            <v>Green Light</v>
          </cell>
          <cell r="H898" t="str">
            <v>Yes</v>
          </cell>
          <cell r="I898" t="str">
            <v>No</v>
          </cell>
          <cell r="J898">
            <v>45538</v>
          </cell>
          <cell r="K898" t="str">
            <v>Yes</v>
          </cell>
          <cell r="L898">
            <v>44128</v>
          </cell>
          <cell r="M898">
            <v>264</v>
          </cell>
          <cell r="N898">
            <v>314</v>
          </cell>
          <cell r="O898">
            <v>1197.543212890625</v>
          </cell>
          <cell r="P898">
            <v>9120.0015872169479</v>
          </cell>
          <cell r="Q898">
            <v>1276.312622070312</v>
          </cell>
        </row>
        <row r="899">
          <cell r="A899" t="str">
            <v>4T1BF1FK2HU795879</v>
          </cell>
          <cell r="B899">
            <v>2017</v>
          </cell>
          <cell r="C899" t="str">
            <v>TOYOTA</v>
          </cell>
          <cell r="D899" t="str">
            <v>CAMRY</v>
          </cell>
          <cell r="E899">
            <v>73690</v>
          </cell>
          <cell r="F899" t="str">
            <v>Grade 3.5</v>
          </cell>
          <cell r="G899" t="str">
            <v>Green Light</v>
          </cell>
          <cell r="H899" t="str">
            <v>Yes</v>
          </cell>
          <cell r="I899" t="str">
            <v>No</v>
          </cell>
          <cell r="J899">
            <v>45384</v>
          </cell>
          <cell r="K899" t="str">
            <v>Yes</v>
          </cell>
          <cell r="L899">
            <v>44128</v>
          </cell>
          <cell r="M899">
            <v>264</v>
          </cell>
          <cell r="N899">
            <v>314</v>
          </cell>
          <cell r="O899">
            <v>12755.3505859375</v>
          </cell>
          <cell r="P899">
            <v>9618.585684881562</v>
          </cell>
          <cell r="Q899">
            <v>13106.5712890625</v>
          </cell>
        </row>
        <row r="900">
          <cell r="A900" t="str">
            <v>4T1BF3EK0BU626979</v>
          </cell>
          <cell r="B900">
            <v>2011</v>
          </cell>
          <cell r="C900" t="str">
            <v>TOYOTA</v>
          </cell>
          <cell r="D900" t="str">
            <v>CAMRY 4C</v>
          </cell>
          <cell r="E900">
            <v>163502</v>
          </cell>
          <cell r="F900" t="str">
            <v>Grade 2.7</v>
          </cell>
          <cell r="G900" t="str">
            <v>Red Light</v>
          </cell>
          <cell r="H900" t="str">
            <v>No</v>
          </cell>
          <cell r="I900" t="str">
            <v>Yes</v>
          </cell>
          <cell r="J900">
            <v>45309</v>
          </cell>
          <cell r="K900" t="str">
            <v>Yes</v>
          </cell>
          <cell r="L900">
            <v>44128</v>
          </cell>
          <cell r="M900">
            <v>264</v>
          </cell>
          <cell r="N900">
            <v>314</v>
          </cell>
          <cell r="O900">
            <v>2289.236328125</v>
          </cell>
          <cell r="P900">
            <v>9438.717414790126</v>
          </cell>
          <cell r="Q900">
            <v>2255.45654296875</v>
          </cell>
        </row>
        <row r="901">
          <cell r="A901" t="str">
            <v>5FNYF3H53EB021839</v>
          </cell>
          <cell r="B901">
            <v>2014</v>
          </cell>
          <cell r="C901" t="str">
            <v>HONDA</v>
          </cell>
          <cell r="D901" t="str">
            <v>PILOT</v>
          </cell>
          <cell r="E901">
            <v>115748</v>
          </cell>
          <cell r="F901" t="str">
            <v>Grade 3.7</v>
          </cell>
          <cell r="G901" t="str">
            <v>Green Light</v>
          </cell>
          <cell r="H901" t="str">
            <v>Yes</v>
          </cell>
          <cell r="I901" t="str">
            <v>No</v>
          </cell>
          <cell r="J901">
            <v>45692</v>
          </cell>
          <cell r="K901" t="str">
            <v>Yes</v>
          </cell>
          <cell r="L901">
            <v>44128</v>
          </cell>
          <cell r="M901">
            <v>264</v>
          </cell>
          <cell r="N901">
            <v>314</v>
          </cell>
          <cell r="O901">
            <v>5904.10400390625</v>
          </cell>
          <cell r="P901">
            <v>9846.7986587217983</v>
          </cell>
          <cell r="Q901">
            <v>6093.31884765625</v>
          </cell>
        </row>
        <row r="902">
          <cell r="A902" t="str">
            <v>5J8TB4H35HL002416</v>
          </cell>
          <cell r="B902">
            <v>2017</v>
          </cell>
          <cell r="C902" t="str">
            <v>ACURA</v>
          </cell>
          <cell r="D902" t="str">
            <v>RDX</v>
          </cell>
          <cell r="E902">
            <v>49957</v>
          </cell>
          <cell r="F902" t="str">
            <v>Grade 2.8</v>
          </cell>
          <cell r="G902" t="str">
            <v>Green/Yellow</v>
          </cell>
          <cell r="H902" t="str">
            <v>Yes</v>
          </cell>
          <cell r="I902" t="str">
            <v>No</v>
          </cell>
          <cell r="J902">
            <v>45524</v>
          </cell>
          <cell r="K902" t="str">
            <v>Yes</v>
          </cell>
          <cell r="L902">
            <v>44128</v>
          </cell>
          <cell r="M902">
            <v>264</v>
          </cell>
          <cell r="N902">
            <v>314</v>
          </cell>
          <cell r="O902">
            <v>7535.85546875</v>
          </cell>
          <cell r="P902">
            <v>11568.060014549999</v>
          </cell>
          <cell r="Q902">
            <v>7132.66064453125</v>
          </cell>
        </row>
        <row r="903">
          <cell r="A903" t="str">
            <v>5N1AR2MM1DC616177</v>
          </cell>
          <cell r="B903">
            <v>2013</v>
          </cell>
          <cell r="C903" t="str">
            <v>NISSAN</v>
          </cell>
          <cell r="D903" t="str">
            <v>PATHFIND 4X4</v>
          </cell>
          <cell r="E903">
            <v>132738</v>
          </cell>
          <cell r="F903" t="str">
            <v>Grade 1.0</v>
          </cell>
          <cell r="G903" t="str">
            <v>Inoperable</v>
          </cell>
          <cell r="H903" t="str">
            <v>No</v>
          </cell>
          <cell r="I903" t="str">
            <v>Yes</v>
          </cell>
          <cell r="J903">
            <v>45463</v>
          </cell>
          <cell r="K903" t="str">
            <v>Yes</v>
          </cell>
          <cell r="L903">
            <v>44128</v>
          </cell>
          <cell r="M903">
            <v>264</v>
          </cell>
          <cell r="N903">
            <v>314</v>
          </cell>
          <cell r="O903">
            <v>853.58575439453125</v>
          </cell>
          <cell r="P903">
            <v>8801.2236621514039</v>
          </cell>
          <cell r="Q903">
            <v>1088.946655273438</v>
          </cell>
        </row>
        <row r="904">
          <cell r="A904" t="str">
            <v>5N1AR2MM6EC663349</v>
          </cell>
          <cell r="B904">
            <v>2014</v>
          </cell>
          <cell r="C904" t="str">
            <v>NISSAN</v>
          </cell>
          <cell r="D904" t="str">
            <v>PATHFINDER</v>
          </cell>
          <cell r="E904">
            <v>87621</v>
          </cell>
          <cell r="F904" t="str">
            <v>Grade 1.8</v>
          </cell>
          <cell r="G904" t="str">
            <v>Inoperable</v>
          </cell>
          <cell r="H904" t="str">
            <v>No</v>
          </cell>
          <cell r="I904" t="str">
            <v>Yes</v>
          </cell>
          <cell r="J904">
            <v>45328</v>
          </cell>
          <cell r="K904" t="str">
            <v>Yes</v>
          </cell>
          <cell r="L904">
            <v>44128</v>
          </cell>
          <cell r="M904">
            <v>264</v>
          </cell>
          <cell r="N904">
            <v>314</v>
          </cell>
          <cell r="O904">
            <v>2396.675048828125</v>
          </cell>
          <cell r="P904">
            <v>9085.6398723538041</v>
          </cell>
          <cell r="Q904">
            <v>2314.35888671875</v>
          </cell>
        </row>
        <row r="905">
          <cell r="A905" t="str">
            <v>5N1DL0MNXKC560569</v>
          </cell>
          <cell r="B905">
            <v>2019</v>
          </cell>
          <cell r="C905" t="str">
            <v>INFINITI</v>
          </cell>
          <cell r="D905" t="str">
            <v>QX60 FWD</v>
          </cell>
          <cell r="E905">
            <v>43357</v>
          </cell>
          <cell r="F905" t="str">
            <v>Grade 3.0</v>
          </cell>
          <cell r="G905" t="str">
            <v>Red Light</v>
          </cell>
          <cell r="H905" t="str">
            <v>No</v>
          </cell>
          <cell r="I905" t="str">
            <v>Yes</v>
          </cell>
          <cell r="J905">
            <v>45568</v>
          </cell>
          <cell r="K905" t="str">
            <v>Yes</v>
          </cell>
          <cell r="L905">
            <v>44128</v>
          </cell>
          <cell r="M905">
            <v>264</v>
          </cell>
          <cell r="N905">
            <v>314</v>
          </cell>
          <cell r="O905">
            <v>15962.8505859375</v>
          </cell>
          <cell r="P905">
            <v>11498.291127718991</v>
          </cell>
          <cell r="Q905">
            <v>15992.1650390625</v>
          </cell>
        </row>
        <row r="906">
          <cell r="A906" t="str">
            <v>5N1DR2MM2KC582549</v>
          </cell>
          <cell r="B906">
            <v>2019</v>
          </cell>
          <cell r="C906" t="str">
            <v>NISSAN</v>
          </cell>
          <cell r="D906" t="str">
            <v>PATHFIND 4X4</v>
          </cell>
          <cell r="E906">
            <v>80446</v>
          </cell>
          <cell r="F906" t="str">
            <v>Grade 3.6</v>
          </cell>
          <cell r="G906" t="str">
            <v>Green/Yellow</v>
          </cell>
          <cell r="H906" t="str">
            <v>Yes</v>
          </cell>
          <cell r="I906" t="str">
            <v>No</v>
          </cell>
          <cell r="J906">
            <v>45715</v>
          </cell>
          <cell r="K906" t="str">
            <v>Yes</v>
          </cell>
          <cell r="L906">
            <v>44128</v>
          </cell>
          <cell r="M906">
            <v>264</v>
          </cell>
          <cell r="N906">
            <v>314</v>
          </cell>
          <cell r="O906">
            <v>8403.7646484375</v>
          </cell>
          <cell r="P906">
            <v>9876.8284862164328</v>
          </cell>
          <cell r="Q906">
            <v>8405.1689453125</v>
          </cell>
        </row>
        <row r="907">
          <cell r="A907" t="str">
            <v>5NMZUDLBXHH024124</v>
          </cell>
          <cell r="B907">
            <v>2017</v>
          </cell>
          <cell r="C907" t="str">
            <v>HYUNDAI</v>
          </cell>
          <cell r="D907" t="str">
            <v>SANTA FE SPORT</v>
          </cell>
          <cell r="E907">
            <v>72327</v>
          </cell>
          <cell r="F907" t="str">
            <v>Grade 1.3</v>
          </cell>
          <cell r="G907" t="str">
            <v>Red Light</v>
          </cell>
          <cell r="H907" t="str">
            <v>No</v>
          </cell>
          <cell r="I907" t="str">
            <v>Yes</v>
          </cell>
          <cell r="J907">
            <v>45468</v>
          </cell>
          <cell r="K907" t="str">
            <v>Yes</v>
          </cell>
          <cell r="L907">
            <v>44128</v>
          </cell>
          <cell r="M907">
            <v>264</v>
          </cell>
          <cell r="N907">
            <v>314</v>
          </cell>
          <cell r="O907">
            <v>3421.537841796875</v>
          </cell>
          <cell r="P907">
            <v>9048.4838559232539</v>
          </cell>
          <cell r="Q907">
            <v>3291.81689453125</v>
          </cell>
        </row>
        <row r="908">
          <cell r="A908" t="str">
            <v>5NPD84LF1JH240079</v>
          </cell>
          <cell r="B908">
            <v>2018</v>
          </cell>
          <cell r="C908" t="str">
            <v>HYUNDAI</v>
          </cell>
          <cell r="D908" t="str">
            <v>ELANTRA</v>
          </cell>
          <cell r="E908">
            <v>130226</v>
          </cell>
          <cell r="F908" t="str">
            <v>Grade 2.3</v>
          </cell>
          <cell r="G908" t="str">
            <v>Red Light</v>
          </cell>
          <cell r="H908" t="str">
            <v>No</v>
          </cell>
          <cell r="I908" t="str">
            <v>Yes</v>
          </cell>
          <cell r="J908">
            <v>45463</v>
          </cell>
          <cell r="K908" t="str">
            <v>Yes</v>
          </cell>
          <cell r="L908">
            <v>44128</v>
          </cell>
          <cell r="M908">
            <v>264</v>
          </cell>
          <cell r="N908">
            <v>314</v>
          </cell>
          <cell r="O908">
            <v>2790.242919921875</v>
          </cell>
          <cell r="P908">
            <v>8680.0787803178991</v>
          </cell>
          <cell r="Q908">
            <v>2606.359375</v>
          </cell>
        </row>
        <row r="909">
          <cell r="A909" t="str">
            <v>5NPD84LF3LH629017</v>
          </cell>
          <cell r="B909">
            <v>2020</v>
          </cell>
          <cell r="C909" t="str">
            <v>HYUNDAI</v>
          </cell>
          <cell r="D909" t="str">
            <v>ELANTRA</v>
          </cell>
          <cell r="E909">
            <v>68169</v>
          </cell>
          <cell r="F909" t="str">
            <v>Grade 4.3</v>
          </cell>
          <cell r="G909" t="str">
            <v>Certified</v>
          </cell>
          <cell r="H909" t="str">
            <v>Yes</v>
          </cell>
          <cell r="I909" t="str">
            <v>No</v>
          </cell>
          <cell r="J909">
            <v>45547</v>
          </cell>
          <cell r="K909" t="str">
            <v>Yes</v>
          </cell>
          <cell r="L909">
            <v>44128</v>
          </cell>
          <cell r="M909">
            <v>264</v>
          </cell>
          <cell r="N909">
            <v>314</v>
          </cell>
          <cell r="O909">
            <v>11584.853515625</v>
          </cell>
          <cell r="P909">
            <v>11211.095711129539</v>
          </cell>
          <cell r="Q909">
            <v>11519.302734375</v>
          </cell>
        </row>
        <row r="910">
          <cell r="A910" t="str">
            <v>5XXGT4L33GG018021</v>
          </cell>
          <cell r="B910">
            <v>2016</v>
          </cell>
          <cell r="C910" t="str">
            <v>KIA</v>
          </cell>
          <cell r="D910" t="str">
            <v>OPTIMA</v>
          </cell>
          <cell r="E910">
            <v>113618</v>
          </cell>
          <cell r="F910" t="str">
            <v>Grade 2.7</v>
          </cell>
          <cell r="G910" t="str">
            <v>Red Light</v>
          </cell>
          <cell r="H910" t="str">
            <v>No</v>
          </cell>
          <cell r="I910" t="str">
            <v>Yes</v>
          </cell>
          <cell r="J910">
            <v>45435</v>
          </cell>
          <cell r="K910" t="str">
            <v>Yes</v>
          </cell>
          <cell r="L910">
            <v>44128</v>
          </cell>
          <cell r="M910">
            <v>264</v>
          </cell>
          <cell r="N910">
            <v>314</v>
          </cell>
          <cell r="O910">
            <v>2104.624267578125</v>
          </cell>
          <cell r="P910">
            <v>8695.7133679387589</v>
          </cell>
          <cell r="Q910">
            <v>2043.1826171875</v>
          </cell>
        </row>
        <row r="911">
          <cell r="A911" t="str">
            <v>5XYPG4A39JG404601</v>
          </cell>
          <cell r="B911">
            <v>2018</v>
          </cell>
          <cell r="C911" t="str">
            <v>KIA</v>
          </cell>
          <cell r="D911" t="str">
            <v>SORENTO</v>
          </cell>
          <cell r="E911">
            <v>76869</v>
          </cell>
          <cell r="F911" t="str">
            <v>Grade 2.8</v>
          </cell>
          <cell r="G911" t="str">
            <v>Green Light</v>
          </cell>
          <cell r="H911" t="str">
            <v>Yes</v>
          </cell>
          <cell r="I911" t="str">
            <v>No</v>
          </cell>
          <cell r="J911">
            <v>45552</v>
          </cell>
          <cell r="K911" t="str">
            <v>Yes</v>
          </cell>
          <cell r="L911">
            <v>44128</v>
          </cell>
          <cell r="M911">
            <v>264</v>
          </cell>
          <cell r="N911">
            <v>314</v>
          </cell>
          <cell r="O911">
            <v>4028.880126953125</v>
          </cell>
          <cell r="P911">
            <v>9024.0688061916735</v>
          </cell>
          <cell r="Q911">
            <v>3881.8876953125</v>
          </cell>
        </row>
        <row r="912">
          <cell r="A912" t="str">
            <v>5XYPK4A53GG124097</v>
          </cell>
          <cell r="B912">
            <v>2016</v>
          </cell>
          <cell r="C912" t="str">
            <v>KIA</v>
          </cell>
          <cell r="D912" t="str">
            <v>SORENTO FWD V6</v>
          </cell>
          <cell r="E912">
            <v>116984</v>
          </cell>
          <cell r="F912" t="str">
            <v>Grade 4.7</v>
          </cell>
          <cell r="G912" t="str">
            <v>Certified</v>
          </cell>
          <cell r="H912" t="str">
            <v>Yes</v>
          </cell>
          <cell r="I912" t="str">
            <v>No</v>
          </cell>
          <cell r="J912">
            <v>45295</v>
          </cell>
          <cell r="K912" t="str">
            <v>Yes</v>
          </cell>
          <cell r="L912">
            <v>44128</v>
          </cell>
          <cell r="M912">
            <v>264</v>
          </cell>
          <cell r="N912">
            <v>314</v>
          </cell>
          <cell r="O912">
            <v>5598.02783203125</v>
          </cell>
          <cell r="P912">
            <v>9561.3079468942251</v>
          </cell>
          <cell r="Q912">
            <v>5634.40869140625</v>
          </cell>
        </row>
        <row r="913">
          <cell r="A913" t="str">
            <v>5XYZUDLA9EG207947</v>
          </cell>
          <cell r="B913">
            <v>2014</v>
          </cell>
          <cell r="C913" t="str">
            <v>HYUNDAI</v>
          </cell>
          <cell r="D913" t="str">
            <v>SANTA FE SPORT</v>
          </cell>
          <cell r="E913">
            <v>107060</v>
          </cell>
          <cell r="F913" t="str">
            <v>Grade 2.8</v>
          </cell>
          <cell r="G913" t="str">
            <v>Red Light</v>
          </cell>
          <cell r="H913" t="str">
            <v>No</v>
          </cell>
          <cell r="I913" t="str">
            <v>Yes</v>
          </cell>
          <cell r="J913">
            <v>45622</v>
          </cell>
          <cell r="K913" t="str">
            <v>Yes</v>
          </cell>
          <cell r="L913">
            <v>44128</v>
          </cell>
          <cell r="M913">
            <v>264</v>
          </cell>
          <cell r="N913">
            <v>314</v>
          </cell>
          <cell r="O913">
            <v>1395.113159179688</v>
          </cell>
          <cell r="P913">
            <v>8766.4834560533527</v>
          </cell>
          <cell r="Q913">
            <v>1385.325439453125</v>
          </cell>
        </row>
        <row r="914">
          <cell r="A914" t="str">
            <v>5XYZUDLBXEG163577</v>
          </cell>
          <cell r="B914">
            <v>2014</v>
          </cell>
          <cell r="C914" t="str">
            <v>HYUNDAI</v>
          </cell>
          <cell r="D914" t="str">
            <v>SANTA SP AWD 4C</v>
          </cell>
          <cell r="E914">
            <v>113568</v>
          </cell>
          <cell r="F914" t="str">
            <v>Grade 2.6</v>
          </cell>
          <cell r="G914" t="str">
            <v>Green Light</v>
          </cell>
          <cell r="H914" t="str">
            <v>Yes</v>
          </cell>
          <cell r="I914" t="str">
            <v>No</v>
          </cell>
          <cell r="J914">
            <v>45512</v>
          </cell>
          <cell r="K914" t="str">
            <v>Yes</v>
          </cell>
          <cell r="L914">
            <v>44128</v>
          </cell>
          <cell r="M914">
            <v>264</v>
          </cell>
          <cell r="N914">
            <v>314</v>
          </cell>
          <cell r="O914">
            <v>1315.25927734375</v>
          </cell>
          <cell r="P914">
            <v>8784.3401038952525</v>
          </cell>
          <cell r="Q914">
            <v>1330.663208007812</v>
          </cell>
        </row>
        <row r="915">
          <cell r="A915" t="str">
            <v>5YFBURHE9GP410538</v>
          </cell>
          <cell r="B915">
            <v>2016</v>
          </cell>
          <cell r="C915" t="str">
            <v>TOYOTA</v>
          </cell>
          <cell r="D915" t="str">
            <v>COROLLA</v>
          </cell>
          <cell r="E915">
            <v>136435</v>
          </cell>
          <cell r="F915" t="str">
            <v>Grade 1.3</v>
          </cell>
          <cell r="G915" t="str">
            <v>Green Light</v>
          </cell>
          <cell r="H915" t="str">
            <v>Yes</v>
          </cell>
          <cell r="I915" t="str">
            <v>No</v>
          </cell>
          <cell r="J915">
            <v>45610</v>
          </cell>
          <cell r="K915" t="str">
            <v>Yes</v>
          </cell>
          <cell r="L915">
            <v>44128</v>
          </cell>
          <cell r="M915">
            <v>264</v>
          </cell>
          <cell r="N915">
            <v>314</v>
          </cell>
          <cell r="O915">
            <v>3348.36669921875</v>
          </cell>
          <cell r="P915">
            <v>9381.9709632600825</v>
          </cell>
          <cell r="Q915">
            <v>3306.4248046875</v>
          </cell>
        </row>
        <row r="916">
          <cell r="A916" t="str">
            <v>5YFDPRAEXLP051074</v>
          </cell>
          <cell r="B916">
            <v>2020</v>
          </cell>
          <cell r="C916" t="str">
            <v>TOYOTA</v>
          </cell>
          <cell r="D916" t="str">
            <v>COROLLA</v>
          </cell>
          <cell r="E916">
            <v>66415</v>
          </cell>
          <cell r="F916" t="str">
            <v>Grade 2.9</v>
          </cell>
          <cell r="G916" t="str">
            <v>Green Light</v>
          </cell>
          <cell r="H916" t="str">
            <v>Yes</v>
          </cell>
          <cell r="I916" t="str">
            <v>No</v>
          </cell>
          <cell r="J916">
            <v>45708</v>
          </cell>
          <cell r="K916" t="str">
            <v>Yes</v>
          </cell>
          <cell r="L916">
            <v>44128</v>
          </cell>
          <cell r="M916">
            <v>264</v>
          </cell>
          <cell r="N916">
            <v>314</v>
          </cell>
          <cell r="O916">
            <v>8378.052734375</v>
          </cell>
          <cell r="P916">
            <v>11917.270482888371</v>
          </cell>
          <cell r="Q916">
            <v>8214.7275390625</v>
          </cell>
        </row>
        <row r="917">
          <cell r="A917" t="str">
            <v>JA4AD3A34GZ015832</v>
          </cell>
          <cell r="B917">
            <v>2016</v>
          </cell>
          <cell r="C917" t="str">
            <v>MITSUBISHI</v>
          </cell>
          <cell r="D917" t="str">
            <v>OUTLANDER</v>
          </cell>
          <cell r="E917">
            <v>63983</v>
          </cell>
          <cell r="F917" t="str">
            <v>Grade 2.0</v>
          </cell>
          <cell r="G917" t="str">
            <v>Green/Yellow</v>
          </cell>
          <cell r="H917" t="str">
            <v>Yes</v>
          </cell>
          <cell r="I917" t="str">
            <v>No</v>
          </cell>
          <cell r="J917">
            <v>45538</v>
          </cell>
          <cell r="K917" t="str">
            <v>Yes</v>
          </cell>
          <cell r="L917">
            <v>44128</v>
          </cell>
          <cell r="M917">
            <v>264</v>
          </cell>
          <cell r="N917">
            <v>314</v>
          </cell>
          <cell r="O917">
            <v>4122.17529296875</v>
          </cell>
          <cell r="P917">
            <v>11007.39793615778</v>
          </cell>
          <cell r="Q917">
            <v>3951.376220703125</v>
          </cell>
        </row>
        <row r="918">
          <cell r="A918" t="str">
            <v>JA4AP3AU8KU018206</v>
          </cell>
          <cell r="B918">
            <v>2019</v>
          </cell>
          <cell r="C918" t="str">
            <v>MITSUBISHI</v>
          </cell>
          <cell r="D918" t="str">
            <v>OUTLAND SPT FWD</v>
          </cell>
          <cell r="E918">
            <v>43204</v>
          </cell>
          <cell r="F918" t="str">
            <v>Grade 4.4</v>
          </cell>
          <cell r="G918" t="str">
            <v>Certified</v>
          </cell>
          <cell r="H918" t="str">
            <v>Yes</v>
          </cell>
          <cell r="I918" t="str">
            <v>No</v>
          </cell>
          <cell r="J918">
            <v>45351</v>
          </cell>
          <cell r="K918" t="str">
            <v>Yes</v>
          </cell>
          <cell r="L918">
            <v>44128</v>
          </cell>
          <cell r="M918">
            <v>264</v>
          </cell>
          <cell r="N918">
            <v>314</v>
          </cell>
          <cell r="O918">
            <v>9761.3232421875</v>
          </cell>
          <cell r="P918">
            <v>12072.90264178251</v>
          </cell>
          <cell r="Q918">
            <v>9422.326171875</v>
          </cell>
        </row>
        <row r="919">
          <cell r="A919" t="str">
            <v>JA4AZ3A34GZ060688</v>
          </cell>
          <cell r="B919">
            <v>2016</v>
          </cell>
          <cell r="C919" t="str">
            <v>MITSUBISHI</v>
          </cell>
          <cell r="D919" t="str">
            <v>OUTLANDER</v>
          </cell>
          <cell r="E919">
            <v>105910</v>
          </cell>
          <cell r="F919" t="str">
            <v>Grade 1.9</v>
          </cell>
          <cell r="G919" t="str">
            <v>Green/Yellow</v>
          </cell>
          <cell r="H919" t="str">
            <v>Yes</v>
          </cell>
          <cell r="I919" t="str">
            <v>No</v>
          </cell>
          <cell r="J919">
            <v>45608</v>
          </cell>
          <cell r="K919" t="str">
            <v>Yes</v>
          </cell>
          <cell r="L919">
            <v>44128</v>
          </cell>
          <cell r="M919">
            <v>264</v>
          </cell>
          <cell r="N919">
            <v>314</v>
          </cell>
          <cell r="O919">
            <v>1267.205932617188</v>
          </cell>
          <cell r="P919">
            <v>9142.2530479380857</v>
          </cell>
          <cell r="Q919">
            <v>1325.587768554688</v>
          </cell>
        </row>
        <row r="920">
          <cell r="A920" t="str">
            <v>JHMZF1D42CS000906</v>
          </cell>
          <cell r="B920">
            <v>2012</v>
          </cell>
          <cell r="C920" t="str">
            <v>HONDA</v>
          </cell>
          <cell r="D920" t="str">
            <v>CR Z</v>
          </cell>
          <cell r="E920">
            <v>104698</v>
          </cell>
          <cell r="F920" t="str">
            <v>Grade 1.5</v>
          </cell>
          <cell r="G920" t="str">
            <v>Red Light</v>
          </cell>
          <cell r="H920" t="str">
            <v>No</v>
          </cell>
          <cell r="I920" t="str">
            <v>Yes</v>
          </cell>
          <cell r="J920">
            <v>45554</v>
          </cell>
          <cell r="K920" t="str">
            <v>Yes</v>
          </cell>
          <cell r="L920">
            <v>44128</v>
          </cell>
          <cell r="M920">
            <v>264</v>
          </cell>
          <cell r="N920">
            <v>314</v>
          </cell>
          <cell r="O920">
            <v>2811.828125</v>
          </cell>
          <cell r="P920">
            <v>9035.3055704135004</v>
          </cell>
          <cell r="Q920">
            <v>2601.28369140625</v>
          </cell>
        </row>
        <row r="921">
          <cell r="A921" t="str">
            <v>JM1BM1V37E1165597</v>
          </cell>
          <cell r="B921">
            <v>2014</v>
          </cell>
          <cell r="C921" t="str">
            <v>MAZDA</v>
          </cell>
          <cell r="D921" t="str">
            <v>MAZDA3</v>
          </cell>
          <cell r="E921">
            <v>139149</v>
          </cell>
          <cell r="F921" t="str">
            <v>Grade 1.3</v>
          </cell>
          <cell r="G921" t="str">
            <v>Red Light</v>
          </cell>
          <cell r="H921" t="str">
            <v>No</v>
          </cell>
          <cell r="I921" t="str">
            <v>Yes</v>
          </cell>
          <cell r="J921">
            <v>45720</v>
          </cell>
          <cell r="K921" t="str">
            <v>Yes</v>
          </cell>
          <cell r="L921">
            <v>44128</v>
          </cell>
          <cell r="M921">
            <v>264</v>
          </cell>
          <cell r="N921">
            <v>314</v>
          </cell>
          <cell r="O921">
            <v>1140.654907226562</v>
          </cell>
          <cell r="P921">
            <v>9033.1353048840119</v>
          </cell>
          <cell r="Q921">
            <v>1276.312622070312</v>
          </cell>
        </row>
        <row r="922">
          <cell r="A922" t="str">
            <v>JM1DKDB74J0327368</v>
          </cell>
          <cell r="B922">
            <v>2018</v>
          </cell>
          <cell r="C922" t="str">
            <v>MAZDA</v>
          </cell>
          <cell r="D922" t="str">
            <v>CX-3</v>
          </cell>
          <cell r="E922">
            <v>108598</v>
          </cell>
          <cell r="F922" t="str">
            <v>Grade 1.6</v>
          </cell>
          <cell r="G922" t="str">
            <v>Green/Yellow</v>
          </cell>
          <cell r="H922" t="str">
            <v>Yes</v>
          </cell>
          <cell r="I922" t="str">
            <v>No</v>
          </cell>
          <cell r="J922">
            <v>45510</v>
          </cell>
          <cell r="K922" t="str">
            <v>Yes</v>
          </cell>
          <cell r="L922">
            <v>44128</v>
          </cell>
          <cell r="M922">
            <v>264</v>
          </cell>
          <cell r="N922">
            <v>314</v>
          </cell>
          <cell r="O922">
            <v>3141.77880859375</v>
          </cell>
          <cell r="P922">
            <v>9220.616333200016</v>
          </cell>
          <cell r="Q922">
            <v>3019.00146484375</v>
          </cell>
        </row>
        <row r="923">
          <cell r="A923" t="str">
            <v>JM1DKDB7XG0130052</v>
          </cell>
          <cell r="B923">
            <v>2016</v>
          </cell>
          <cell r="C923" t="str">
            <v>MAZDA</v>
          </cell>
          <cell r="D923" t="str">
            <v>CX-3</v>
          </cell>
          <cell r="E923">
            <v>112985</v>
          </cell>
          <cell r="F923" t="str">
            <v>Grade 2.2</v>
          </cell>
          <cell r="G923" t="str">
            <v>Green Light</v>
          </cell>
          <cell r="H923" t="str">
            <v>Yes</v>
          </cell>
          <cell r="I923" t="str">
            <v>No</v>
          </cell>
          <cell r="J923">
            <v>45692</v>
          </cell>
          <cell r="K923" t="str">
            <v>Yes</v>
          </cell>
          <cell r="L923">
            <v>44128</v>
          </cell>
          <cell r="M923">
            <v>264</v>
          </cell>
          <cell r="N923">
            <v>314</v>
          </cell>
          <cell r="O923">
            <v>2555.303955078125</v>
          </cell>
          <cell r="P923">
            <v>9076.6185628883268</v>
          </cell>
          <cell r="Q923">
            <v>2338.3408203125</v>
          </cell>
        </row>
        <row r="924">
          <cell r="A924" t="str">
            <v>JM1GJ1U64E1147181</v>
          </cell>
          <cell r="B924">
            <v>2014</v>
          </cell>
          <cell r="C924" t="str">
            <v>MAZDA</v>
          </cell>
          <cell r="D924" t="str">
            <v>MAZDA6</v>
          </cell>
          <cell r="E924">
            <v>161278</v>
          </cell>
          <cell r="F924" t="str">
            <v>Grade 2.7</v>
          </cell>
          <cell r="G924" t="str">
            <v>Green Light</v>
          </cell>
          <cell r="H924" t="str">
            <v>Yes</v>
          </cell>
          <cell r="I924" t="str">
            <v>No</v>
          </cell>
          <cell r="J924">
            <v>45566</v>
          </cell>
          <cell r="K924" t="str">
            <v>Yes</v>
          </cell>
          <cell r="L924">
            <v>44128</v>
          </cell>
          <cell r="M924">
            <v>264</v>
          </cell>
          <cell r="N924">
            <v>314</v>
          </cell>
          <cell r="O924">
            <v>1341.697509765625</v>
          </cell>
          <cell r="P924">
            <v>9113.4703038823154</v>
          </cell>
          <cell r="Q924">
            <v>1325.587768554688</v>
          </cell>
        </row>
        <row r="925">
          <cell r="A925" t="str">
            <v>JM1NC2PF3B0213420</v>
          </cell>
          <cell r="B925">
            <v>2011</v>
          </cell>
          <cell r="C925" t="str">
            <v>MAZDA</v>
          </cell>
          <cell r="D925" t="str">
            <v>MX-5 MIATA</v>
          </cell>
          <cell r="E925">
            <v>130502</v>
          </cell>
          <cell r="F925" t="str">
            <v>Grade 3.5</v>
          </cell>
          <cell r="G925" t="str">
            <v>Green Light</v>
          </cell>
          <cell r="H925" t="str">
            <v>Yes</v>
          </cell>
          <cell r="I925" t="str">
            <v>No</v>
          </cell>
          <cell r="J925">
            <v>45510</v>
          </cell>
          <cell r="K925" t="str">
            <v>Yes</v>
          </cell>
          <cell r="L925">
            <v>44128</v>
          </cell>
          <cell r="M925">
            <v>264</v>
          </cell>
          <cell r="N925">
            <v>314</v>
          </cell>
          <cell r="O925">
            <v>3280.371337890625</v>
          </cell>
          <cell r="P925">
            <v>9103.4555891709188</v>
          </cell>
          <cell r="Q925">
            <v>3205.46240234375</v>
          </cell>
        </row>
        <row r="926">
          <cell r="A926" t="str">
            <v>JN1AZ4EH5CM561245</v>
          </cell>
          <cell r="B926">
            <v>2012</v>
          </cell>
          <cell r="C926" t="str">
            <v>NISSAN</v>
          </cell>
          <cell r="D926" t="str">
            <v>370Z</v>
          </cell>
          <cell r="E926">
            <v>107908</v>
          </cell>
          <cell r="F926" t="str">
            <v>Grade 1.6</v>
          </cell>
          <cell r="G926" t="str">
            <v>Red Light</v>
          </cell>
          <cell r="H926" t="str">
            <v>No</v>
          </cell>
          <cell r="I926" t="str">
            <v>Yes</v>
          </cell>
          <cell r="J926">
            <v>45440</v>
          </cell>
          <cell r="K926" t="str">
            <v>Yes</v>
          </cell>
          <cell r="L926">
            <v>44128</v>
          </cell>
          <cell r="M926">
            <v>264</v>
          </cell>
          <cell r="N926">
            <v>314</v>
          </cell>
          <cell r="O926">
            <v>1609.534301757812</v>
          </cell>
          <cell r="P926">
            <v>8815.153943060146</v>
          </cell>
          <cell r="Q926">
            <v>1545.571166992188</v>
          </cell>
        </row>
        <row r="927">
          <cell r="A927" t="str">
            <v>JN1BJ1CPXKW215702</v>
          </cell>
          <cell r="B927">
            <v>2019</v>
          </cell>
          <cell r="C927" t="str">
            <v>NISSAN</v>
          </cell>
          <cell r="D927" t="str">
            <v>ROGUE SPORT</v>
          </cell>
          <cell r="E927">
            <v>109550</v>
          </cell>
          <cell r="F927" t="str">
            <v>Grade 1.3</v>
          </cell>
          <cell r="G927" t="str">
            <v>Red Light</v>
          </cell>
          <cell r="H927" t="str">
            <v>No</v>
          </cell>
          <cell r="I927" t="str">
            <v>Yes</v>
          </cell>
          <cell r="J927">
            <v>45594</v>
          </cell>
          <cell r="K927" t="str">
            <v>Yes</v>
          </cell>
          <cell r="L927">
            <v>44128</v>
          </cell>
          <cell r="M927">
            <v>264</v>
          </cell>
          <cell r="N927">
            <v>314</v>
          </cell>
          <cell r="O927">
            <v>2805.269775390625</v>
          </cell>
          <cell r="P927">
            <v>8932.0241662365042</v>
          </cell>
          <cell r="Q927">
            <v>2601.28369140625</v>
          </cell>
        </row>
        <row r="928">
          <cell r="A928" t="str">
            <v>JN1BJ1CR6JW291305</v>
          </cell>
          <cell r="B928">
            <v>2018</v>
          </cell>
          <cell r="C928" t="str">
            <v>NISSAN</v>
          </cell>
          <cell r="D928" t="str">
            <v>ROGUE SPORT AWD</v>
          </cell>
          <cell r="E928">
            <v>86122</v>
          </cell>
          <cell r="F928" t="str">
            <v>Grade 2.4</v>
          </cell>
          <cell r="G928" t="str">
            <v>Red Light</v>
          </cell>
          <cell r="H928" t="str">
            <v>No</v>
          </cell>
          <cell r="I928" t="str">
            <v>Yes</v>
          </cell>
          <cell r="J928">
            <v>45610</v>
          </cell>
          <cell r="K928" t="str">
            <v>Yes</v>
          </cell>
          <cell r="L928">
            <v>44128</v>
          </cell>
          <cell r="M928">
            <v>264</v>
          </cell>
          <cell r="N928">
            <v>314</v>
          </cell>
          <cell r="O928">
            <v>4130.3798828125</v>
          </cell>
          <cell r="P928">
            <v>9116.852445872144</v>
          </cell>
          <cell r="Q928">
            <v>4002.080078125</v>
          </cell>
        </row>
        <row r="929">
          <cell r="A929" t="str">
            <v>JN1BJ1CW2LW651761</v>
          </cell>
          <cell r="B929">
            <v>2020</v>
          </cell>
          <cell r="C929" t="str">
            <v>NISSAN</v>
          </cell>
          <cell r="D929" t="str">
            <v>ROGUE SPORT AWD</v>
          </cell>
          <cell r="E929">
            <v>58738</v>
          </cell>
          <cell r="F929" t="str">
            <v>Grade 3.1</v>
          </cell>
          <cell r="G929" t="str">
            <v>Green Light</v>
          </cell>
          <cell r="H929" t="str">
            <v>Yes</v>
          </cell>
          <cell r="I929" t="str">
            <v>No</v>
          </cell>
          <cell r="J929">
            <v>45680</v>
          </cell>
          <cell r="K929" t="str">
            <v>Yes</v>
          </cell>
          <cell r="L929">
            <v>44128</v>
          </cell>
          <cell r="M929">
            <v>264</v>
          </cell>
          <cell r="N929">
            <v>314</v>
          </cell>
          <cell r="O929">
            <v>11602.9013671875</v>
          </cell>
          <cell r="P929">
            <v>12305.51453545991</v>
          </cell>
          <cell r="Q929">
            <v>11414.068359375</v>
          </cell>
        </row>
        <row r="930">
          <cell r="A930" t="str">
            <v>JN8AS5MV5FW758251</v>
          </cell>
          <cell r="B930">
            <v>2015</v>
          </cell>
          <cell r="C930" t="str">
            <v>NISSAN</v>
          </cell>
          <cell r="D930" t="str">
            <v>ROGUE SELECT</v>
          </cell>
          <cell r="E930">
            <v>155800</v>
          </cell>
          <cell r="F930" t="str">
            <v>Grade 2.0</v>
          </cell>
          <cell r="G930" t="str">
            <v>Inoperable</v>
          </cell>
          <cell r="H930" t="str">
            <v>No</v>
          </cell>
          <cell r="I930" t="str">
            <v>Yes</v>
          </cell>
          <cell r="J930">
            <v>45706</v>
          </cell>
          <cell r="K930" t="str">
            <v>Yes</v>
          </cell>
          <cell r="L930">
            <v>44128</v>
          </cell>
          <cell r="M930">
            <v>264</v>
          </cell>
          <cell r="N930">
            <v>314</v>
          </cell>
          <cell r="O930">
            <v>1265.386352539062</v>
          </cell>
          <cell r="P930">
            <v>8789.1402011790324</v>
          </cell>
          <cell r="Q930">
            <v>1330.663208007812</v>
          </cell>
        </row>
        <row r="931">
          <cell r="A931" t="str">
            <v>JN8AY2ND0LX017725</v>
          </cell>
          <cell r="B931">
            <v>2020</v>
          </cell>
          <cell r="C931" t="str">
            <v>NISSAN</v>
          </cell>
          <cell r="D931" t="str">
            <v>ARMADA</v>
          </cell>
          <cell r="E931">
            <v>105230</v>
          </cell>
          <cell r="F931" t="str">
            <v>Grade 0.0</v>
          </cell>
          <cell r="G931" t="str">
            <v>Inoperable</v>
          </cell>
          <cell r="H931" t="str">
            <v>No</v>
          </cell>
          <cell r="I931" t="str">
            <v>Yes</v>
          </cell>
          <cell r="J931">
            <v>45678</v>
          </cell>
          <cell r="K931" t="str">
            <v>Yes</v>
          </cell>
          <cell r="L931">
            <v>44128</v>
          </cell>
          <cell r="M931">
            <v>264</v>
          </cell>
          <cell r="N931">
            <v>314</v>
          </cell>
          <cell r="O931">
            <v>4191.1748046875</v>
          </cell>
          <cell r="P931">
            <v>10539.41551899413</v>
          </cell>
          <cell r="Q931">
            <v>4079.727294921875</v>
          </cell>
        </row>
        <row r="932">
          <cell r="A932" t="str">
            <v>JN8AZ1MW5EW522405</v>
          </cell>
          <cell r="B932">
            <v>2014</v>
          </cell>
          <cell r="C932" t="str">
            <v>NISSAN</v>
          </cell>
          <cell r="D932" t="str">
            <v>MURANO AWD</v>
          </cell>
          <cell r="E932">
            <v>140597</v>
          </cell>
          <cell r="F932" t="str">
            <v>Grade 2.2</v>
          </cell>
          <cell r="G932" t="str">
            <v>Red Light</v>
          </cell>
          <cell r="H932" t="str">
            <v>No</v>
          </cell>
          <cell r="I932" t="str">
            <v>Yes</v>
          </cell>
          <cell r="J932">
            <v>45393</v>
          </cell>
          <cell r="K932" t="str">
            <v>Yes</v>
          </cell>
          <cell r="L932">
            <v>44128</v>
          </cell>
          <cell r="M932">
            <v>264</v>
          </cell>
          <cell r="N932">
            <v>314</v>
          </cell>
          <cell r="O932">
            <v>1705.072631835938</v>
          </cell>
          <cell r="P932">
            <v>8769.726195238185</v>
          </cell>
          <cell r="Q932">
            <v>1678.0625</v>
          </cell>
        </row>
        <row r="933">
          <cell r="A933" t="str">
            <v>JNKBV61F88M263369</v>
          </cell>
          <cell r="B933">
            <v>2008</v>
          </cell>
          <cell r="C933" t="str">
            <v>INFINITI</v>
          </cell>
          <cell r="D933" t="str">
            <v>G35 AWD</v>
          </cell>
          <cell r="E933">
            <v>137883</v>
          </cell>
          <cell r="F933" t="str">
            <v>Grade 1.7</v>
          </cell>
          <cell r="G933" t="str">
            <v>Red Light</v>
          </cell>
          <cell r="H933" t="str">
            <v>No</v>
          </cell>
          <cell r="I933" t="str">
            <v>Yes</v>
          </cell>
          <cell r="J933">
            <v>45498</v>
          </cell>
          <cell r="K933" t="str">
            <v>Yes</v>
          </cell>
          <cell r="L933">
            <v>44128</v>
          </cell>
          <cell r="M933">
            <v>264</v>
          </cell>
          <cell r="N933">
            <v>314</v>
          </cell>
          <cell r="O933">
            <v>1354.0244140625</v>
          </cell>
          <cell r="P933">
            <v>8939.4025670869541</v>
          </cell>
          <cell r="Q933">
            <v>1380.25</v>
          </cell>
        </row>
        <row r="934">
          <cell r="A934" t="str">
            <v>JTND4MBE9N3158053</v>
          </cell>
          <cell r="B934">
            <v>2022</v>
          </cell>
          <cell r="C934" t="str">
            <v>TOYOTA</v>
          </cell>
          <cell r="D934" t="str">
            <v>COROLLA HATCHBACK</v>
          </cell>
          <cell r="E934">
            <v>38431</v>
          </cell>
          <cell r="F934" t="str">
            <v>Grade 4.5</v>
          </cell>
          <cell r="G934" t="str">
            <v>Certified</v>
          </cell>
          <cell r="H934" t="str">
            <v>Yes</v>
          </cell>
          <cell r="I934" t="str">
            <v>No</v>
          </cell>
          <cell r="J934">
            <v>45426</v>
          </cell>
          <cell r="K934" t="str">
            <v>Yes</v>
          </cell>
          <cell r="L934">
            <v>44128</v>
          </cell>
          <cell r="M934">
            <v>264</v>
          </cell>
          <cell r="N934">
            <v>314</v>
          </cell>
          <cell r="O934">
            <v>25240.935546875</v>
          </cell>
          <cell r="P934">
            <v>14694.85545282113</v>
          </cell>
          <cell r="Q934">
            <v>25060.251953125</v>
          </cell>
        </row>
        <row r="935">
          <cell r="A935" t="str">
            <v>KL4CJ2SB1HB100820</v>
          </cell>
          <cell r="B935">
            <v>2017</v>
          </cell>
          <cell r="C935" t="str">
            <v>BUICK</v>
          </cell>
          <cell r="D935" t="str">
            <v>ENCORE</v>
          </cell>
          <cell r="E935">
            <v>110351</v>
          </cell>
          <cell r="F935" t="str">
            <v>Grade 3.4</v>
          </cell>
          <cell r="G935" t="str">
            <v>Red Light</v>
          </cell>
          <cell r="H935" t="str">
            <v>No</v>
          </cell>
          <cell r="I935" t="str">
            <v>Yes</v>
          </cell>
          <cell r="J935">
            <v>45734</v>
          </cell>
          <cell r="K935" t="str">
            <v>Yes</v>
          </cell>
          <cell r="L935">
            <v>44128</v>
          </cell>
          <cell r="M935">
            <v>264</v>
          </cell>
          <cell r="N935">
            <v>314</v>
          </cell>
          <cell r="O935">
            <v>6616.84912109375</v>
          </cell>
          <cell r="P935">
            <v>9191.8403212466492</v>
          </cell>
          <cell r="Q935">
            <v>6627.66259765625</v>
          </cell>
        </row>
        <row r="936">
          <cell r="A936" t="str">
            <v>KL4CJASB3KB795402</v>
          </cell>
          <cell r="B936">
            <v>2019</v>
          </cell>
          <cell r="C936" t="str">
            <v>BUICK</v>
          </cell>
          <cell r="D936" t="str">
            <v>ENCORE</v>
          </cell>
          <cell r="E936">
            <v>92658</v>
          </cell>
          <cell r="F936" t="str">
            <v>Grade 1.9</v>
          </cell>
          <cell r="G936" t="str">
            <v>Red Light</v>
          </cell>
          <cell r="H936" t="str">
            <v>No</v>
          </cell>
          <cell r="I936" t="str">
            <v>Yes</v>
          </cell>
          <cell r="J936">
            <v>45706</v>
          </cell>
          <cell r="K936" t="str">
            <v>Yes</v>
          </cell>
          <cell r="L936">
            <v>44128</v>
          </cell>
          <cell r="M936">
            <v>264</v>
          </cell>
          <cell r="N936">
            <v>314</v>
          </cell>
          <cell r="O936">
            <v>2836.84814453125</v>
          </cell>
          <cell r="P936">
            <v>9283.7678670526875</v>
          </cell>
          <cell r="Q936">
            <v>2708.66552734375</v>
          </cell>
        </row>
        <row r="937">
          <cell r="A937" t="str">
            <v>KL4CJASB8GB615497</v>
          </cell>
          <cell r="B937">
            <v>2016</v>
          </cell>
          <cell r="C937" t="str">
            <v>BUICK</v>
          </cell>
          <cell r="D937" t="str">
            <v>ENCORE</v>
          </cell>
          <cell r="E937">
            <v>164052</v>
          </cell>
          <cell r="F937" t="str">
            <v>Grade 1.9</v>
          </cell>
          <cell r="G937" t="str">
            <v>Red Light</v>
          </cell>
          <cell r="H937" t="str">
            <v>No</v>
          </cell>
          <cell r="I937" t="str">
            <v>Yes</v>
          </cell>
          <cell r="J937">
            <v>45622</v>
          </cell>
          <cell r="K937" t="str">
            <v>Yes</v>
          </cell>
          <cell r="L937">
            <v>44128</v>
          </cell>
          <cell r="M937">
            <v>264</v>
          </cell>
          <cell r="N937">
            <v>314</v>
          </cell>
          <cell r="O937">
            <v>1299.43408203125</v>
          </cell>
          <cell r="P937">
            <v>9046.4077173906262</v>
          </cell>
          <cell r="Q937">
            <v>1325.587768554688</v>
          </cell>
        </row>
        <row r="938">
          <cell r="A938" t="str">
            <v>KL4CJHSB4EB523194</v>
          </cell>
          <cell r="B938">
            <v>2014</v>
          </cell>
          <cell r="C938" t="str">
            <v>BUICK</v>
          </cell>
          <cell r="D938" t="str">
            <v>ENCORE</v>
          </cell>
          <cell r="E938">
            <v>98904</v>
          </cell>
          <cell r="F938" t="str">
            <v>Grade 2.4</v>
          </cell>
          <cell r="G938" t="str">
            <v>Green Light</v>
          </cell>
          <cell r="H938" t="str">
            <v>Yes</v>
          </cell>
          <cell r="I938" t="str">
            <v>No</v>
          </cell>
          <cell r="J938">
            <v>45622</v>
          </cell>
          <cell r="K938" t="str">
            <v>Yes</v>
          </cell>
          <cell r="L938">
            <v>44128</v>
          </cell>
          <cell r="M938">
            <v>264</v>
          </cell>
          <cell r="N938">
            <v>314</v>
          </cell>
          <cell r="O938">
            <v>2148.056640625</v>
          </cell>
          <cell r="P938">
            <v>9117.0502946504239</v>
          </cell>
          <cell r="Q938">
            <v>2079.332763671875</v>
          </cell>
        </row>
        <row r="939">
          <cell r="A939" t="str">
            <v>KL79MRSL9MB147741</v>
          </cell>
          <cell r="B939">
            <v>2021</v>
          </cell>
          <cell r="C939" t="str">
            <v>CHEVROLET</v>
          </cell>
          <cell r="D939" t="str">
            <v>TRAILBLAZER</v>
          </cell>
          <cell r="E939">
            <v>63415</v>
          </cell>
          <cell r="F939" t="str">
            <v>Grade 3.9</v>
          </cell>
          <cell r="G939" t="str">
            <v>Certified</v>
          </cell>
          <cell r="H939" t="str">
            <v>Yes</v>
          </cell>
          <cell r="I939" t="str">
            <v>No</v>
          </cell>
          <cell r="J939">
            <v>45692</v>
          </cell>
          <cell r="K939" t="str">
            <v>Yes</v>
          </cell>
          <cell r="L939">
            <v>44128</v>
          </cell>
          <cell r="M939">
            <v>264</v>
          </cell>
          <cell r="N939">
            <v>314</v>
          </cell>
          <cell r="O939">
            <v>18651.5625</v>
          </cell>
          <cell r="P939">
            <v>14588.100734719301</v>
          </cell>
          <cell r="Q939">
            <v>18840.40625</v>
          </cell>
        </row>
        <row r="940">
          <cell r="A940" t="str">
            <v>KL79MUSL0MB174930</v>
          </cell>
          <cell r="B940">
            <v>2021</v>
          </cell>
          <cell r="C940" t="str">
            <v>CHEVROLET</v>
          </cell>
          <cell r="D940" t="str">
            <v>TRAILBLAZER</v>
          </cell>
          <cell r="E940">
            <v>66877</v>
          </cell>
          <cell r="F940" t="str">
            <v>Grade 4.3</v>
          </cell>
          <cell r="G940" t="str">
            <v>Green/Yellow</v>
          </cell>
          <cell r="H940" t="str">
            <v>Yes</v>
          </cell>
          <cell r="I940" t="str">
            <v>No</v>
          </cell>
          <cell r="J940">
            <v>45692</v>
          </cell>
          <cell r="K940" t="str">
            <v>Yes</v>
          </cell>
          <cell r="L940">
            <v>44128</v>
          </cell>
          <cell r="M940">
            <v>264</v>
          </cell>
          <cell r="N940">
            <v>314</v>
          </cell>
          <cell r="O940">
            <v>18981.34765625</v>
          </cell>
          <cell r="P940">
            <v>13587.14625857821</v>
          </cell>
          <cell r="Q940">
            <v>19317.044921875</v>
          </cell>
        </row>
        <row r="941">
          <cell r="A941" t="str">
            <v>KL7CJPSB9MB345732</v>
          </cell>
          <cell r="B941">
            <v>2021</v>
          </cell>
          <cell r="C941" t="str">
            <v>CHEVROLET</v>
          </cell>
          <cell r="D941" t="str">
            <v>TRAX</v>
          </cell>
          <cell r="E941">
            <v>82113</v>
          </cell>
          <cell r="F941" t="str">
            <v>Grade 4.4</v>
          </cell>
          <cell r="G941" t="str">
            <v>Certified</v>
          </cell>
          <cell r="H941" t="str">
            <v>Yes</v>
          </cell>
          <cell r="I941" t="str">
            <v>No</v>
          </cell>
          <cell r="J941">
            <v>45412</v>
          </cell>
          <cell r="K941" t="str">
            <v>Yes</v>
          </cell>
          <cell r="L941">
            <v>44128</v>
          </cell>
          <cell r="M941">
            <v>264</v>
          </cell>
          <cell r="N941">
            <v>314</v>
          </cell>
          <cell r="O941">
            <v>14081.955078125</v>
          </cell>
          <cell r="P941">
            <v>12428.2713570179</v>
          </cell>
          <cell r="Q941">
            <v>14068.7763671875</v>
          </cell>
        </row>
        <row r="942">
          <cell r="A942" t="str">
            <v>KL8CD6SAXMC751095</v>
          </cell>
          <cell r="B942">
            <v>2021</v>
          </cell>
          <cell r="C942" t="str">
            <v>CHEVROLET</v>
          </cell>
          <cell r="D942" t="str">
            <v>SPARK</v>
          </cell>
          <cell r="E942">
            <v>56137</v>
          </cell>
          <cell r="F942" t="str">
            <v>Grade 2.8</v>
          </cell>
          <cell r="G942" t="str">
            <v>Green Light</v>
          </cell>
          <cell r="H942" t="str">
            <v>Yes</v>
          </cell>
          <cell r="I942" t="str">
            <v>No</v>
          </cell>
          <cell r="J942">
            <v>45547</v>
          </cell>
          <cell r="K942" t="str">
            <v>Yes</v>
          </cell>
          <cell r="L942">
            <v>44128</v>
          </cell>
          <cell r="M942">
            <v>264</v>
          </cell>
          <cell r="N942">
            <v>314</v>
          </cell>
          <cell r="O942">
            <v>11305.3837890625</v>
          </cell>
          <cell r="P942">
            <v>13893.739879936271</v>
          </cell>
          <cell r="Q942">
            <v>11058.03125</v>
          </cell>
        </row>
        <row r="943">
          <cell r="A943" t="str">
            <v>KM8J3CA41JU684710</v>
          </cell>
          <cell r="B943">
            <v>2018</v>
          </cell>
          <cell r="C943" t="str">
            <v>HYUNDAI</v>
          </cell>
          <cell r="D943" t="str">
            <v>TUCSON</v>
          </cell>
          <cell r="E943">
            <v>163027</v>
          </cell>
          <cell r="F943" t="str">
            <v>Grade 1.6</v>
          </cell>
          <cell r="G943" t="str">
            <v>Inoperable</v>
          </cell>
          <cell r="H943" t="str">
            <v>No</v>
          </cell>
          <cell r="I943" t="str">
            <v>Yes</v>
          </cell>
          <cell r="J943">
            <v>45692</v>
          </cell>
          <cell r="K943" t="str">
            <v>Yes</v>
          </cell>
          <cell r="L943">
            <v>44128</v>
          </cell>
          <cell r="M943">
            <v>264</v>
          </cell>
          <cell r="N943">
            <v>314</v>
          </cell>
          <cell r="O943">
            <v>1720.48095703125</v>
          </cell>
          <cell r="P943">
            <v>8879.1559208754079</v>
          </cell>
          <cell r="Q943">
            <v>1672.987060546875</v>
          </cell>
        </row>
        <row r="944">
          <cell r="A944" t="str">
            <v>KM8J3CA45HU276320</v>
          </cell>
          <cell r="B944">
            <v>2017</v>
          </cell>
          <cell r="C944" t="str">
            <v>HYUNDAI</v>
          </cell>
          <cell r="D944" t="str">
            <v>TUCSON</v>
          </cell>
          <cell r="E944">
            <v>103801</v>
          </cell>
          <cell r="F944" t="str">
            <v>Grade 2.0</v>
          </cell>
          <cell r="G944" t="str">
            <v>Inoperable</v>
          </cell>
          <cell r="H944" t="str">
            <v>No</v>
          </cell>
          <cell r="I944" t="str">
            <v>Yes</v>
          </cell>
          <cell r="J944">
            <v>45566</v>
          </cell>
          <cell r="K944" t="str">
            <v>Yes</v>
          </cell>
          <cell r="L944">
            <v>44128</v>
          </cell>
          <cell r="M944">
            <v>264</v>
          </cell>
          <cell r="N944">
            <v>314</v>
          </cell>
          <cell r="O944">
            <v>2792.449462890625</v>
          </cell>
          <cell r="P944">
            <v>8776.3848786836461</v>
          </cell>
          <cell r="Q944">
            <v>2606.359375</v>
          </cell>
        </row>
        <row r="945">
          <cell r="A945" t="str">
            <v>KM8JT3AB1CU507169</v>
          </cell>
          <cell r="B945">
            <v>2012</v>
          </cell>
          <cell r="C945" t="str">
            <v>HYUNDAI</v>
          </cell>
          <cell r="D945" t="str">
            <v>TUCSON FWD 4C</v>
          </cell>
          <cell r="E945">
            <v>108364</v>
          </cell>
          <cell r="F945" t="str">
            <v>Grade 1.8</v>
          </cell>
          <cell r="G945" t="str">
            <v>Red Light</v>
          </cell>
          <cell r="H945" t="str">
            <v>No</v>
          </cell>
          <cell r="I945" t="str">
            <v>Yes</v>
          </cell>
          <cell r="J945">
            <v>45309</v>
          </cell>
          <cell r="K945" t="str">
            <v>Yes</v>
          </cell>
          <cell r="L945">
            <v>44128</v>
          </cell>
          <cell r="M945">
            <v>264</v>
          </cell>
          <cell r="N945">
            <v>314</v>
          </cell>
          <cell r="O945">
            <v>1329.045166015625</v>
          </cell>
          <cell r="P945">
            <v>8666.2069323753731</v>
          </cell>
          <cell r="Q945">
            <v>1330.663208007812</v>
          </cell>
        </row>
        <row r="946">
          <cell r="A946" t="str">
            <v>KM8JU3AG0EU854097</v>
          </cell>
          <cell r="B946">
            <v>2014</v>
          </cell>
          <cell r="C946" t="str">
            <v>HYUNDAI</v>
          </cell>
          <cell r="D946" t="str">
            <v>TUCSON FWD 4C</v>
          </cell>
          <cell r="E946">
            <v>188973</v>
          </cell>
          <cell r="F946" t="str">
            <v>Grade 1.3</v>
          </cell>
          <cell r="G946" t="str">
            <v>Red Light</v>
          </cell>
          <cell r="H946" t="str">
            <v>No</v>
          </cell>
          <cell r="I946" t="str">
            <v>Yes</v>
          </cell>
          <cell r="J946">
            <v>45617</v>
          </cell>
          <cell r="K946" t="str">
            <v>Yes</v>
          </cell>
          <cell r="L946">
            <v>44128</v>
          </cell>
          <cell r="M946">
            <v>264</v>
          </cell>
          <cell r="N946">
            <v>314</v>
          </cell>
          <cell r="O946">
            <v>736.76507568359375</v>
          </cell>
          <cell r="P946">
            <v>8676.1219526653676</v>
          </cell>
          <cell r="Q946">
            <v>932.59674072265625</v>
          </cell>
        </row>
        <row r="947">
          <cell r="A947" t="str">
            <v>KM8K5CA5XKU222090</v>
          </cell>
          <cell r="B947">
            <v>2019</v>
          </cell>
          <cell r="C947" t="str">
            <v>HYUNDAI</v>
          </cell>
          <cell r="D947" t="str">
            <v>KONA</v>
          </cell>
          <cell r="E947">
            <v>94572</v>
          </cell>
          <cell r="F947" t="str">
            <v>Grade 1.3</v>
          </cell>
          <cell r="G947" t="str">
            <v>Red Light</v>
          </cell>
          <cell r="H947" t="str">
            <v>No</v>
          </cell>
          <cell r="I947" t="str">
            <v>Yes</v>
          </cell>
          <cell r="J947">
            <v>45622</v>
          </cell>
          <cell r="K947" t="str">
            <v>Yes</v>
          </cell>
          <cell r="L947">
            <v>44128</v>
          </cell>
          <cell r="M947">
            <v>264</v>
          </cell>
          <cell r="N947">
            <v>314</v>
          </cell>
          <cell r="O947">
            <v>3658.391845703125</v>
          </cell>
          <cell r="P947">
            <v>9087.8571745342924</v>
          </cell>
          <cell r="Q947">
            <v>3488.23046875</v>
          </cell>
        </row>
        <row r="948">
          <cell r="A948" t="str">
            <v>KMHCT5AE4EU195480</v>
          </cell>
          <cell r="B948">
            <v>2014</v>
          </cell>
          <cell r="C948" t="str">
            <v>HYUNDAI</v>
          </cell>
          <cell r="D948" t="str">
            <v>ACCENT</v>
          </cell>
          <cell r="E948">
            <v>112790</v>
          </cell>
          <cell r="F948" t="str">
            <v>Grade 1.6</v>
          </cell>
          <cell r="G948" t="str">
            <v>Green/Yellow</v>
          </cell>
          <cell r="H948" t="str">
            <v>Yes</v>
          </cell>
          <cell r="I948" t="str">
            <v>No</v>
          </cell>
          <cell r="J948">
            <v>45482</v>
          </cell>
          <cell r="K948" t="str">
            <v>Yes</v>
          </cell>
          <cell r="L948">
            <v>44128</v>
          </cell>
          <cell r="M948">
            <v>264</v>
          </cell>
          <cell r="N948">
            <v>314</v>
          </cell>
          <cell r="O948">
            <v>1293.581909179688</v>
          </cell>
          <cell r="P948">
            <v>8647.612954175187</v>
          </cell>
          <cell r="Q948">
            <v>1333.555419921875</v>
          </cell>
        </row>
        <row r="949">
          <cell r="A949" t="str">
            <v>KMHD35LH4HU375333</v>
          </cell>
          <cell r="B949">
            <v>2017</v>
          </cell>
          <cell r="C949" t="str">
            <v>HYUNDAI</v>
          </cell>
          <cell r="D949" t="str">
            <v>ELANTRA GT</v>
          </cell>
          <cell r="E949">
            <v>200754</v>
          </cell>
          <cell r="F949" t="str">
            <v>Grade 2.4</v>
          </cell>
          <cell r="G949" t="str">
            <v>Red Light</v>
          </cell>
          <cell r="H949" t="str">
            <v>No</v>
          </cell>
          <cell r="I949" t="str">
            <v>Yes</v>
          </cell>
          <cell r="J949">
            <v>45351</v>
          </cell>
          <cell r="K949" t="str">
            <v>Yes</v>
          </cell>
          <cell r="L949">
            <v>44128</v>
          </cell>
          <cell r="M949">
            <v>264</v>
          </cell>
          <cell r="N949">
            <v>314</v>
          </cell>
          <cell r="O949">
            <v>2165.041748046875</v>
          </cell>
          <cell r="P949">
            <v>8576.5308911898919</v>
          </cell>
          <cell r="Q949">
            <v>2095.49365234375</v>
          </cell>
        </row>
        <row r="950">
          <cell r="A950" t="str">
            <v>KMHD84LF1HU349816</v>
          </cell>
          <cell r="B950">
            <v>2017</v>
          </cell>
          <cell r="C950" t="str">
            <v>HYUNDAI</v>
          </cell>
          <cell r="D950" t="str">
            <v>ELANTRA</v>
          </cell>
          <cell r="E950">
            <v>86417</v>
          </cell>
          <cell r="F950" t="str">
            <v>Grade 2.8</v>
          </cell>
          <cell r="G950" t="str">
            <v>Green Light</v>
          </cell>
          <cell r="H950" t="str">
            <v>Yes</v>
          </cell>
          <cell r="I950" t="str">
            <v>No</v>
          </cell>
          <cell r="J950">
            <v>45328</v>
          </cell>
          <cell r="K950" t="str">
            <v>Yes</v>
          </cell>
          <cell r="L950">
            <v>44128</v>
          </cell>
          <cell r="M950">
            <v>264</v>
          </cell>
          <cell r="N950">
            <v>314</v>
          </cell>
          <cell r="O950">
            <v>4307.896484375</v>
          </cell>
          <cell r="P950">
            <v>8825.7042001731734</v>
          </cell>
          <cell r="Q950">
            <v>4289.79638671875</v>
          </cell>
        </row>
        <row r="951">
          <cell r="A951" t="str">
            <v>KMHDH4AE8CU454792</v>
          </cell>
          <cell r="B951">
            <v>2012</v>
          </cell>
          <cell r="C951" t="str">
            <v>HYUNDAI</v>
          </cell>
          <cell r="D951" t="str">
            <v>ELANTRA</v>
          </cell>
          <cell r="E951">
            <v>87503</v>
          </cell>
          <cell r="F951" t="str">
            <v>Grade 2.8</v>
          </cell>
          <cell r="G951" t="str">
            <v>Green Light</v>
          </cell>
          <cell r="H951" t="str">
            <v>Yes</v>
          </cell>
          <cell r="I951" t="str">
            <v>No</v>
          </cell>
          <cell r="J951">
            <v>45566</v>
          </cell>
          <cell r="K951" t="str">
            <v>Yes</v>
          </cell>
          <cell r="L951">
            <v>44128</v>
          </cell>
          <cell r="M951">
            <v>264</v>
          </cell>
          <cell r="N951">
            <v>314</v>
          </cell>
          <cell r="O951">
            <v>1774.925415039062</v>
          </cell>
          <cell r="P951">
            <v>8834.3420857716774</v>
          </cell>
          <cell r="Q951">
            <v>1715.600830078125</v>
          </cell>
        </row>
        <row r="952">
          <cell r="A952" t="str">
            <v>KMHE24L11GA016526</v>
          </cell>
          <cell r="B952">
            <v>2016</v>
          </cell>
          <cell r="C952" t="str">
            <v>HYUNDAI</v>
          </cell>
          <cell r="D952" t="str">
            <v>SONATA</v>
          </cell>
          <cell r="E952">
            <v>121073</v>
          </cell>
          <cell r="F952" t="str">
            <v>Grade 1.3</v>
          </cell>
          <cell r="G952" t="str">
            <v>Inoperable</v>
          </cell>
          <cell r="H952" t="str">
            <v>No</v>
          </cell>
          <cell r="I952" t="str">
            <v>Yes</v>
          </cell>
          <cell r="J952">
            <v>45673</v>
          </cell>
          <cell r="K952" t="str">
            <v>Yes</v>
          </cell>
          <cell r="L952">
            <v>44128</v>
          </cell>
          <cell r="M952">
            <v>264</v>
          </cell>
          <cell r="N952">
            <v>314</v>
          </cell>
          <cell r="O952">
            <v>1762.906127929688</v>
          </cell>
          <cell r="P952">
            <v>8586.5896534189651</v>
          </cell>
          <cell r="Q952">
            <v>1721.121948242188</v>
          </cell>
        </row>
        <row r="953">
          <cell r="A953" t="str">
            <v>KNAFK4A69G5610004</v>
          </cell>
          <cell r="B953">
            <v>2016</v>
          </cell>
          <cell r="C953" t="str">
            <v>KIA</v>
          </cell>
          <cell r="D953" t="str">
            <v>FORTE</v>
          </cell>
          <cell r="E953">
            <v>143111</v>
          </cell>
          <cell r="F953" t="str">
            <v>Grade 2.8</v>
          </cell>
          <cell r="G953" t="str">
            <v>Red Light</v>
          </cell>
          <cell r="H953" t="str">
            <v>No</v>
          </cell>
          <cell r="I953" t="str">
            <v>Yes</v>
          </cell>
          <cell r="J953">
            <v>45596</v>
          </cell>
          <cell r="K953" t="str">
            <v>Yes</v>
          </cell>
          <cell r="L953">
            <v>44128</v>
          </cell>
          <cell r="M953">
            <v>264</v>
          </cell>
          <cell r="N953">
            <v>314</v>
          </cell>
          <cell r="O953">
            <v>1243.664428710938</v>
          </cell>
          <cell r="P953">
            <v>8691.0288133362756</v>
          </cell>
          <cell r="Q953">
            <v>1330.663208007812</v>
          </cell>
        </row>
        <row r="954">
          <cell r="A954" t="str">
            <v>KNAFX4A61G5476915</v>
          </cell>
          <cell r="B954">
            <v>2016</v>
          </cell>
          <cell r="C954" t="str">
            <v>KIA</v>
          </cell>
          <cell r="D954" t="str">
            <v>FORTE</v>
          </cell>
          <cell r="E954">
            <v>85996</v>
          </cell>
          <cell r="F954" t="str">
            <v>Grade 2.3</v>
          </cell>
          <cell r="G954" t="str">
            <v>Red Light</v>
          </cell>
          <cell r="H954" t="str">
            <v>No</v>
          </cell>
          <cell r="I954" t="str">
            <v>Yes</v>
          </cell>
          <cell r="J954">
            <v>45365</v>
          </cell>
          <cell r="K954" t="str">
            <v>Yes</v>
          </cell>
          <cell r="L954">
            <v>44128</v>
          </cell>
          <cell r="M954">
            <v>264</v>
          </cell>
          <cell r="N954">
            <v>314</v>
          </cell>
          <cell r="O954">
            <v>3582.149169921875</v>
          </cell>
          <cell r="P954">
            <v>8797.7836295596553</v>
          </cell>
          <cell r="Q954">
            <v>3459.5888671875</v>
          </cell>
        </row>
        <row r="955">
          <cell r="A955" t="str">
            <v>KNALN4D75E5128125</v>
          </cell>
          <cell r="B955">
            <v>2014</v>
          </cell>
          <cell r="C955" t="str">
            <v>KIA</v>
          </cell>
          <cell r="D955" t="str">
            <v>CADENZA</v>
          </cell>
          <cell r="E955">
            <v>129316</v>
          </cell>
          <cell r="F955" t="str">
            <v>Grade 1.3</v>
          </cell>
          <cell r="G955" t="str">
            <v>Red Light</v>
          </cell>
          <cell r="H955" t="str">
            <v>No</v>
          </cell>
          <cell r="I955" t="str">
            <v>Yes</v>
          </cell>
          <cell r="J955">
            <v>45300</v>
          </cell>
          <cell r="K955" t="str">
            <v>Yes</v>
          </cell>
          <cell r="L955">
            <v>44128</v>
          </cell>
          <cell r="M955">
            <v>264</v>
          </cell>
          <cell r="N955">
            <v>314</v>
          </cell>
          <cell r="O955">
            <v>1130.80908203125</v>
          </cell>
          <cell r="P955">
            <v>8585.1701382946267</v>
          </cell>
          <cell r="Q955">
            <v>1286.9091796875</v>
          </cell>
        </row>
        <row r="956">
          <cell r="A956" t="str">
            <v>KNDJP3A52J7511052</v>
          </cell>
          <cell r="B956">
            <v>2018</v>
          </cell>
          <cell r="C956" t="str">
            <v>KIA</v>
          </cell>
          <cell r="D956" t="str">
            <v>SOUL</v>
          </cell>
          <cell r="E956">
            <v>96574</v>
          </cell>
          <cell r="F956" t="str">
            <v>Grade 1.3</v>
          </cell>
          <cell r="G956" t="str">
            <v>Red Light</v>
          </cell>
          <cell r="H956" t="str">
            <v>No</v>
          </cell>
          <cell r="I956" t="str">
            <v>Yes</v>
          </cell>
          <cell r="J956">
            <v>45400</v>
          </cell>
          <cell r="K956" t="str">
            <v>Yes</v>
          </cell>
          <cell r="L956">
            <v>44128</v>
          </cell>
          <cell r="M956">
            <v>264</v>
          </cell>
          <cell r="N956">
            <v>314</v>
          </cell>
          <cell r="O956">
            <v>3213.554931640625</v>
          </cell>
          <cell r="P956">
            <v>8835.5298340568061</v>
          </cell>
          <cell r="Q956">
            <v>3075.55859375</v>
          </cell>
        </row>
        <row r="957">
          <cell r="A957" t="str">
            <v>KNDPM3ACXH7237031</v>
          </cell>
          <cell r="B957">
            <v>2017</v>
          </cell>
          <cell r="C957" t="str">
            <v>KIA</v>
          </cell>
          <cell r="D957" t="str">
            <v>SPORTAGE FWD 4C</v>
          </cell>
          <cell r="E957">
            <v>94427</v>
          </cell>
          <cell r="F957" t="str">
            <v>Grade 2.8</v>
          </cell>
          <cell r="G957" t="str">
            <v>Green Light</v>
          </cell>
          <cell r="H957" t="str">
            <v>Yes</v>
          </cell>
          <cell r="I957" t="str">
            <v>No</v>
          </cell>
          <cell r="J957">
            <v>45449</v>
          </cell>
          <cell r="K957" t="str">
            <v>Yes</v>
          </cell>
          <cell r="L957">
            <v>44128</v>
          </cell>
          <cell r="M957">
            <v>264</v>
          </cell>
          <cell r="N957">
            <v>314</v>
          </cell>
          <cell r="O957">
            <v>3398.22216796875</v>
          </cell>
          <cell r="P957">
            <v>8948.6144430447257</v>
          </cell>
          <cell r="Q957">
            <v>3291.81689453125</v>
          </cell>
        </row>
        <row r="958">
          <cell r="A958" t="str">
            <v>KNMAT2MV1GP711916</v>
          </cell>
          <cell r="B958">
            <v>2016</v>
          </cell>
          <cell r="C958" t="str">
            <v>NISSAN</v>
          </cell>
          <cell r="D958" t="str">
            <v>ROGUE AWD 4C</v>
          </cell>
          <cell r="E958">
            <v>105850</v>
          </cell>
          <cell r="F958" t="str">
            <v>Grade 2.8</v>
          </cell>
          <cell r="G958" t="str">
            <v>Red Light</v>
          </cell>
          <cell r="H958" t="str">
            <v>No</v>
          </cell>
          <cell r="I958" t="str">
            <v>Yes</v>
          </cell>
          <cell r="J958">
            <v>45449</v>
          </cell>
          <cell r="K958" t="str">
            <v>Yes</v>
          </cell>
          <cell r="L958">
            <v>44128</v>
          </cell>
          <cell r="M958">
            <v>264</v>
          </cell>
          <cell r="N958">
            <v>314</v>
          </cell>
          <cell r="O958">
            <v>2767.32861328125</v>
          </cell>
          <cell r="P958">
            <v>8898.553946738537</v>
          </cell>
          <cell r="Q958">
            <v>2601.28369140625</v>
          </cell>
        </row>
        <row r="959">
          <cell r="A959" t="str">
            <v>LVY982MK2JP037043</v>
          </cell>
          <cell r="B959">
            <v>2018</v>
          </cell>
          <cell r="C959" t="str">
            <v>VOLVO</v>
          </cell>
          <cell r="D959" t="str">
            <v>S90</v>
          </cell>
          <cell r="E959">
            <v>99811</v>
          </cell>
          <cell r="F959" t="str">
            <v>Grade 4.1</v>
          </cell>
          <cell r="G959" t="str">
            <v>Certified</v>
          </cell>
          <cell r="H959" t="str">
            <v>Yes</v>
          </cell>
          <cell r="I959" t="str">
            <v>No</v>
          </cell>
          <cell r="J959">
            <v>45468</v>
          </cell>
          <cell r="K959" t="str">
            <v>Yes</v>
          </cell>
          <cell r="L959">
            <v>44128</v>
          </cell>
          <cell r="M959">
            <v>264</v>
          </cell>
          <cell r="N959">
            <v>314</v>
          </cell>
          <cell r="O959">
            <v>11735.908203125</v>
          </cell>
          <cell r="P959">
            <v>10194.74862138945</v>
          </cell>
          <cell r="Q959">
            <v>11879.884765625</v>
          </cell>
        </row>
        <row r="960">
          <cell r="A960" t="str">
            <v>MAJ6P1UL0JC201371</v>
          </cell>
          <cell r="B960">
            <v>2018</v>
          </cell>
          <cell r="C960" t="str">
            <v>FORD</v>
          </cell>
          <cell r="D960" t="str">
            <v>ECOSPORT</v>
          </cell>
          <cell r="E960">
            <v>67136</v>
          </cell>
          <cell r="F960" t="str">
            <v>Grade 2.3</v>
          </cell>
          <cell r="G960" t="str">
            <v>Green/Yellow</v>
          </cell>
          <cell r="H960" t="str">
            <v>Yes</v>
          </cell>
          <cell r="I960" t="str">
            <v>No</v>
          </cell>
          <cell r="J960">
            <v>45678</v>
          </cell>
          <cell r="K960" t="str">
            <v>Yes</v>
          </cell>
          <cell r="L960">
            <v>44128</v>
          </cell>
          <cell r="M960">
            <v>264</v>
          </cell>
          <cell r="N960">
            <v>314</v>
          </cell>
          <cell r="O960">
            <v>7257.5380859375</v>
          </cell>
          <cell r="P960">
            <v>10230.597067752309</v>
          </cell>
          <cell r="Q960">
            <v>7047.55908203125</v>
          </cell>
        </row>
        <row r="961">
          <cell r="A961" t="str">
            <v>MAJ6P1WL5JC181180</v>
          </cell>
          <cell r="B961">
            <v>2018</v>
          </cell>
          <cell r="C961" t="str">
            <v>FORD</v>
          </cell>
          <cell r="D961" t="str">
            <v>ECOSPORT</v>
          </cell>
          <cell r="E961">
            <v>67735</v>
          </cell>
          <cell r="F961" t="str">
            <v>Grade 2.5</v>
          </cell>
          <cell r="G961" t="str">
            <v>Red Light</v>
          </cell>
          <cell r="H961" t="str">
            <v>No</v>
          </cell>
          <cell r="I961" t="str">
            <v>Yes</v>
          </cell>
          <cell r="J961">
            <v>45580</v>
          </cell>
          <cell r="K961" t="str">
            <v>Yes</v>
          </cell>
          <cell r="L961">
            <v>44128</v>
          </cell>
          <cell r="M961">
            <v>264</v>
          </cell>
          <cell r="N961">
            <v>314</v>
          </cell>
          <cell r="O961">
            <v>7442.63037109375</v>
          </cell>
          <cell r="P961">
            <v>10116.172262375139</v>
          </cell>
          <cell r="Q961">
            <v>7263.35302734375</v>
          </cell>
        </row>
        <row r="962">
          <cell r="A962" t="str">
            <v>MAJ6S3GL7KC276009</v>
          </cell>
          <cell r="B962">
            <v>2019</v>
          </cell>
          <cell r="C962" t="str">
            <v>FORD</v>
          </cell>
          <cell r="D962" t="str">
            <v>ECOSPORT 4X4 4C</v>
          </cell>
          <cell r="E962">
            <v>86419</v>
          </cell>
          <cell r="F962" t="str">
            <v>Unknown</v>
          </cell>
          <cell r="G962" t="str">
            <v>Salvage</v>
          </cell>
          <cell r="H962" t="str">
            <v>No</v>
          </cell>
          <cell r="I962" t="str">
            <v>Yes</v>
          </cell>
          <cell r="J962">
            <v>45596</v>
          </cell>
          <cell r="K962" t="str">
            <v>Yes</v>
          </cell>
          <cell r="L962">
            <v>44128</v>
          </cell>
          <cell r="M962">
            <v>264</v>
          </cell>
          <cell r="N962">
            <v>314</v>
          </cell>
          <cell r="O962">
            <v>12211.7626953125</v>
          </cell>
          <cell r="P962">
            <v>9593.5942605931232</v>
          </cell>
          <cell r="Q962">
            <v>12414.1337890625</v>
          </cell>
        </row>
        <row r="963">
          <cell r="A963" t="str">
            <v>SJKCH5CR7HA039863</v>
          </cell>
          <cell r="B963">
            <v>2017</v>
          </cell>
          <cell r="C963" t="str">
            <v>INFINITI</v>
          </cell>
          <cell r="D963" t="str">
            <v>QX30</v>
          </cell>
          <cell r="E963">
            <v>106113</v>
          </cell>
          <cell r="F963" t="str">
            <v>Grade 3.2</v>
          </cell>
          <cell r="G963" t="str">
            <v>Red Light</v>
          </cell>
          <cell r="H963" t="str">
            <v>No</v>
          </cell>
          <cell r="I963" t="str">
            <v>Yes</v>
          </cell>
          <cell r="J963">
            <v>45622</v>
          </cell>
          <cell r="K963" t="str">
            <v>Yes</v>
          </cell>
          <cell r="L963">
            <v>44128</v>
          </cell>
          <cell r="M963">
            <v>264</v>
          </cell>
          <cell r="N963">
            <v>314</v>
          </cell>
          <cell r="O963">
            <v>8556.265625</v>
          </cell>
          <cell r="P963">
            <v>9120.4780028878831</v>
          </cell>
          <cell r="Q963">
            <v>8628.9755859375</v>
          </cell>
        </row>
        <row r="964">
          <cell r="A964" t="str">
            <v>W04GS5EC5B1062767</v>
          </cell>
          <cell r="B964">
            <v>2011</v>
          </cell>
          <cell r="C964" t="str">
            <v>BUICK</v>
          </cell>
          <cell r="D964" t="str">
            <v>REGAL</v>
          </cell>
          <cell r="E964">
            <v>66611</v>
          </cell>
          <cell r="F964" t="str">
            <v>Grade 2.9</v>
          </cell>
          <cell r="G964" t="str">
            <v>Green/Yellow</v>
          </cell>
          <cell r="H964" t="str">
            <v>Yes</v>
          </cell>
          <cell r="I964" t="str">
            <v>No</v>
          </cell>
          <cell r="J964">
            <v>45720</v>
          </cell>
          <cell r="K964" t="str">
            <v>Yes</v>
          </cell>
          <cell r="L964">
            <v>44128</v>
          </cell>
          <cell r="M964">
            <v>264</v>
          </cell>
          <cell r="N964">
            <v>314</v>
          </cell>
          <cell r="O964">
            <v>2453.564697265625</v>
          </cell>
          <cell r="P964">
            <v>10157.30900971687</v>
          </cell>
          <cell r="Q964">
            <v>2324.349365234375</v>
          </cell>
        </row>
        <row r="965">
          <cell r="A965" t="str">
            <v>WA1CVAF16KD014415</v>
          </cell>
          <cell r="B965">
            <v>2019</v>
          </cell>
          <cell r="C965" t="str">
            <v>AUDI</v>
          </cell>
          <cell r="D965" t="str">
            <v>Q8</v>
          </cell>
          <cell r="E965">
            <v>39802</v>
          </cell>
          <cell r="F965" t="str">
            <v>Grade 4.5</v>
          </cell>
          <cell r="G965" t="str">
            <v>Certified</v>
          </cell>
          <cell r="H965" t="str">
            <v>Yes</v>
          </cell>
          <cell r="I965" t="str">
            <v>No</v>
          </cell>
          <cell r="J965">
            <v>45454</v>
          </cell>
          <cell r="K965" t="str">
            <v>Yes</v>
          </cell>
          <cell r="L965">
            <v>44128</v>
          </cell>
          <cell r="M965">
            <v>264</v>
          </cell>
          <cell r="N965">
            <v>314</v>
          </cell>
          <cell r="O965">
            <v>24052.48828125</v>
          </cell>
          <cell r="P965">
            <v>14030.577213275539</v>
          </cell>
          <cell r="Q965">
            <v>24002.94921875</v>
          </cell>
        </row>
        <row r="966">
          <cell r="A966" t="str">
            <v>WBA8A9C59JAH13454</v>
          </cell>
          <cell r="B966">
            <v>2018</v>
          </cell>
          <cell r="C966" t="str">
            <v>BMW</v>
          </cell>
          <cell r="D966" t="str">
            <v>320I</v>
          </cell>
          <cell r="E966">
            <v>137222</v>
          </cell>
          <cell r="F966" t="str">
            <v>Grade 4.3</v>
          </cell>
          <cell r="G966" t="str">
            <v>Green Light</v>
          </cell>
          <cell r="H966" t="str">
            <v>Yes</v>
          </cell>
          <cell r="I966" t="str">
            <v>No</v>
          </cell>
          <cell r="J966">
            <v>45722</v>
          </cell>
          <cell r="K966" t="str">
            <v>Yes</v>
          </cell>
          <cell r="L966">
            <v>44128</v>
          </cell>
          <cell r="M966">
            <v>264</v>
          </cell>
          <cell r="N966">
            <v>314</v>
          </cell>
          <cell r="O966">
            <v>9622.736328125</v>
          </cell>
          <cell r="P966">
            <v>10313.0409325333</v>
          </cell>
          <cell r="Q966">
            <v>9722.689453125</v>
          </cell>
        </row>
        <row r="967">
          <cell r="A967" t="str">
            <v>WBXHT3C51K3H35628</v>
          </cell>
          <cell r="B967">
            <v>2019</v>
          </cell>
          <cell r="C967" t="str">
            <v>BMW</v>
          </cell>
          <cell r="D967" t="str">
            <v>X1</v>
          </cell>
          <cell r="E967">
            <v>72122</v>
          </cell>
          <cell r="F967" t="str">
            <v>Grade 4.4</v>
          </cell>
          <cell r="G967" t="str">
            <v>Certified</v>
          </cell>
          <cell r="H967" t="str">
            <v>Yes</v>
          </cell>
          <cell r="I967" t="str">
            <v>No</v>
          </cell>
          <cell r="J967">
            <v>45496</v>
          </cell>
          <cell r="K967" t="str">
            <v>Yes</v>
          </cell>
          <cell r="L967">
            <v>44128</v>
          </cell>
          <cell r="M967">
            <v>264</v>
          </cell>
          <cell r="N967">
            <v>314</v>
          </cell>
          <cell r="O967">
            <v>13793.291015625</v>
          </cell>
          <cell r="P967">
            <v>10453.27607917812</v>
          </cell>
          <cell r="Q967">
            <v>13906.603515625</v>
          </cell>
        </row>
        <row r="968">
          <cell r="A968" t="str">
            <v>WBXYJ5C39JEF69393</v>
          </cell>
          <cell r="B968">
            <v>2018</v>
          </cell>
          <cell r="C968" t="str">
            <v>BMW</v>
          </cell>
          <cell r="D968" t="str">
            <v>X2</v>
          </cell>
          <cell r="E968">
            <v>73541</v>
          </cell>
          <cell r="F968" t="str">
            <v>Grade 2.7</v>
          </cell>
          <cell r="G968" t="str">
            <v>Green/Yellow</v>
          </cell>
          <cell r="H968" t="str">
            <v>Yes</v>
          </cell>
          <cell r="I968" t="str">
            <v>No</v>
          </cell>
          <cell r="J968">
            <v>45636</v>
          </cell>
          <cell r="K968" t="str">
            <v>Yes</v>
          </cell>
          <cell r="L968">
            <v>44128</v>
          </cell>
          <cell r="M968">
            <v>264</v>
          </cell>
          <cell r="N968">
            <v>314</v>
          </cell>
          <cell r="O968">
            <v>7407.97119140625</v>
          </cell>
          <cell r="P968">
            <v>9786.4698258365097</v>
          </cell>
          <cell r="Q968">
            <v>7442.0830078125</v>
          </cell>
        </row>
        <row r="969">
          <cell r="A969" t="str">
            <v>WDCTG4GB4GJ233790</v>
          </cell>
          <cell r="B969">
            <v>2016</v>
          </cell>
          <cell r="C969" t="str">
            <v>MERCEDES-BENZ</v>
          </cell>
          <cell r="D969" t="str">
            <v>GLA 250</v>
          </cell>
          <cell r="E969">
            <v>73451</v>
          </cell>
          <cell r="F969" t="str">
            <v>Grade 3.2</v>
          </cell>
          <cell r="G969" t="str">
            <v>Green Light</v>
          </cell>
          <cell r="H969" t="str">
            <v>Yes</v>
          </cell>
          <cell r="I969" t="str">
            <v>No</v>
          </cell>
          <cell r="J969">
            <v>45594</v>
          </cell>
          <cell r="K969" t="str">
            <v>Yes</v>
          </cell>
          <cell r="L969">
            <v>44128</v>
          </cell>
          <cell r="M969">
            <v>264</v>
          </cell>
          <cell r="N969">
            <v>314</v>
          </cell>
          <cell r="O969">
            <v>11447.693359375</v>
          </cell>
          <cell r="P969">
            <v>10074.76532726921</v>
          </cell>
          <cell r="Q969">
            <v>11499.353515625</v>
          </cell>
        </row>
        <row r="970">
          <cell r="A970" t="str">
            <v>WDDGF5EB6BF643513</v>
          </cell>
          <cell r="B970">
            <v>2011</v>
          </cell>
          <cell r="C970" t="str">
            <v>MERCEDES</v>
          </cell>
          <cell r="D970" t="str">
            <v>C300W</v>
          </cell>
          <cell r="E970">
            <v>156320</v>
          </cell>
          <cell r="F970" t="str">
            <v>Grade 2.7</v>
          </cell>
          <cell r="G970" t="str">
            <v>Red Light</v>
          </cell>
          <cell r="H970" t="str">
            <v>No</v>
          </cell>
          <cell r="I970" t="str">
            <v>Yes</v>
          </cell>
          <cell r="J970">
            <v>45540</v>
          </cell>
          <cell r="K970" t="str">
            <v>Yes</v>
          </cell>
          <cell r="L970">
            <v>44128</v>
          </cell>
          <cell r="M970">
            <v>264</v>
          </cell>
          <cell r="N970">
            <v>314</v>
          </cell>
          <cell r="O970">
            <v>1576.516723632812</v>
          </cell>
          <cell r="P970">
            <v>9264.4531604466429</v>
          </cell>
          <cell r="Q970">
            <v>1553.711303710938</v>
          </cell>
        </row>
        <row r="971">
          <cell r="A971" t="str">
            <v>WP1AA2A20ELA93121</v>
          </cell>
          <cell r="B971">
            <v>2014</v>
          </cell>
          <cell r="C971" t="str">
            <v>PORSCHE</v>
          </cell>
          <cell r="D971" t="str">
            <v>CAYENNE</v>
          </cell>
          <cell r="E971">
            <v>112158</v>
          </cell>
          <cell r="F971" t="str">
            <v>Grade 4.0</v>
          </cell>
          <cell r="G971" t="str">
            <v>Green/Yellow</v>
          </cell>
          <cell r="H971" t="str">
            <v>Yes</v>
          </cell>
          <cell r="I971" t="str">
            <v>No</v>
          </cell>
          <cell r="J971">
            <v>45706</v>
          </cell>
          <cell r="K971" t="str">
            <v>Yes</v>
          </cell>
          <cell r="L971">
            <v>44128</v>
          </cell>
          <cell r="M971">
            <v>264</v>
          </cell>
          <cell r="N971">
            <v>314</v>
          </cell>
          <cell r="O971">
            <v>9897.046875</v>
          </cell>
          <cell r="P971">
            <v>13547.53214223909</v>
          </cell>
          <cell r="Q971">
            <v>9900.642578125</v>
          </cell>
        </row>
        <row r="972">
          <cell r="A972" t="str">
            <v>WVGBV7AXXGW613311</v>
          </cell>
          <cell r="B972">
            <v>2016</v>
          </cell>
          <cell r="C972" t="str">
            <v>VOLKSWAGEN</v>
          </cell>
          <cell r="D972" t="str">
            <v>TIGUAN</v>
          </cell>
          <cell r="E972">
            <v>97187</v>
          </cell>
          <cell r="F972" t="str">
            <v>Grade 2.4</v>
          </cell>
          <cell r="G972" t="str">
            <v>Red Light</v>
          </cell>
          <cell r="H972" t="str">
            <v>No</v>
          </cell>
          <cell r="I972" t="str">
            <v>Yes</v>
          </cell>
          <cell r="J972">
            <v>45678</v>
          </cell>
          <cell r="K972" t="str">
            <v>Yes</v>
          </cell>
          <cell r="L972">
            <v>44128</v>
          </cell>
          <cell r="M972">
            <v>264</v>
          </cell>
          <cell r="N972">
            <v>314</v>
          </cell>
          <cell r="O972">
            <v>2057.314208984375</v>
          </cell>
          <cell r="P972">
            <v>8989.1892088000695</v>
          </cell>
          <cell r="Q972">
            <v>1967.080444335938</v>
          </cell>
        </row>
        <row r="973">
          <cell r="A973" t="str">
            <v>ZACCJBBB0JPG75623</v>
          </cell>
          <cell r="B973">
            <v>2018</v>
          </cell>
          <cell r="C973" t="str">
            <v>JEEP</v>
          </cell>
          <cell r="D973" t="str">
            <v>RENEGADE</v>
          </cell>
          <cell r="E973">
            <v>93092</v>
          </cell>
          <cell r="F973" t="str">
            <v>Grade 2.9</v>
          </cell>
          <cell r="G973" t="str">
            <v>Green Light</v>
          </cell>
          <cell r="H973" t="str">
            <v>Yes</v>
          </cell>
          <cell r="I973" t="str">
            <v>No</v>
          </cell>
          <cell r="J973">
            <v>45678</v>
          </cell>
          <cell r="K973" t="str">
            <v>Yes</v>
          </cell>
          <cell r="L973">
            <v>44128</v>
          </cell>
          <cell r="M973">
            <v>264</v>
          </cell>
          <cell r="N973">
            <v>314</v>
          </cell>
          <cell r="O973">
            <v>4987.9677734375</v>
          </cell>
          <cell r="P973">
            <v>9499.7458317995752</v>
          </cell>
          <cell r="Q973">
            <v>5016.734375</v>
          </cell>
        </row>
        <row r="974">
          <cell r="A974" t="str">
            <v>1G4PR5SK3D4155491</v>
          </cell>
          <cell r="B974">
            <v>2013</v>
          </cell>
          <cell r="C974" t="str">
            <v>BUICK</v>
          </cell>
          <cell r="D974" t="str">
            <v>VERANO</v>
          </cell>
          <cell r="E974">
            <v>83041</v>
          </cell>
          <cell r="F974" t="str">
            <v>Grade 3.5</v>
          </cell>
          <cell r="G974" t="str">
            <v>Red Light</v>
          </cell>
          <cell r="H974" t="str">
            <v>No</v>
          </cell>
          <cell r="I974" t="str">
            <v>Yes</v>
          </cell>
          <cell r="J974">
            <v>45524</v>
          </cell>
          <cell r="K974" t="str">
            <v>Yes</v>
          </cell>
          <cell r="L974">
            <v>44133</v>
          </cell>
          <cell r="M974">
            <v>222</v>
          </cell>
          <cell r="N974">
            <v>272</v>
          </cell>
          <cell r="O974">
            <v>5622.93017578125</v>
          </cell>
          <cell r="P974">
            <v>9279.570364645906</v>
          </cell>
          <cell r="Q974">
            <v>5648.3291015625</v>
          </cell>
        </row>
        <row r="975">
          <cell r="A975" t="str">
            <v>1GKKNLLA7JZ184855</v>
          </cell>
          <cell r="B975">
            <v>2018</v>
          </cell>
          <cell r="C975" t="str">
            <v>GMC</v>
          </cell>
          <cell r="D975" t="str">
            <v>ACADIA FWD 4C</v>
          </cell>
          <cell r="E975">
            <v>89973</v>
          </cell>
          <cell r="F975" t="str">
            <v>Grade 2.1</v>
          </cell>
          <cell r="G975" t="str">
            <v>Green Light</v>
          </cell>
          <cell r="H975" t="str">
            <v>Yes</v>
          </cell>
          <cell r="I975" t="str">
            <v>No</v>
          </cell>
          <cell r="J975">
            <v>45645</v>
          </cell>
          <cell r="K975" t="str">
            <v>Yes</v>
          </cell>
          <cell r="L975">
            <v>44133</v>
          </cell>
          <cell r="M975">
            <v>222</v>
          </cell>
          <cell r="N975">
            <v>272</v>
          </cell>
          <cell r="O975">
            <v>9871.140625</v>
          </cell>
          <cell r="P975">
            <v>10325.14990428716</v>
          </cell>
          <cell r="Q975">
            <v>9867.189453125</v>
          </cell>
        </row>
        <row r="976">
          <cell r="A976" t="str">
            <v>2HGFA1F59BH541662</v>
          </cell>
          <cell r="B976">
            <v>2011</v>
          </cell>
          <cell r="C976" t="str">
            <v>HONDA</v>
          </cell>
          <cell r="D976" t="str">
            <v>CIVIC</v>
          </cell>
          <cell r="E976">
            <v>144196</v>
          </cell>
          <cell r="F976" t="str">
            <v>Grade 1.6</v>
          </cell>
          <cell r="G976" t="str">
            <v>Red Light</v>
          </cell>
          <cell r="H976" t="str">
            <v>No</v>
          </cell>
          <cell r="I976" t="str">
            <v>Yes</v>
          </cell>
          <cell r="J976">
            <v>45692</v>
          </cell>
          <cell r="K976" t="str">
            <v>Yes</v>
          </cell>
          <cell r="L976">
            <v>44133</v>
          </cell>
          <cell r="M976">
            <v>222</v>
          </cell>
          <cell r="N976">
            <v>272</v>
          </cell>
          <cell r="O976">
            <v>1699.127807617188</v>
          </cell>
          <cell r="P976">
            <v>9011.6830514181074</v>
          </cell>
          <cell r="Q976">
            <v>1672.987060546875</v>
          </cell>
        </row>
        <row r="977">
          <cell r="A977" t="str">
            <v>19XFB2F56CE009350</v>
          </cell>
          <cell r="B977">
            <v>2012</v>
          </cell>
          <cell r="C977" t="str">
            <v>HONDA</v>
          </cell>
          <cell r="D977" t="str">
            <v>CIVIC</v>
          </cell>
          <cell r="E977">
            <v>112635</v>
          </cell>
          <cell r="F977" t="str">
            <v>Grade 1.9</v>
          </cell>
          <cell r="G977" t="str">
            <v>Red Light</v>
          </cell>
          <cell r="H977" t="str">
            <v>Yes</v>
          </cell>
          <cell r="I977" t="str">
            <v>No</v>
          </cell>
          <cell r="J977">
            <v>45468</v>
          </cell>
          <cell r="K977" t="str">
            <v>Yes</v>
          </cell>
          <cell r="L977">
            <v>44135</v>
          </cell>
          <cell r="M977">
            <v>235</v>
          </cell>
          <cell r="N977">
            <v>285</v>
          </cell>
          <cell r="O977">
            <v>2516.2861328125</v>
          </cell>
          <cell r="P977">
            <v>9039.3269783441665</v>
          </cell>
          <cell r="Q977">
            <v>2338.3408203125</v>
          </cell>
        </row>
        <row r="978">
          <cell r="A978" t="str">
            <v>1C3CCCBB7FN663487</v>
          </cell>
          <cell r="B978">
            <v>2015</v>
          </cell>
          <cell r="C978" t="str">
            <v>CHRYSLER</v>
          </cell>
          <cell r="D978">
            <v>200</v>
          </cell>
          <cell r="E978">
            <v>120740</v>
          </cell>
          <cell r="F978" t="str">
            <v>Grade 1.8</v>
          </cell>
          <cell r="G978" t="str">
            <v>Inoperable</v>
          </cell>
          <cell r="H978" t="str">
            <v>No</v>
          </cell>
          <cell r="I978" t="str">
            <v>Yes</v>
          </cell>
          <cell r="J978">
            <v>45356</v>
          </cell>
          <cell r="K978" t="str">
            <v>Yes</v>
          </cell>
          <cell r="L978">
            <v>44135</v>
          </cell>
          <cell r="M978">
            <v>235</v>
          </cell>
          <cell r="N978">
            <v>285</v>
          </cell>
          <cell r="O978">
            <v>1857.670288085938</v>
          </cell>
          <cell r="P978">
            <v>8761.7672982228705</v>
          </cell>
          <cell r="Q978">
            <v>1783.572998046875</v>
          </cell>
        </row>
        <row r="979">
          <cell r="A979" t="str">
            <v>1C4NJDEB8HD192485</v>
          </cell>
          <cell r="B979">
            <v>2017</v>
          </cell>
          <cell r="C979" t="str">
            <v>JEEP</v>
          </cell>
          <cell r="D979" t="str">
            <v>COMPASS</v>
          </cell>
          <cell r="E979">
            <v>70916</v>
          </cell>
          <cell r="F979" t="str">
            <v>Grade 2.6</v>
          </cell>
          <cell r="G979" t="str">
            <v>Inoperable</v>
          </cell>
          <cell r="H979" t="str">
            <v>No</v>
          </cell>
          <cell r="I979" t="str">
            <v>Yes</v>
          </cell>
          <cell r="J979">
            <v>45356</v>
          </cell>
          <cell r="K979" t="str">
            <v>Yes</v>
          </cell>
          <cell r="L979">
            <v>44135</v>
          </cell>
          <cell r="M979">
            <v>235</v>
          </cell>
          <cell r="N979">
            <v>285</v>
          </cell>
          <cell r="O979">
            <v>6545.5146484375</v>
          </cell>
          <cell r="P979">
            <v>9632.4626055894896</v>
          </cell>
          <cell r="Q979">
            <v>6526.119140625</v>
          </cell>
        </row>
        <row r="980">
          <cell r="A980" t="str">
            <v>1C4NJRFB9ED664586</v>
          </cell>
          <cell r="B980">
            <v>2014</v>
          </cell>
          <cell r="C980" t="str">
            <v>JEEP</v>
          </cell>
          <cell r="D980" t="str">
            <v>PATRIOT 4X4 4C</v>
          </cell>
          <cell r="E980">
            <v>87765</v>
          </cell>
          <cell r="F980" t="str">
            <v>Grade 2.0</v>
          </cell>
          <cell r="G980" t="str">
            <v>Inoperable</v>
          </cell>
          <cell r="H980" t="str">
            <v>No</v>
          </cell>
          <cell r="I980" t="str">
            <v>Yes</v>
          </cell>
          <cell r="J980">
            <v>45575</v>
          </cell>
          <cell r="K980" t="str">
            <v>Yes</v>
          </cell>
          <cell r="L980">
            <v>44135</v>
          </cell>
          <cell r="M980">
            <v>235</v>
          </cell>
          <cell r="N980">
            <v>285</v>
          </cell>
          <cell r="O980">
            <v>3605.896484375</v>
          </cell>
          <cell r="P980">
            <v>9398.8038258645884</v>
          </cell>
          <cell r="Q980">
            <v>3566.70947265625</v>
          </cell>
        </row>
        <row r="981">
          <cell r="A981" t="str">
            <v>1C4PJMLB7KD267678</v>
          </cell>
          <cell r="B981">
            <v>2019</v>
          </cell>
          <cell r="C981" t="str">
            <v>JEEP</v>
          </cell>
          <cell r="D981" t="str">
            <v>CHEROKEE</v>
          </cell>
          <cell r="E981">
            <v>136212</v>
          </cell>
          <cell r="F981" t="str">
            <v>Grade 1.6</v>
          </cell>
          <cell r="G981" t="str">
            <v>Inoperable</v>
          </cell>
          <cell r="H981" t="str">
            <v>No</v>
          </cell>
          <cell r="I981" t="str">
            <v>Yes</v>
          </cell>
          <cell r="J981">
            <v>45566</v>
          </cell>
          <cell r="K981" t="str">
            <v>Yes</v>
          </cell>
          <cell r="L981">
            <v>44135</v>
          </cell>
          <cell r="M981">
            <v>235</v>
          </cell>
          <cell r="N981">
            <v>285</v>
          </cell>
          <cell r="O981">
            <v>4280.4609375</v>
          </cell>
          <cell r="P981">
            <v>9318.1398745700171</v>
          </cell>
          <cell r="Q981">
            <v>4277.6435546875</v>
          </cell>
        </row>
        <row r="982">
          <cell r="A982" t="str">
            <v>1FADP3F26FL347448</v>
          </cell>
          <cell r="B982">
            <v>2015</v>
          </cell>
          <cell r="C982" t="str">
            <v>FORD</v>
          </cell>
          <cell r="D982" t="str">
            <v>FOCUS</v>
          </cell>
          <cell r="E982">
            <v>85761</v>
          </cell>
          <cell r="F982" t="str">
            <v>Grade 2.4</v>
          </cell>
          <cell r="G982" t="str">
            <v>Green/Yellow</v>
          </cell>
          <cell r="H982" t="str">
            <v>Yes</v>
          </cell>
          <cell r="I982" t="str">
            <v>No</v>
          </cell>
          <cell r="J982">
            <v>45468</v>
          </cell>
          <cell r="K982" t="str">
            <v>Yes</v>
          </cell>
          <cell r="L982">
            <v>44135</v>
          </cell>
          <cell r="M982">
            <v>235</v>
          </cell>
          <cell r="N982">
            <v>285</v>
          </cell>
          <cell r="O982">
            <v>4304.212890625</v>
          </cell>
          <cell r="P982">
            <v>9304.9490573343101</v>
          </cell>
          <cell r="Q982">
            <v>4277.6435546875</v>
          </cell>
        </row>
        <row r="983">
          <cell r="A983" t="str">
            <v>1FADP3K27FL312665</v>
          </cell>
          <cell r="B983">
            <v>2015</v>
          </cell>
          <cell r="C983" t="str">
            <v>FORD</v>
          </cell>
          <cell r="D983" t="str">
            <v>FOCUS</v>
          </cell>
          <cell r="E983">
            <v>88929</v>
          </cell>
          <cell r="F983" t="str">
            <v>Grade 2.4</v>
          </cell>
          <cell r="G983" t="str">
            <v>Inoperable</v>
          </cell>
          <cell r="H983" t="str">
            <v>No</v>
          </cell>
          <cell r="I983" t="str">
            <v>Yes</v>
          </cell>
          <cell r="J983">
            <v>45454</v>
          </cell>
          <cell r="K983" t="str">
            <v>Yes</v>
          </cell>
          <cell r="L983">
            <v>44135</v>
          </cell>
          <cell r="M983">
            <v>235</v>
          </cell>
          <cell r="N983">
            <v>285</v>
          </cell>
          <cell r="O983">
            <v>4180.51953125</v>
          </cell>
          <cell r="P983">
            <v>9295.6053143752888</v>
          </cell>
          <cell r="Q983">
            <v>4019.3056640625</v>
          </cell>
        </row>
        <row r="984">
          <cell r="A984" t="str">
            <v>1FM5K8GTXFGC44734</v>
          </cell>
          <cell r="B984">
            <v>2015</v>
          </cell>
          <cell r="C984" t="str">
            <v>FORD</v>
          </cell>
          <cell r="D984" t="str">
            <v>EXPLORER</v>
          </cell>
          <cell r="E984">
            <v>129240</v>
          </cell>
          <cell r="F984" t="str">
            <v>Grade 1.9</v>
          </cell>
          <cell r="G984" t="str">
            <v>Red Light</v>
          </cell>
          <cell r="H984" t="str">
            <v>No</v>
          </cell>
          <cell r="I984" t="str">
            <v>Yes</v>
          </cell>
          <cell r="J984">
            <v>45454</v>
          </cell>
          <cell r="K984" t="str">
            <v>Yes</v>
          </cell>
          <cell r="L984">
            <v>44135</v>
          </cell>
          <cell r="M984">
            <v>235</v>
          </cell>
          <cell r="N984">
            <v>285</v>
          </cell>
          <cell r="O984">
            <v>2627.95556640625</v>
          </cell>
          <cell r="P984">
            <v>9167.1400547174035</v>
          </cell>
          <cell r="Q984">
            <v>2505.3798828125</v>
          </cell>
        </row>
        <row r="985">
          <cell r="A985" t="str">
            <v>1FMCU0F79HUB11670</v>
          </cell>
          <cell r="B985">
            <v>2017</v>
          </cell>
          <cell r="C985" t="str">
            <v>FORD</v>
          </cell>
          <cell r="D985" t="str">
            <v>ESCAPE FWD 4C</v>
          </cell>
          <cell r="E985">
            <v>127689</v>
          </cell>
          <cell r="F985" t="str">
            <v>Grade 3.2</v>
          </cell>
          <cell r="G985" t="str">
            <v>Red Light</v>
          </cell>
          <cell r="H985" t="str">
            <v>No</v>
          </cell>
          <cell r="I985" t="str">
            <v>Yes</v>
          </cell>
          <cell r="J985">
            <v>45484</v>
          </cell>
          <cell r="K985" t="str">
            <v>Yes</v>
          </cell>
          <cell r="L985">
            <v>44135</v>
          </cell>
          <cell r="M985">
            <v>235</v>
          </cell>
          <cell r="N985">
            <v>285</v>
          </cell>
          <cell r="O985">
            <v>7951.48095703125</v>
          </cell>
          <cell r="P985">
            <v>9333.2986627555219</v>
          </cell>
          <cell r="Q985">
            <v>8013.00537109375</v>
          </cell>
        </row>
        <row r="986">
          <cell r="A986" t="str">
            <v>1G11A5SL2FF151166</v>
          </cell>
          <cell r="B986">
            <v>2015</v>
          </cell>
          <cell r="C986" t="str">
            <v>CHEVROLET</v>
          </cell>
          <cell r="D986" t="str">
            <v>MALIBU</v>
          </cell>
          <cell r="E986">
            <v>107810</v>
          </cell>
          <cell r="F986" t="str">
            <v>Grade 3.3</v>
          </cell>
          <cell r="G986" t="str">
            <v>Green Light</v>
          </cell>
          <cell r="H986" t="str">
            <v>Yes</v>
          </cell>
          <cell r="I986" t="str">
            <v>No</v>
          </cell>
          <cell r="J986">
            <v>45449</v>
          </cell>
          <cell r="K986" t="str">
            <v>Yes</v>
          </cell>
          <cell r="L986">
            <v>44135</v>
          </cell>
          <cell r="M986">
            <v>235</v>
          </cell>
          <cell r="N986">
            <v>285</v>
          </cell>
          <cell r="O986">
            <v>5850.8427734375</v>
          </cell>
          <cell r="P986">
            <v>9350.9405022500796</v>
          </cell>
          <cell r="Q986">
            <v>5910.26318359375</v>
          </cell>
        </row>
        <row r="987">
          <cell r="A987" t="str">
            <v>1G1PC5SB2D7211479</v>
          </cell>
          <cell r="B987">
            <v>2013</v>
          </cell>
          <cell r="C987" t="str">
            <v>CHEVROLET</v>
          </cell>
          <cell r="D987" t="str">
            <v>CRUZE</v>
          </cell>
          <cell r="E987">
            <v>64848</v>
          </cell>
          <cell r="F987" t="str">
            <v>Grade 1.8</v>
          </cell>
          <cell r="G987" t="str">
            <v>Green Light</v>
          </cell>
          <cell r="H987" t="str">
            <v>Yes</v>
          </cell>
          <cell r="I987" t="str">
            <v>No</v>
          </cell>
          <cell r="J987">
            <v>45421</v>
          </cell>
          <cell r="K987" t="str">
            <v>Yes</v>
          </cell>
          <cell r="L987">
            <v>44135</v>
          </cell>
          <cell r="M987">
            <v>235</v>
          </cell>
          <cell r="N987">
            <v>285</v>
          </cell>
          <cell r="O987">
            <v>4360.2568359375</v>
          </cell>
          <cell r="P987">
            <v>11120.18340506918</v>
          </cell>
          <cell r="Q987">
            <v>4199.728515625</v>
          </cell>
        </row>
        <row r="988">
          <cell r="A988" t="str">
            <v>1G1PC5SB9E7434328</v>
          </cell>
          <cell r="B988">
            <v>2014</v>
          </cell>
          <cell r="C988" t="str">
            <v>CHEVROLET</v>
          </cell>
          <cell r="D988" t="str">
            <v>CRUZE</v>
          </cell>
          <cell r="E988">
            <v>69712</v>
          </cell>
          <cell r="F988" t="str">
            <v>Grade 1.7</v>
          </cell>
          <cell r="G988" t="str">
            <v>Red Light</v>
          </cell>
          <cell r="H988" t="str">
            <v>No</v>
          </cell>
          <cell r="I988" t="str">
            <v>Yes</v>
          </cell>
          <cell r="J988">
            <v>45664</v>
          </cell>
          <cell r="K988" t="str">
            <v>Yes</v>
          </cell>
          <cell r="L988">
            <v>44135</v>
          </cell>
          <cell r="M988">
            <v>235</v>
          </cell>
          <cell r="N988">
            <v>285</v>
          </cell>
          <cell r="O988">
            <v>3739.030029296875</v>
          </cell>
          <cell r="P988">
            <v>9718.9856397394124</v>
          </cell>
          <cell r="Q988">
            <v>3745.45263671875</v>
          </cell>
        </row>
        <row r="989">
          <cell r="A989" t="str">
            <v>1G1ZB5ST5GF294260</v>
          </cell>
          <cell r="B989">
            <v>2016</v>
          </cell>
          <cell r="C989" t="str">
            <v>CHEVROLET</v>
          </cell>
          <cell r="D989" t="str">
            <v>MALIBU</v>
          </cell>
          <cell r="E989">
            <v>170298</v>
          </cell>
          <cell r="F989" t="str">
            <v>Grade 0.0</v>
          </cell>
          <cell r="G989" t="str">
            <v>Inoperable</v>
          </cell>
          <cell r="H989" t="str">
            <v>No</v>
          </cell>
          <cell r="I989" t="str">
            <v>Yes</v>
          </cell>
          <cell r="J989">
            <v>45678</v>
          </cell>
          <cell r="K989" t="str">
            <v>Yes</v>
          </cell>
          <cell r="L989">
            <v>44135</v>
          </cell>
          <cell r="M989">
            <v>235</v>
          </cell>
          <cell r="N989">
            <v>285</v>
          </cell>
          <cell r="O989">
            <v>503.52951049804688</v>
          </cell>
          <cell r="P989">
            <v>9280.417234492952</v>
          </cell>
          <cell r="Q989">
            <v>844.70159912109375</v>
          </cell>
        </row>
        <row r="990">
          <cell r="A990" t="str">
            <v>1G1ZB5ST5HF104393</v>
          </cell>
          <cell r="B990">
            <v>2017</v>
          </cell>
          <cell r="C990" t="str">
            <v>CHEVROLET</v>
          </cell>
          <cell r="D990" t="str">
            <v>MALIBU</v>
          </cell>
          <cell r="E990">
            <v>113093</v>
          </cell>
          <cell r="F990" t="str">
            <v>Grade 2.4</v>
          </cell>
          <cell r="G990" t="str">
            <v>Red Light</v>
          </cell>
          <cell r="H990" t="str">
            <v>No</v>
          </cell>
          <cell r="I990" t="str">
            <v>Yes</v>
          </cell>
          <cell r="J990">
            <v>45666</v>
          </cell>
          <cell r="K990" t="str">
            <v>Yes</v>
          </cell>
          <cell r="L990">
            <v>44135</v>
          </cell>
          <cell r="M990">
            <v>235</v>
          </cell>
          <cell r="N990">
            <v>285</v>
          </cell>
          <cell r="O990">
            <v>2390.27490234375</v>
          </cell>
          <cell r="P990">
            <v>9286.1134826892012</v>
          </cell>
          <cell r="Q990">
            <v>2358.90087890625</v>
          </cell>
        </row>
        <row r="991">
          <cell r="A991" t="str">
            <v>1G4GC5GG7AF197684</v>
          </cell>
          <cell r="B991">
            <v>2010</v>
          </cell>
          <cell r="C991" t="str">
            <v>BUICK</v>
          </cell>
          <cell r="D991" t="str">
            <v>LACROSSE FWD V6</v>
          </cell>
          <cell r="E991">
            <v>127809</v>
          </cell>
          <cell r="F991" t="str">
            <v>Grade 2.2</v>
          </cell>
          <cell r="G991" t="str">
            <v>Green/Yellow</v>
          </cell>
          <cell r="H991" t="str">
            <v>Yes</v>
          </cell>
          <cell r="I991" t="str">
            <v>No</v>
          </cell>
          <cell r="J991">
            <v>45470</v>
          </cell>
          <cell r="K991" t="str">
            <v>Yes</v>
          </cell>
          <cell r="L991">
            <v>44135</v>
          </cell>
          <cell r="M991">
            <v>235</v>
          </cell>
          <cell r="N991">
            <v>285</v>
          </cell>
          <cell r="O991">
            <v>1119.336791992188</v>
          </cell>
          <cell r="P991">
            <v>9022.3586719711057</v>
          </cell>
          <cell r="Q991">
            <v>1276.312622070312</v>
          </cell>
        </row>
        <row r="992">
          <cell r="A992" t="str">
            <v>1N4AL3AP6HC160599</v>
          </cell>
          <cell r="B992">
            <v>2017</v>
          </cell>
          <cell r="C992" t="str">
            <v>NISSAN</v>
          </cell>
          <cell r="D992" t="str">
            <v>ALTIMA</v>
          </cell>
          <cell r="E992">
            <v>151885</v>
          </cell>
          <cell r="F992" t="str">
            <v>Grade 1.0</v>
          </cell>
          <cell r="G992" t="str">
            <v>Inoperable</v>
          </cell>
          <cell r="H992" t="str">
            <v>No</v>
          </cell>
          <cell r="I992" t="str">
            <v>Yes</v>
          </cell>
          <cell r="J992">
            <v>45524</v>
          </cell>
          <cell r="K992" t="str">
            <v>Yes</v>
          </cell>
          <cell r="L992">
            <v>44135</v>
          </cell>
          <cell r="M992">
            <v>235</v>
          </cell>
          <cell r="N992">
            <v>285</v>
          </cell>
          <cell r="O992">
            <v>1809.679565429688</v>
          </cell>
          <cell r="P992">
            <v>8808.2556549457058</v>
          </cell>
          <cell r="Q992">
            <v>1752.955688476562</v>
          </cell>
        </row>
        <row r="993">
          <cell r="A993" t="str">
            <v>2C3CDXHG8KH612736</v>
          </cell>
          <cell r="B993">
            <v>2019</v>
          </cell>
          <cell r="C993" t="str">
            <v>DODGE</v>
          </cell>
          <cell r="D993" t="str">
            <v>CHARGER</v>
          </cell>
          <cell r="E993">
            <v>88091</v>
          </cell>
          <cell r="F993" t="str">
            <v>Grade 4.3</v>
          </cell>
          <cell r="G993" t="str">
            <v>Certified</v>
          </cell>
          <cell r="H993" t="str">
            <v>Yes</v>
          </cell>
          <cell r="I993" t="str">
            <v>No</v>
          </cell>
          <cell r="J993">
            <v>45342</v>
          </cell>
          <cell r="K993" t="str">
            <v>Yes</v>
          </cell>
          <cell r="L993">
            <v>44135</v>
          </cell>
          <cell r="M993">
            <v>235</v>
          </cell>
          <cell r="N993">
            <v>285</v>
          </cell>
          <cell r="O993">
            <v>13869.392578125</v>
          </cell>
          <cell r="P993">
            <v>10750.501582799299</v>
          </cell>
          <cell r="Q993">
            <v>13906.603515625</v>
          </cell>
        </row>
        <row r="994">
          <cell r="A994" t="str">
            <v>2GKALMEK1E6325952</v>
          </cell>
          <cell r="B994">
            <v>2014</v>
          </cell>
          <cell r="C994" t="str">
            <v>GMC TRUCK</v>
          </cell>
          <cell r="D994" t="str">
            <v>TERRAIN FWD 4C</v>
          </cell>
          <cell r="E994">
            <v>115573</v>
          </cell>
          <cell r="F994" t="str">
            <v>Grade 2.4</v>
          </cell>
          <cell r="G994" t="str">
            <v>Red Light</v>
          </cell>
          <cell r="H994" t="str">
            <v>No</v>
          </cell>
          <cell r="I994" t="str">
            <v>Yes</v>
          </cell>
          <cell r="J994">
            <v>45449</v>
          </cell>
          <cell r="K994" t="str">
            <v>Yes</v>
          </cell>
          <cell r="L994">
            <v>44135</v>
          </cell>
          <cell r="M994">
            <v>235</v>
          </cell>
          <cell r="N994">
            <v>285</v>
          </cell>
          <cell r="O994">
            <v>2654.818603515625</v>
          </cell>
          <cell r="P994">
            <v>9203.6418091330743</v>
          </cell>
          <cell r="Q994">
            <v>2505.3798828125</v>
          </cell>
        </row>
        <row r="995">
          <cell r="A995" t="str">
            <v>2GNAXSEV3J6172541</v>
          </cell>
          <cell r="B995">
            <v>2018</v>
          </cell>
          <cell r="C995" t="str">
            <v>CHEVROLET</v>
          </cell>
          <cell r="D995" t="str">
            <v>EQUINOX</v>
          </cell>
          <cell r="E995">
            <v>111986</v>
          </cell>
          <cell r="F995" t="str">
            <v>Grade 2.8</v>
          </cell>
          <cell r="G995" t="str">
            <v>Green Light</v>
          </cell>
          <cell r="H995" t="str">
            <v>Yes</v>
          </cell>
          <cell r="I995" t="str">
            <v>No</v>
          </cell>
          <cell r="J995">
            <v>45622</v>
          </cell>
          <cell r="K995" t="str">
            <v>Yes</v>
          </cell>
          <cell r="L995">
            <v>44135</v>
          </cell>
          <cell r="M995">
            <v>235</v>
          </cell>
          <cell r="N995">
            <v>285</v>
          </cell>
          <cell r="O995">
            <v>3709.717529296875</v>
          </cell>
          <cell r="P995">
            <v>9491.4164473310484</v>
          </cell>
          <cell r="Q995">
            <v>3745.45263671875</v>
          </cell>
        </row>
        <row r="996">
          <cell r="A996" t="str">
            <v>3C4NJCBBXJT194883</v>
          </cell>
          <cell r="B996">
            <v>2018</v>
          </cell>
          <cell r="C996" t="str">
            <v>JEEP</v>
          </cell>
          <cell r="D996" t="str">
            <v>COMPASS</v>
          </cell>
          <cell r="E996">
            <v>90962</v>
          </cell>
          <cell r="F996" t="str">
            <v>Grade 4.3</v>
          </cell>
          <cell r="G996" t="str">
            <v>Certified</v>
          </cell>
          <cell r="H996" t="str">
            <v>Yes</v>
          </cell>
          <cell r="I996" t="str">
            <v>No</v>
          </cell>
          <cell r="J996">
            <v>45356</v>
          </cell>
          <cell r="K996" t="str">
            <v>Yes</v>
          </cell>
          <cell r="L996">
            <v>44135</v>
          </cell>
          <cell r="M996">
            <v>235</v>
          </cell>
          <cell r="N996">
            <v>285</v>
          </cell>
          <cell r="O996">
            <v>11112.1337890625</v>
          </cell>
          <cell r="P996">
            <v>10344.591620888979</v>
          </cell>
          <cell r="Q996">
            <v>11166.2685546875</v>
          </cell>
        </row>
        <row r="997">
          <cell r="A997" t="str">
            <v>3FA6P0CDXKR219447</v>
          </cell>
          <cell r="B997">
            <v>2019</v>
          </cell>
          <cell r="C997" t="str">
            <v>FORD</v>
          </cell>
          <cell r="D997" t="str">
            <v>FUSION</v>
          </cell>
          <cell r="E997">
            <v>66413</v>
          </cell>
          <cell r="F997" t="str">
            <v>Grade 4.4</v>
          </cell>
          <cell r="G997" t="str">
            <v>Certified</v>
          </cell>
          <cell r="H997" t="str">
            <v>Yes</v>
          </cell>
          <cell r="I997" t="str">
            <v>No</v>
          </cell>
          <cell r="J997">
            <v>45482</v>
          </cell>
          <cell r="K997" t="str">
            <v>Yes</v>
          </cell>
          <cell r="L997">
            <v>44135</v>
          </cell>
          <cell r="M997">
            <v>235</v>
          </cell>
          <cell r="N997">
            <v>285</v>
          </cell>
          <cell r="O997">
            <v>14119.6396484375</v>
          </cell>
          <cell r="P997">
            <v>11222.790004411931</v>
          </cell>
          <cell r="Q997">
            <v>14224.16015625</v>
          </cell>
        </row>
        <row r="998">
          <cell r="A998" t="str">
            <v>3N1CN7AP2GL817764</v>
          </cell>
          <cell r="B998">
            <v>2016</v>
          </cell>
          <cell r="C998" t="str">
            <v>NISSAN</v>
          </cell>
          <cell r="D998" t="str">
            <v>VERSA</v>
          </cell>
          <cell r="E998">
            <v>94847</v>
          </cell>
          <cell r="F998" t="str">
            <v>Grade 1.5</v>
          </cell>
          <cell r="G998" t="str">
            <v>Red Light</v>
          </cell>
          <cell r="H998" t="str">
            <v>No</v>
          </cell>
          <cell r="I998" t="str">
            <v>Yes</v>
          </cell>
          <cell r="J998">
            <v>45370</v>
          </cell>
          <cell r="K998" t="str">
            <v>Yes</v>
          </cell>
          <cell r="L998">
            <v>44135</v>
          </cell>
          <cell r="M998">
            <v>235</v>
          </cell>
          <cell r="N998">
            <v>285</v>
          </cell>
          <cell r="O998">
            <v>2895.226806640625</v>
          </cell>
          <cell r="P998">
            <v>8961.6818793272305</v>
          </cell>
          <cell r="Q998">
            <v>2692.84326171875</v>
          </cell>
        </row>
        <row r="999">
          <cell r="A999" t="str">
            <v>3N1CN8EV6ML863785</v>
          </cell>
          <cell r="B999">
            <v>2021</v>
          </cell>
          <cell r="C999" t="str">
            <v>NISSAN</v>
          </cell>
          <cell r="D999" t="str">
            <v>VERSA</v>
          </cell>
          <cell r="E999">
            <v>62551</v>
          </cell>
          <cell r="F999" t="str">
            <v>Grade 2.4</v>
          </cell>
          <cell r="G999" t="str">
            <v>Green/Yellow</v>
          </cell>
          <cell r="H999" t="str">
            <v>Yes</v>
          </cell>
          <cell r="I999" t="str">
            <v>No</v>
          </cell>
          <cell r="J999">
            <v>45328</v>
          </cell>
          <cell r="K999" t="str">
            <v>Yes</v>
          </cell>
          <cell r="L999">
            <v>44135</v>
          </cell>
          <cell r="M999">
            <v>235</v>
          </cell>
          <cell r="N999">
            <v>285</v>
          </cell>
          <cell r="O999">
            <v>8166.23779296875</v>
          </cell>
          <cell r="P999">
            <v>12703.87149790641</v>
          </cell>
          <cell r="Q999">
            <v>8470.005859375</v>
          </cell>
        </row>
        <row r="1000">
          <cell r="A1000" t="str">
            <v>5FNRL5H62GB095340</v>
          </cell>
          <cell r="B1000">
            <v>2016</v>
          </cell>
          <cell r="C1000" t="str">
            <v>HONDA</v>
          </cell>
          <cell r="D1000" t="str">
            <v>ODYSSEY</v>
          </cell>
          <cell r="E1000">
            <v>143720</v>
          </cell>
          <cell r="F1000" t="str">
            <v>Grade 1.7</v>
          </cell>
          <cell r="G1000" t="str">
            <v>Red Light</v>
          </cell>
          <cell r="H1000" t="str">
            <v>No</v>
          </cell>
          <cell r="I1000" t="str">
            <v>Yes</v>
          </cell>
          <cell r="J1000">
            <v>45580</v>
          </cell>
          <cell r="K1000" t="str">
            <v>Yes</v>
          </cell>
          <cell r="L1000">
            <v>44135</v>
          </cell>
          <cell r="M1000">
            <v>235</v>
          </cell>
          <cell r="N1000">
            <v>285</v>
          </cell>
          <cell r="O1000">
            <v>3150.934814453125</v>
          </cell>
          <cell r="P1000">
            <v>9109.7599729371323</v>
          </cell>
          <cell r="Q1000">
            <v>3011.75048828125</v>
          </cell>
        </row>
        <row r="1001">
          <cell r="A1001" t="str">
            <v>5UXWX9C55H0T03495</v>
          </cell>
          <cell r="B1001">
            <v>2017</v>
          </cell>
          <cell r="C1001" t="str">
            <v>BMW</v>
          </cell>
          <cell r="D1001" t="str">
            <v>X3</v>
          </cell>
          <cell r="E1001">
            <v>123788</v>
          </cell>
          <cell r="F1001" t="str">
            <v>Grade 1.9</v>
          </cell>
          <cell r="G1001" t="str">
            <v>Inoperable</v>
          </cell>
          <cell r="H1001" t="str">
            <v>No</v>
          </cell>
          <cell r="I1001" t="str">
            <v>Yes</v>
          </cell>
          <cell r="J1001">
            <v>45496</v>
          </cell>
          <cell r="K1001" t="str">
            <v>Yes</v>
          </cell>
          <cell r="L1001">
            <v>44135</v>
          </cell>
          <cell r="M1001">
            <v>235</v>
          </cell>
          <cell r="N1001">
            <v>285</v>
          </cell>
          <cell r="O1001">
            <v>3453.2470703125</v>
          </cell>
          <cell r="P1001">
            <v>9350.2683206671409</v>
          </cell>
          <cell r="Q1001">
            <v>3396.388671875</v>
          </cell>
        </row>
        <row r="1002">
          <cell r="A1002" t="str">
            <v>JM3TB3CV7D0415667</v>
          </cell>
          <cell r="B1002">
            <v>2013</v>
          </cell>
          <cell r="C1002" t="str">
            <v>MAZDA</v>
          </cell>
          <cell r="D1002" t="str">
            <v>CX-9</v>
          </cell>
          <cell r="E1002">
            <v>189659</v>
          </cell>
          <cell r="F1002" t="str">
            <v>Grade 1.9</v>
          </cell>
          <cell r="G1002" t="str">
            <v>Red Light</v>
          </cell>
          <cell r="H1002" t="str">
            <v>No</v>
          </cell>
          <cell r="I1002" t="str">
            <v>Yes</v>
          </cell>
          <cell r="J1002">
            <v>45552</v>
          </cell>
          <cell r="K1002" t="str">
            <v>Yes</v>
          </cell>
          <cell r="L1002">
            <v>44135</v>
          </cell>
          <cell r="M1002">
            <v>235</v>
          </cell>
          <cell r="N1002">
            <v>285</v>
          </cell>
          <cell r="O1002">
            <v>872.80828857421875</v>
          </cell>
          <cell r="P1002">
            <v>8983.1849196634703</v>
          </cell>
          <cell r="Q1002">
            <v>1083.871215820312</v>
          </cell>
        </row>
        <row r="1003">
          <cell r="A1003" t="str">
            <v>KL4CJESB2HB249528</v>
          </cell>
          <cell r="B1003">
            <v>2017</v>
          </cell>
          <cell r="C1003" t="str">
            <v>BUICK</v>
          </cell>
          <cell r="D1003" t="str">
            <v>ENCORE</v>
          </cell>
          <cell r="E1003">
            <v>68328</v>
          </cell>
          <cell r="F1003" t="str">
            <v>Grade 1.4</v>
          </cell>
          <cell r="G1003" t="str">
            <v>Red Light</v>
          </cell>
          <cell r="H1003" t="str">
            <v>No</v>
          </cell>
          <cell r="I1003" t="str">
            <v>Yes</v>
          </cell>
          <cell r="J1003">
            <v>45566</v>
          </cell>
          <cell r="K1003" t="str">
            <v>Yes</v>
          </cell>
          <cell r="L1003">
            <v>44135</v>
          </cell>
          <cell r="M1003">
            <v>235</v>
          </cell>
          <cell r="N1003">
            <v>285</v>
          </cell>
          <cell r="O1003">
            <v>4373.24462890625</v>
          </cell>
          <cell r="P1003">
            <v>9481.8463784492415</v>
          </cell>
          <cell r="Q1003">
            <v>4499.12060546875</v>
          </cell>
        </row>
        <row r="1004">
          <cell r="A1004" t="str">
            <v>KNAGM4A79D5441024</v>
          </cell>
          <cell r="B1004">
            <v>2013</v>
          </cell>
          <cell r="C1004" t="str">
            <v>KIA</v>
          </cell>
          <cell r="D1004" t="str">
            <v>OPTIMA</v>
          </cell>
          <cell r="E1004">
            <v>121714</v>
          </cell>
          <cell r="F1004" t="str">
            <v>Grade 0.0</v>
          </cell>
          <cell r="G1004" t="str">
            <v>Inoperable</v>
          </cell>
          <cell r="H1004" t="str">
            <v>No</v>
          </cell>
          <cell r="I1004" t="str">
            <v>Yes</v>
          </cell>
          <cell r="J1004">
            <v>45538</v>
          </cell>
          <cell r="K1004" t="str">
            <v>Yes</v>
          </cell>
          <cell r="L1004">
            <v>44135</v>
          </cell>
          <cell r="M1004">
            <v>235</v>
          </cell>
          <cell r="N1004">
            <v>285</v>
          </cell>
          <cell r="O1004">
            <v>786.166259765625</v>
          </cell>
          <cell r="P1004">
            <v>8551.3003874688329</v>
          </cell>
          <cell r="Q1004">
            <v>933.41363525390625</v>
          </cell>
        </row>
        <row r="1005">
          <cell r="A1005" t="str">
            <v>W04GL6SX5J1095003</v>
          </cell>
          <cell r="B1005">
            <v>2018</v>
          </cell>
          <cell r="C1005" t="str">
            <v>BUICK</v>
          </cell>
          <cell r="D1005" t="str">
            <v>REGAL SPORTBACK</v>
          </cell>
          <cell r="E1005">
            <v>80940</v>
          </cell>
          <cell r="F1005" t="str">
            <v>Grade 1.3</v>
          </cell>
          <cell r="G1005" t="str">
            <v>Green/Yellow</v>
          </cell>
          <cell r="H1005" t="str">
            <v>Yes</v>
          </cell>
          <cell r="I1005" t="str">
            <v>No</v>
          </cell>
          <cell r="J1005">
            <v>45426</v>
          </cell>
          <cell r="K1005" t="str">
            <v>Yes</v>
          </cell>
          <cell r="L1005">
            <v>44135</v>
          </cell>
          <cell r="M1005">
            <v>235</v>
          </cell>
          <cell r="N1005">
            <v>285</v>
          </cell>
          <cell r="O1005">
            <v>4377.55126953125</v>
          </cell>
          <cell r="P1005">
            <v>9309.7954307281398</v>
          </cell>
          <cell r="Q1005">
            <v>4356.724609375</v>
          </cell>
        </row>
        <row r="1006">
          <cell r="A1006" t="str">
            <v>WBA5A7C51FD625699</v>
          </cell>
          <cell r="B1006">
            <v>2015</v>
          </cell>
          <cell r="C1006" t="str">
            <v>BMW</v>
          </cell>
          <cell r="D1006" t="str">
            <v>528I</v>
          </cell>
          <cell r="E1006">
            <v>114069</v>
          </cell>
          <cell r="F1006" t="str">
            <v>Grade 3.5</v>
          </cell>
          <cell r="G1006" t="str">
            <v>Green/Yellow</v>
          </cell>
          <cell r="H1006" t="str">
            <v>Yes</v>
          </cell>
          <cell r="I1006" t="str">
            <v>No</v>
          </cell>
          <cell r="J1006">
            <v>45454</v>
          </cell>
          <cell r="K1006" t="str">
            <v>Yes</v>
          </cell>
          <cell r="L1006">
            <v>44135</v>
          </cell>
          <cell r="M1006">
            <v>235</v>
          </cell>
          <cell r="N1006">
            <v>285</v>
          </cell>
          <cell r="O1006">
            <v>7052.78271484375</v>
          </cell>
          <cell r="P1006">
            <v>9486.9642851606422</v>
          </cell>
          <cell r="Q1006">
            <v>7060.51123046875</v>
          </cell>
        </row>
        <row r="1007">
          <cell r="A1007" t="str">
            <v>ZACCJBAB4JPH11301</v>
          </cell>
          <cell r="B1007">
            <v>2018</v>
          </cell>
          <cell r="C1007" t="str">
            <v>JEEP</v>
          </cell>
          <cell r="D1007" t="str">
            <v>RENEGADE</v>
          </cell>
          <cell r="E1007">
            <v>106524</v>
          </cell>
          <cell r="F1007" t="str">
            <v>Grade 1.8</v>
          </cell>
          <cell r="G1007" t="str">
            <v>Red Light</v>
          </cell>
          <cell r="H1007" t="str">
            <v>No</v>
          </cell>
          <cell r="I1007" t="str">
            <v>Yes</v>
          </cell>
          <cell r="J1007">
            <v>45538</v>
          </cell>
          <cell r="K1007" t="str">
            <v>Yes</v>
          </cell>
          <cell r="L1007">
            <v>44135</v>
          </cell>
          <cell r="M1007">
            <v>235</v>
          </cell>
          <cell r="N1007">
            <v>285</v>
          </cell>
          <cell r="O1007">
            <v>3231.265869140625</v>
          </cell>
          <cell r="P1007">
            <v>9204.5335665596031</v>
          </cell>
          <cell r="Q1007">
            <v>3111.6103515625</v>
          </cell>
        </row>
        <row r="1008">
          <cell r="A1008" t="str">
            <v>ZASFAKPN0J7B89673</v>
          </cell>
          <cell r="B1008">
            <v>2018</v>
          </cell>
          <cell r="C1008" t="str">
            <v>ALFA ROMEO</v>
          </cell>
          <cell r="D1008" t="str">
            <v>STELVIO</v>
          </cell>
          <cell r="E1008">
            <v>108153</v>
          </cell>
          <cell r="F1008" t="str">
            <v>Grade 2.3</v>
          </cell>
          <cell r="G1008" t="str">
            <v>Red Light</v>
          </cell>
          <cell r="H1008" t="str">
            <v>No</v>
          </cell>
          <cell r="I1008" t="str">
            <v>Yes</v>
          </cell>
          <cell r="J1008">
            <v>45524</v>
          </cell>
          <cell r="K1008" t="str">
            <v>Yes</v>
          </cell>
          <cell r="L1008">
            <v>44135</v>
          </cell>
          <cell r="M1008">
            <v>235</v>
          </cell>
          <cell r="N1008">
            <v>285</v>
          </cell>
          <cell r="O1008">
            <v>5255.48828125</v>
          </cell>
          <cell r="P1008">
            <v>9413.4827854642463</v>
          </cell>
          <cell r="Q1008">
            <v>5159.3408203125</v>
          </cell>
        </row>
        <row r="1009">
          <cell r="A1009" t="str">
            <v>ZFBCFXBT7GP412027</v>
          </cell>
          <cell r="B1009">
            <v>2016</v>
          </cell>
          <cell r="C1009" t="str">
            <v>FIAT</v>
          </cell>
          <cell r="D1009" t="str">
            <v>500X</v>
          </cell>
          <cell r="E1009">
            <v>98694</v>
          </cell>
          <cell r="F1009" t="str">
            <v>Grade 1.9</v>
          </cell>
          <cell r="G1009" t="str">
            <v>Green Light</v>
          </cell>
          <cell r="H1009" t="str">
            <v>Yes</v>
          </cell>
          <cell r="I1009" t="str">
            <v>No</v>
          </cell>
          <cell r="J1009">
            <v>45356</v>
          </cell>
          <cell r="K1009" t="str">
            <v>Yes</v>
          </cell>
          <cell r="L1009">
            <v>44135</v>
          </cell>
          <cell r="M1009">
            <v>235</v>
          </cell>
          <cell r="N1009">
            <v>285</v>
          </cell>
          <cell r="O1009">
            <v>2499.257080078125</v>
          </cell>
          <cell r="P1009">
            <v>9016.654005477174</v>
          </cell>
          <cell r="Q1009">
            <v>2338.3408203125</v>
          </cell>
        </row>
        <row r="1010">
          <cell r="A1010" t="str">
            <v>1FMCU0F72KUB82314</v>
          </cell>
          <cell r="B1010">
            <v>2019</v>
          </cell>
          <cell r="C1010" t="str">
            <v>FORD</v>
          </cell>
          <cell r="D1010" t="str">
            <v>ESCAPE FWD 4C</v>
          </cell>
          <cell r="E1010">
            <v>128448</v>
          </cell>
          <cell r="F1010" t="str">
            <v>Grade 3.8</v>
          </cell>
          <cell r="G1010" t="str">
            <v>Red Light</v>
          </cell>
          <cell r="H1010" t="str">
            <v>No</v>
          </cell>
          <cell r="I1010" t="str">
            <v>Yes</v>
          </cell>
          <cell r="J1010">
            <v>45666</v>
          </cell>
          <cell r="K1010" t="str">
            <v>Yes</v>
          </cell>
          <cell r="L1010">
            <v>44137</v>
          </cell>
          <cell r="M1010">
            <v>280</v>
          </cell>
          <cell r="N1010">
            <v>330</v>
          </cell>
          <cell r="O1010">
            <v>8570.5224609375</v>
          </cell>
          <cell r="P1010">
            <v>10110.30526507749</v>
          </cell>
          <cell r="Q1010">
            <v>8541.11328125</v>
          </cell>
        </row>
        <row r="1011">
          <cell r="A1011" t="str">
            <v>1FMCU9G98GUA01048</v>
          </cell>
          <cell r="B1011">
            <v>2016</v>
          </cell>
          <cell r="C1011" t="str">
            <v>FORD</v>
          </cell>
          <cell r="D1011" t="str">
            <v>ESCAPE 4X4 4C</v>
          </cell>
          <cell r="E1011">
            <v>111591</v>
          </cell>
          <cell r="F1011" t="str">
            <v>Grade 3.8</v>
          </cell>
          <cell r="G1011" t="str">
            <v>Red Light</v>
          </cell>
          <cell r="H1011" t="str">
            <v>No</v>
          </cell>
          <cell r="I1011" t="str">
            <v>Yes</v>
          </cell>
          <cell r="J1011">
            <v>45295</v>
          </cell>
          <cell r="K1011" t="str">
            <v>Yes</v>
          </cell>
          <cell r="L1011">
            <v>44137</v>
          </cell>
          <cell r="M1011">
            <v>280</v>
          </cell>
          <cell r="N1011">
            <v>330</v>
          </cell>
          <cell r="O1011">
            <v>7815.2001953125</v>
          </cell>
          <cell r="P1011">
            <v>10034.380805392841</v>
          </cell>
          <cell r="Q1011">
            <v>7628.77880859375</v>
          </cell>
        </row>
        <row r="1012">
          <cell r="A1012" t="str">
            <v>1FMCU9GX5EUB36385</v>
          </cell>
          <cell r="B1012">
            <v>2014</v>
          </cell>
          <cell r="C1012" t="str">
            <v>FORD</v>
          </cell>
          <cell r="D1012" t="str">
            <v>ESCAPE 4X4 4C</v>
          </cell>
          <cell r="E1012">
            <v>122189</v>
          </cell>
          <cell r="F1012" t="str">
            <v>Grade 1.0</v>
          </cell>
          <cell r="G1012" t="str">
            <v>Inoperable</v>
          </cell>
          <cell r="H1012" t="str">
            <v>No</v>
          </cell>
          <cell r="I1012" t="str">
            <v>Yes</v>
          </cell>
          <cell r="J1012">
            <v>45435</v>
          </cell>
          <cell r="K1012" t="str">
            <v>Yes</v>
          </cell>
          <cell r="L1012">
            <v>44137</v>
          </cell>
          <cell r="M1012">
            <v>280</v>
          </cell>
          <cell r="N1012">
            <v>330</v>
          </cell>
          <cell r="O1012">
            <v>2388.09814453125</v>
          </cell>
          <cell r="P1012">
            <v>9187.9895732270325</v>
          </cell>
          <cell r="Q1012">
            <v>2321.60986328125</v>
          </cell>
        </row>
        <row r="1013">
          <cell r="A1013" t="str">
            <v>1G11C5SL3FF253988</v>
          </cell>
          <cell r="B1013">
            <v>2015</v>
          </cell>
          <cell r="C1013" t="str">
            <v>CHEVROLET</v>
          </cell>
          <cell r="D1013" t="str">
            <v>MALIBU</v>
          </cell>
          <cell r="E1013">
            <v>127644</v>
          </cell>
          <cell r="F1013" t="str">
            <v>Grade 2.6</v>
          </cell>
          <cell r="G1013" t="str">
            <v>Green Light</v>
          </cell>
          <cell r="H1013" t="str">
            <v>Yes</v>
          </cell>
          <cell r="I1013" t="str">
            <v>No</v>
          </cell>
          <cell r="J1013">
            <v>45498</v>
          </cell>
          <cell r="K1013" t="str">
            <v>Yes</v>
          </cell>
          <cell r="L1013">
            <v>44137</v>
          </cell>
          <cell r="M1013">
            <v>280</v>
          </cell>
          <cell r="N1013">
            <v>330</v>
          </cell>
          <cell r="O1013">
            <v>1553.473999023438</v>
          </cell>
          <cell r="P1013">
            <v>9347.2070446318994</v>
          </cell>
          <cell r="Q1013">
            <v>1553.711303710938</v>
          </cell>
        </row>
        <row r="1014">
          <cell r="A1014" t="str">
            <v>1G11C5SL5EF161487</v>
          </cell>
          <cell r="B1014">
            <v>2014</v>
          </cell>
          <cell r="C1014" t="str">
            <v>CHEVROLET</v>
          </cell>
          <cell r="D1014" t="str">
            <v>MALIBU</v>
          </cell>
          <cell r="E1014">
            <v>179546</v>
          </cell>
          <cell r="F1014" t="str">
            <v>Grade 2.1</v>
          </cell>
          <cell r="G1014" t="str">
            <v>Red Light</v>
          </cell>
          <cell r="H1014" t="str">
            <v>No</v>
          </cell>
          <cell r="I1014" t="str">
            <v>Yes</v>
          </cell>
          <cell r="J1014">
            <v>45631</v>
          </cell>
          <cell r="K1014" t="str">
            <v>Yes</v>
          </cell>
          <cell r="L1014">
            <v>44137</v>
          </cell>
          <cell r="M1014">
            <v>280</v>
          </cell>
          <cell r="N1014">
            <v>330</v>
          </cell>
          <cell r="O1014">
            <v>655.34954833984375</v>
          </cell>
          <cell r="P1014">
            <v>9234.1030691491214</v>
          </cell>
          <cell r="Q1014">
            <v>953.262451171875</v>
          </cell>
        </row>
        <row r="1015">
          <cell r="A1015" t="str">
            <v>1G1JG6SG7H4142744</v>
          </cell>
          <cell r="B1015">
            <v>2017</v>
          </cell>
          <cell r="C1015" t="str">
            <v>CHEVROLET</v>
          </cell>
          <cell r="D1015" t="str">
            <v>SONIC</v>
          </cell>
          <cell r="E1015">
            <v>128359</v>
          </cell>
          <cell r="F1015" t="str">
            <v>Grade 1.6</v>
          </cell>
          <cell r="G1015" t="str">
            <v>Red Light</v>
          </cell>
          <cell r="H1015" t="str">
            <v>No</v>
          </cell>
          <cell r="I1015" t="str">
            <v>Yes</v>
          </cell>
          <cell r="J1015">
            <v>45701</v>
          </cell>
          <cell r="K1015" t="str">
            <v>Yes</v>
          </cell>
          <cell r="L1015">
            <v>44137</v>
          </cell>
          <cell r="M1015">
            <v>280</v>
          </cell>
          <cell r="N1015">
            <v>330</v>
          </cell>
          <cell r="O1015">
            <v>2625.6201171875</v>
          </cell>
          <cell r="P1015">
            <v>9246.0502263798353</v>
          </cell>
          <cell r="Q1015">
            <v>2533.8974609375</v>
          </cell>
        </row>
        <row r="1016">
          <cell r="A1016" t="str">
            <v>1J4NF1FB9BD239376</v>
          </cell>
          <cell r="B1016">
            <v>2011</v>
          </cell>
          <cell r="C1016" t="str">
            <v>JEEP</v>
          </cell>
          <cell r="D1016" t="str">
            <v>COMPASS 4X4 4C</v>
          </cell>
          <cell r="E1016">
            <v>105865</v>
          </cell>
          <cell r="F1016" t="str">
            <v>Grade 2.3</v>
          </cell>
          <cell r="G1016" t="str">
            <v>Red Light</v>
          </cell>
          <cell r="H1016" t="str">
            <v>No</v>
          </cell>
          <cell r="I1016" t="str">
            <v>Yes</v>
          </cell>
          <cell r="J1016">
            <v>45561</v>
          </cell>
          <cell r="K1016" t="str">
            <v>Yes</v>
          </cell>
          <cell r="L1016">
            <v>44137</v>
          </cell>
          <cell r="M1016">
            <v>280</v>
          </cell>
          <cell r="N1016">
            <v>330</v>
          </cell>
          <cell r="O1016">
            <v>2393.8447265625</v>
          </cell>
          <cell r="P1016">
            <v>9196.4892335764544</v>
          </cell>
          <cell r="Q1016">
            <v>2321.60986328125</v>
          </cell>
        </row>
        <row r="1017">
          <cell r="A1017" t="str">
            <v>1N4AL3AP0JC161284</v>
          </cell>
          <cell r="B1017">
            <v>2018</v>
          </cell>
          <cell r="C1017" t="str">
            <v>NISSAN</v>
          </cell>
          <cell r="D1017" t="str">
            <v>ALTIMA 4C</v>
          </cell>
          <cell r="E1017">
            <v>112353</v>
          </cell>
          <cell r="F1017" t="str">
            <v>Grade 3.2</v>
          </cell>
          <cell r="G1017" t="str">
            <v>Green/Yellow</v>
          </cell>
          <cell r="H1017" t="str">
            <v>Yes</v>
          </cell>
          <cell r="I1017" t="str">
            <v>No</v>
          </cell>
          <cell r="J1017">
            <v>45617</v>
          </cell>
          <cell r="K1017" t="str">
            <v>Yes</v>
          </cell>
          <cell r="L1017">
            <v>44137</v>
          </cell>
          <cell r="M1017">
            <v>280</v>
          </cell>
          <cell r="N1017">
            <v>330</v>
          </cell>
          <cell r="O1017">
            <v>5518.171875</v>
          </cell>
          <cell r="P1017">
            <v>8990.6797664237783</v>
          </cell>
          <cell r="Q1017">
            <v>5562.216796875</v>
          </cell>
        </row>
        <row r="1018">
          <cell r="A1018" t="str">
            <v>1V2WR2CA2MC553428</v>
          </cell>
          <cell r="B1018">
            <v>2021</v>
          </cell>
          <cell r="C1018" t="str">
            <v>VOLKSWAGEN</v>
          </cell>
          <cell r="D1018" t="str">
            <v>ATLAS FWD V6</v>
          </cell>
          <cell r="E1018">
            <v>85539</v>
          </cell>
          <cell r="F1018" t="str">
            <v>Grade 4.3</v>
          </cell>
          <cell r="G1018" t="str">
            <v>Green/Yellow</v>
          </cell>
          <cell r="H1018" t="str">
            <v>Yes</v>
          </cell>
          <cell r="I1018" t="str">
            <v>No</v>
          </cell>
          <cell r="J1018">
            <v>45645</v>
          </cell>
          <cell r="K1018" t="str">
            <v>Yes</v>
          </cell>
          <cell r="L1018">
            <v>44137</v>
          </cell>
          <cell r="M1018">
            <v>280</v>
          </cell>
          <cell r="N1018">
            <v>330</v>
          </cell>
          <cell r="O1018">
            <v>13517.091796875</v>
          </cell>
          <cell r="P1018">
            <v>11978.587323196571</v>
          </cell>
          <cell r="Q1018">
            <v>13489.23046875</v>
          </cell>
        </row>
        <row r="1019">
          <cell r="A1019" t="str">
            <v>1VWBP7A36CC100285</v>
          </cell>
          <cell r="B1019">
            <v>2012</v>
          </cell>
          <cell r="C1019" t="str">
            <v>VOLKSWAGEN</v>
          </cell>
          <cell r="D1019" t="str">
            <v>PASSAT 5C</v>
          </cell>
          <cell r="E1019">
            <v>95898</v>
          </cell>
          <cell r="F1019" t="str">
            <v>Grade 1.0</v>
          </cell>
          <cell r="G1019" t="str">
            <v>Inoperable</v>
          </cell>
          <cell r="H1019" t="str">
            <v>No</v>
          </cell>
          <cell r="I1019" t="str">
            <v>Yes</v>
          </cell>
          <cell r="J1019">
            <v>45372</v>
          </cell>
          <cell r="K1019" t="str">
            <v>Yes</v>
          </cell>
          <cell r="L1019">
            <v>44137</v>
          </cell>
          <cell r="M1019">
            <v>280</v>
          </cell>
          <cell r="N1019">
            <v>330</v>
          </cell>
          <cell r="O1019">
            <v>1348.656494140625</v>
          </cell>
          <cell r="P1019">
            <v>8944.112444749504</v>
          </cell>
          <cell r="Q1019">
            <v>1380.25</v>
          </cell>
        </row>
        <row r="1020">
          <cell r="A1020" t="str">
            <v>2C3CDXBG1HH575370</v>
          </cell>
          <cell r="B1020">
            <v>2017</v>
          </cell>
          <cell r="C1020" t="str">
            <v>DODGE</v>
          </cell>
          <cell r="D1020" t="str">
            <v>CHARGER 4X2 V6</v>
          </cell>
          <cell r="E1020">
            <v>52552</v>
          </cell>
          <cell r="F1020" t="str">
            <v>Grade 2.0</v>
          </cell>
          <cell r="G1020" t="str">
            <v>Green Light</v>
          </cell>
          <cell r="H1020" t="str">
            <v>Yes</v>
          </cell>
          <cell r="I1020" t="str">
            <v>No</v>
          </cell>
          <cell r="J1020">
            <v>45610</v>
          </cell>
          <cell r="K1020" t="str">
            <v>Yes</v>
          </cell>
          <cell r="L1020">
            <v>44137</v>
          </cell>
          <cell r="M1020">
            <v>280</v>
          </cell>
          <cell r="N1020">
            <v>330</v>
          </cell>
          <cell r="O1020">
            <v>7373.6201171875</v>
          </cell>
          <cell r="P1020">
            <v>11260.20625536839</v>
          </cell>
          <cell r="Q1020">
            <v>7056.85595703125</v>
          </cell>
        </row>
        <row r="1021">
          <cell r="A1021" t="str">
            <v>2GNAXKEV1L6223344</v>
          </cell>
          <cell r="B1021">
            <v>2020</v>
          </cell>
          <cell r="C1021" t="str">
            <v>CHEVROLET</v>
          </cell>
          <cell r="D1021" t="str">
            <v>EQUINOX FWD 4C</v>
          </cell>
          <cell r="E1021">
            <v>92802</v>
          </cell>
          <cell r="F1021" t="str">
            <v>Grade 4.9</v>
          </cell>
          <cell r="G1021" t="str">
            <v>Certified</v>
          </cell>
          <cell r="H1021" t="str">
            <v>Yes</v>
          </cell>
          <cell r="I1021" t="str">
            <v>No</v>
          </cell>
          <cell r="J1021">
            <v>45400</v>
          </cell>
          <cell r="K1021" t="str">
            <v>Yes</v>
          </cell>
          <cell r="L1021">
            <v>44137</v>
          </cell>
          <cell r="M1021">
            <v>280</v>
          </cell>
          <cell r="N1021">
            <v>330</v>
          </cell>
          <cell r="O1021">
            <v>14137.1650390625</v>
          </cell>
          <cell r="P1021">
            <v>11712.329398623529</v>
          </cell>
          <cell r="Q1021">
            <v>14223.2822265625</v>
          </cell>
        </row>
        <row r="1022">
          <cell r="A1022" t="str">
            <v>3KPFL4A74HE153343</v>
          </cell>
          <cell r="B1022">
            <v>2017</v>
          </cell>
          <cell r="C1022" t="str">
            <v>KIA</v>
          </cell>
          <cell r="D1022" t="str">
            <v>FORTE</v>
          </cell>
          <cell r="E1022">
            <v>98443</v>
          </cell>
          <cell r="F1022" t="str">
            <v>Grade 1.5</v>
          </cell>
          <cell r="G1022" t="str">
            <v>Red Light</v>
          </cell>
          <cell r="H1022" t="str">
            <v>No</v>
          </cell>
          <cell r="I1022" t="str">
            <v>Yes</v>
          </cell>
          <cell r="J1022">
            <v>45351</v>
          </cell>
          <cell r="K1022" t="str">
            <v>Yes</v>
          </cell>
          <cell r="L1022">
            <v>44137</v>
          </cell>
          <cell r="M1022">
            <v>280</v>
          </cell>
          <cell r="N1022">
            <v>330</v>
          </cell>
          <cell r="O1022">
            <v>2878.157470703125</v>
          </cell>
          <cell r="P1022">
            <v>8719.7454167714295</v>
          </cell>
          <cell r="Q1022">
            <v>2697.9189453125</v>
          </cell>
        </row>
        <row r="1023">
          <cell r="A1023" t="str">
            <v>5N1AR2MM7FC642608</v>
          </cell>
          <cell r="B1023">
            <v>2015</v>
          </cell>
          <cell r="C1023" t="str">
            <v>NISSAN</v>
          </cell>
          <cell r="D1023" t="str">
            <v>PATHFIND 4X4</v>
          </cell>
          <cell r="E1023">
            <v>122820</v>
          </cell>
          <cell r="F1023" t="str">
            <v>Grade 4.0</v>
          </cell>
          <cell r="G1023" t="str">
            <v>Green/Yellow</v>
          </cell>
          <cell r="H1023" t="str">
            <v>Yes</v>
          </cell>
          <cell r="I1023" t="str">
            <v>No</v>
          </cell>
          <cell r="J1023">
            <v>45596</v>
          </cell>
          <cell r="K1023" t="str">
            <v>Yes</v>
          </cell>
          <cell r="L1023">
            <v>44137</v>
          </cell>
          <cell r="M1023">
            <v>280</v>
          </cell>
          <cell r="N1023">
            <v>330</v>
          </cell>
          <cell r="O1023">
            <v>5900.62353515625</v>
          </cell>
          <cell r="P1023">
            <v>9640.0025266986449</v>
          </cell>
          <cell r="Q1023">
            <v>5970.46337890625</v>
          </cell>
        </row>
        <row r="1024">
          <cell r="A1024" t="str">
            <v>5N1AZ2BSXLN142055</v>
          </cell>
          <cell r="B1024">
            <v>2020</v>
          </cell>
          <cell r="C1024" t="str">
            <v>NISSAN</v>
          </cell>
          <cell r="D1024" t="str">
            <v>MURANO AWD</v>
          </cell>
          <cell r="E1024">
            <v>56169</v>
          </cell>
          <cell r="F1024" t="str">
            <v>Grade 4.0</v>
          </cell>
          <cell r="G1024" t="str">
            <v>Certified</v>
          </cell>
          <cell r="H1024" t="str">
            <v>Yes</v>
          </cell>
          <cell r="I1024" t="str">
            <v>No</v>
          </cell>
          <cell r="J1024">
            <v>45344</v>
          </cell>
          <cell r="K1024" t="str">
            <v>Yes</v>
          </cell>
          <cell r="L1024">
            <v>44137</v>
          </cell>
          <cell r="M1024">
            <v>280</v>
          </cell>
          <cell r="N1024">
            <v>330</v>
          </cell>
          <cell r="O1024">
            <v>13304.009765625</v>
          </cell>
          <cell r="P1024">
            <v>13074.02718396664</v>
          </cell>
          <cell r="Q1024">
            <v>13252.7548828125</v>
          </cell>
        </row>
        <row r="1025">
          <cell r="A1025" t="str">
            <v>5N1AZ2MH1HN108885</v>
          </cell>
          <cell r="B1025">
            <v>2017</v>
          </cell>
          <cell r="C1025" t="str">
            <v>NISSAN</v>
          </cell>
          <cell r="D1025" t="str">
            <v>MURANO AWD V6</v>
          </cell>
          <cell r="E1025">
            <v>103574</v>
          </cell>
          <cell r="F1025" t="str">
            <v>Grade 2.8</v>
          </cell>
          <cell r="G1025" t="str">
            <v>Red Light</v>
          </cell>
          <cell r="H1025" t="str">
            <v>No</v>
          </cell>
          <cell r="I1025" t="str">
            <v>Yes</v>
          </cell>
          <cell r="J1025">
            <v>45659</v>
          </cell>
          <cell r="K1025" t="str">
            <v>Yes</v>
          </cell>
          <cell r="L1025">
            <v>44137</v>
          </cell>
          <cell r="M1025">
            <v>280</v>
          </cell>
          <cell r="N1025">
            <v>330</v>
          </cell>
          <cell r="O1025">
            <v>3150.123779296875</v>
          </cell>
          <cell r="P1025">
            <v>8916.0737192440647</v>
          </cell>
          <cell r="Q1025">
            <v>3011.75048828125</v>
          </cell>
        </row>
        <row r="1026">
          <cell r="A1026" t="str">
            <v>5NMSH13E29H245944</v>
          </cell>
          <cell r="B1026">
            <v>2009</v>
          </cell>
          <cell r="C1026" t="str">
            <v>HYUNDAI</v>
          </cell>
          <cell r="D1026" t="str">
            <v>SANTA FE FWD V6</v>
          </cell>
          <cell r="E1026">
            <v>172584</v>
          </cell>
          <cell r="F1026" t="str">
            <v>Grade 1.3</v>
          </cell>
          <cell r="G1026" t="str">
            <v>Red Light</v>
          </cell>
          <cell r="H1026" t="str">
            <v>No</v>
          </cell>
          <cell r="I1026" t="str">
            <v>Yes</v>
          </cell>
          <cell r="J1026">
            <v>45379</v>
          </cell>
          <cell r="K1026" t="str">
            <v>Yes</v>
          </cell>
          <cell r="L1026">
            <v>44137</v>
          </cell>
          <cell r="M1026">
            <v>280</v>
          </cell>
          <cell r="N1026">
            <v>330</v>
          </cell>
          <cell r="O1026">
            <v>578.72381591796875</v>
          </cell>
          <cell r="P1026">
            <v>8642.2147529196227</v>
          </cell>
          <cell r="Q1026">
            <v>935.48895263671875</v>
          </cell>
        </row>
        <row r="1027">
          <cell r="A1027" t="str">
            <v>5NPDH4AE7FH611974</v>
          </cell>
          <cell r="B1027">
            <v>2015</v>
          </cell>
          <cell r="C1027" t="str">
            <v>HYUNDAI</v>
          </cell>
          <cell r="D1027" t="str">
            <v>ELANTRA</v>
          </cell>
          <cell r="E1027">
            <v>125538</v>
          </cell>
          <cell r="F1027" t="str">
            <v>Grade 1.7</v>
          </cell>
          <cell r="G1027" t="str">
            <v>Red Light</v>
          </cell>
          <cell r="H1027" t="str">
            <v>No</v>
          </cell>
          <cell r="I1027" t="str">
            <v>Yes</v>
          </cell>
          <cell r="J1027">
            <v>45722</v>
          </cell>
          <cell r="K1027" t="str">
            <v>Yes</v>
          </cell>
          <cell r="L1027">
            <v>44137</v>
          </cell>
          <cell r="M1027">
            <v>280</v>
          </cell>
          <cell r="N1027">
            <v>330</v>
          </cell>
          <cell r="O1027">
            <v>1291.3369140625</v>
          </cell>
          <cell r="P1027">
            <v>8609.1318526267241</v>
          </cell>
          <cell r="Q1027">
            <v>1336.184326171875</v>
          </cell>
        </row>
        <row r="1028">
          <cell r="A1028" t="str">
            <v>5XXGT4L35JG270473</v>
          </cell>
          <cell r="B1028">
            <v>2018</v>
          </cell>
          <cell r="C1028" t="str">
            <v>KIA</v>
          </cell>
          <cell r="D1028" t="str">
            <v>OPTIMA</v>
          </cell>
          <cell r="E1028">
            <v>99887</v>
          </cell>
          <cell r="F1028" t="str">
            <v>Grade 4.8</v>
          </cell>
          <cell r="G1028" t="str">
            <v>Certified</v>
          </cell>
          <cell r="H1028" t="str">
            <v>Yes</v>
          </cell>
          <cell r="I1028" t="str">
            <v>No</v>
          </cell>
          <cell r="J1028">
            <v>45309</v>
          </cell>
          <cell r="K1028" t="str">
            <v>Yes</v>
          </cell>
          <cell r="L1028">
            <v>44137</v>
          </cell>
          <cell r="M1028">
            <v>280</v>
          </cell>
          <cell r="N1028">
            <v>330</v>
          </cell>
          <cell r="O1028">
            <v>9163.4755859375</v>
          </cell>
          <cell r="P1028">
            <v>9857.358042545824</v>
          </cell>
          <cell r="Q1028">
            <v>9237.1826171875</v>
          </cell>
        </row>
        <row r="1029">
          <cell r="A1029" t="str">
            <v>KL4CJ2SB7JB646897</v>
          </cell>
          <cell r="B1029">
            <v>2018</v>
          </cell>
          <cell r="C1029" t="str">
            <v>BUICK</v>
          </cell>
          <cell r="D1029" t="str">
            <v>ENCORE AWD</v>
          </cell>
          <cell r="E1029">
            <v>75092</v>
          </cell>
          <cell r="F1029" t="str">
            <v>Grade 4.3</v>
          </cell>
          <cell r="G1029" t="str">
            <v>Certified</v>
          </cell>
          <cell r="H1029" t="str">
            <v>Yes</v>
          </cell>
          <cell r="I1029" t="str">
            <v>No</v>
          </cell>
          <cell r="J1029">
            <v>45603</v>
          </cell>
          <cell r="K1029" t="str">
            <v>Yes</v>
          </cell>
          <cell r="L1029">
            <v>44137</v>
          </cell>
          <cell r="M1029">
            <v>280</v>
          </cell>
          <cell r="N1029">
            <v>330</v>
          </cell>
          <cell r="O1029">
            <v>10517.046875</v>
          </cell>
          <cell r="P1029">
            <v>10108.682694269301</v>
          </cell>
          <cell r="Q1029">
            <v>10720.7578125</v>
          </cell>
        </row>
        <row r="1030">
          <cell r="A1030" t="str">
            <v>KM8JU3AG2FU034606</v>
          </cell>
          <cell r="B1030">
            <v>2015</v>
          </cell>
          <cell r="C1030" t="str">
            <v>HYUNDAI</v>
          </cell>
          <cell r="D1030" t="str">
            <v>TUCSON FWD 4C</v>
          </cell>
          <cell r="E1030">
            <v>95813</v>
          </cell>
          <cell r="F1030" t="str">
            <v>Grade 1.0</v>
          </cell>
          <cell r="G1030" t="str">
            <v>Inoperable</v>
          </cell>
          <cell r="H1030" t="str">
            <v>No</v>
          </cell>
          <cell r="I1030" t="str">
            <v>Yes</v>
          </cell>
          <cell r="J1030">
            <v>45561</v>
          </cell>
          <cell r="K1030" t="str">
            <v>Yes</v>
          </cell>
          <cell r="L1030">
            <v>44137</v>
          </cell>
          <cell r="M1030">
            <v>280</v>
          </cell>
          <cell r="N1030">
            <v>330</v>
          </cell>
          <cell r="O1030">
            <v>2112.1767578125</v>
          </cell>
          <cell r="P1030">
            <v>8889.3384573758958</v>
          </cell>
          <cell r="Q1030">
            <v>2038.107055664062</v>
          </cell>
        </row>
        <row r="1031">
          <cell r="A1031" t="str">
            <v>KNAFK4A65G5495630</v>
          </cell>
          <cell r="B1031">
            <v>2016</v>
          </cell>
          <cell r="C1031" t="str">
            <v>KIA</v>
          </cell>
          <cell r="D1031" t="str">
            <v>FORTE</v>
          </cell>
          <cell r="E1031">
            <v>125907</v>
          </cell>
          <cell r="F1031" t="str">
            <v>Grade 2.6</v>
          </cell>
          <cell r="G1031" t="str">
            <v>Green Light</v>
          </cell>
          <cell r="H1031" t="str">
            <v>Yes</v>
          </cell>
          <cell r="I1031" t="str">
            <v>No</v>
          </cell>
          <cell r="J1031">
            <v>45463</v>
          </cell>
          <cell r="K1031" t="str">
            <v>Yes</v>
          </cell>
          <cell r="L1031">
            <v>44137</v>
          </cell>
          <cell r="M1031">
            <v>280</v>
          </cell>
          <cell r="N1031">
            <v>330</v>
          </cell>
          <cell r="O1031">
            <v>2001.229614257812</v>
          </cell>
          <cell r="P1031">
            <v>8695.4960181057613</v>
          </cell>
          <cell r="Q1031">
            <v>1931.272583007812</v>
          </cell>
        </row>
        <row r="1032">
          <cell r="A1032" t="str">
            <v>KNDPBCAC5F7756796</v>
          </cell>
          <cell r="B1032">
            <v>2015</v>
          </cell>
          <cell r="C1032" t="str">
            <v>KIA</v>
          </cell>
          <cell r="D1032" t="str">
            <v>SPORTAGE AWD 4C</v>
          </cell>
          <cell r="E1032">
            <v>106538</v>
          </cell>
          <cell r="F1032" t="str">
            <v>Grade 2.2</v>
          </cell>
          <cell r="G1032" t="str">
            <v>Red Light</v>
          </cell>
          <cell r="H1032" t="str">
            <v>No</v>
          </cell>
          <cell r="I1032" t="str">
            <v>Yes</v>
          </cell>
          <cell r="J1032">
            <v>45351</v>
          </cell>
          <cell r="K1032" t="str">
            <v>Yes</v>
          </cell>
          <cell r="L1032">
            <v>44137</v>
          </cell>
          <cell r="M1032">
            <v>280</v>
          </cell>
          <cell r="N1032">
            <v>330</v>
          </cell>
          <cell r="O1032">
            <v>1874.889526367188</v>
          </cell>
          <cell r="P1032">
            <v>8589.9320430565313</v>
          </cell>
          <cell r="Q1032">
            <v>1789.094116210938</v>
          </cell>
        </row>
        <row r="1033">
          <cell r="A1033" t="str">
            <v>KNDPM3AC4H7225246</v>
          </cell>
          <cell r="B1033">
            <v>2017</v>
          </cell>
          <cell r="C1033" t="str">
            <v>KIA</v>
          </cell>
          <cell r="D1033" t="str">
            <v>SPORTAGE FWD 4C</v>
          </cell>
          <cell r="E1033">
            <v>99045</v>
          </cell>
          <cell r="F1033" t="str">
            <v>Grade 2.5</v>
          </cell>
          <cell r="G1033" t="str">
            <v>Green/Yellow</v>
          </cell>
          <cell r="H1033" t="str">
            <v>Yes</v>
          </cell>
          <cell r="I1033" t="str">
            <v>No</v>
          </cell>
          <cell r="J1033">
            <v>45736</v>
          </cell>
          <cell r="K1033" t="str">
            <v>Yes</v>
          </cell>
          <cell r="L1033">
            <v>44137</v>
          </cell>
          <cell r="M1033">
            <v>280</v>
          </cell>
          <cell r="N1033">
            <v>330</v>
          </cell>
          <cell r="O1033">
            <v>2666.548583984375</v>
          </cell>
          <cell r="P1033">
            <v>8956.2623301009899</v>
          </cell>
          <cell r="Q1033">
            <v>2498.12890625</v>
          </cell>
        </row>
        <row r="1034">
          <cell r="A1034" t="str">
            <v>KNDPMCAC7H7238041</v>
          </cell>
          <cell r="B1034">
            <v>2017</v>
          </cell>
          <cell r="C1034" t="str">
            <v>KIA</v>
          </cell>
          <cell r="D1034" t="str">
            <v>SPORTAGE AWD 4C</v>
          </cell>
          <cell r="E1034">
            <v>114417</v>
          </cell>
          <cell r="F1034" t="str">
            <v>Grade 2.5</v>
          </cell>
          <cell r="G1034" t="str">
            <v>Green Light</v>
          </cell>
          <cell r="H1034" t="str">
            <v>Yes</v>
          </cell>
          <cell r="I1034" t="str">
            <v>No</v>
          </cell>
          <cell r="J1034">
            <v>45463</v>
          </cell>
          <cell r="K1034" t="str">
            <v>Yes</v>
          </cell>
          <cell r="L1034">
            <v>44137</v>
          </cell>
          <cell r="M1034">
            <v>280</v>
          </cell>
          <cell r="N1034">
            <v>330</v>
          </cell>
          <cell r="O1034">
            <v>2611.120361328125</v>
          </cell>
          <cell r="P1034">
            <v>8739.2494429850594</v>
          </cell>
          <cell r="Q1034">
            <v>2503.20458984375</v>
          </cell>
        </row>
        <row r="1035">
          <cell r="A1035" t="str">
            <v>ZACCJBBT2FPB87449</v>
          </cell>
          <cell r="B1035">
            <v>2015</v>
          </cell>
          <cell r="C1035" t="str">
            <v>JEEP</v>
          </cell>
          <cell r="D1035" t="str">
            <v>RENEGADE 4X4 4C</v>
          </cell>
          <cell r="E1035">
            <v>101496</v>
          </cell>
          <cell r="F1035" t="str">
            <v>Grade 3.9</v>
          </cell>
          <cell r="G1035" t="str">
            <v>Certified</v>
          </cell>
          <cell r="H1035" t="str">
            <v>Yes</v>
          </cell>
          <cell r="I1035" t="str">
            <v>No</v>
          </cell>
          <cell r="J1035">
            <v>45365</v>
          </cell>
          <cell r="K1035" t="str">
            <v>Yes</v>
          </cell>
          <cell r="L1035">
            <v>44137</v>
          </cell>
          <cell r="M1035">
            <v>280</v>
          </cell>
          <cell r="N1035">
            <v>330</v>
          </cell>
          <cell r="O1035">
            <v>7818.47314453125</v>
          </cell>
          <cell r="P1035">
            <v>10113.94953989426</v>
          </cell>
          <cell r="Q1035">
            <v>7566.962890625</v>
          </cell>
        </row>
        <row r="1036">
          <cell r="A1036" t="str">
            <v>1C4PJMAK9CW120092</v>
          </cell>
          <cell r="B1036">
            <v>2012</v>
          </cell>
          <cell r="C1036" t="str">
            <v>JEEP</v>
          </cell>
          <cell r="D1036" t="str">
            <v>LIBERTY 4X4</v>
          </cell>
          <cell r="E1036">
            <v>164609</v>
          </cell>
          <cell r="F1036" t="str">
            <v>Grade 2.5</v>
          </cell>
          <cell r="G1036" t="str">
            <v>Red Light</v>
          </cell>
          <cell r="H1036" t="str">
            <v>No</v>
          </cell>
          <cell r="I1036" t="str">
            <v>Yes</v>
          </cell>
          <cell r="J1036">
            <v>45568</v>
          </cell>
          <cell r="K1036" t="str">
            <v>Yes</v>
          </cell>
          <cell r="L1036">
            <v>44144</v>
          </cell>
          <cell r="M1036">
            <v>235</v>
          </cell>
          <cell r="N1036">
            <v>285</v>
          </cell>
          <cell r="O1036">
            <v>1397.711303710938</v>
          </cell>
          <cell r="P1036">
            <v>9306.6929291045344</v>
          </cell>
          <cell r="Q1036">
            <v>1414.7646484375</v>
          </cell>
        </row>
        <row r="1037">
          <cell r="A1037" t="str">
            <v>1FTEW1CP0FKE65958</v>
          </cell>
          <cell r="B1037">
            <v>2015</v>
          </cell>
          <cell r="C1037" t="str">
            <v>FORD</v>
          </cell>
          <cell r="D1037" t="str">
            <v>F-150</v>
          </cell>
          <cell r="E1037">
            <v>71120</v>
          </cell>
          <cell r="F1037" t="str">
            <v>Grade 4.3</v>
          </cell>
          <cell r="G1037" t="str">
            <v>Certified</v>
          </cell>
          <cell r="H1037" t="str">
            <v>Yes</v>
          </cell>
          <cell r="I1037" t="str">
            <v>No</v>
          </cell>
          <cell r="J1037">
            <v>45664</v>
          </cell>
          <cell r="K1037" t="str">
            <v>Yes</v>
          </cell>
          <cell r="L1037">
            <v>44144</v>
          </cell>
          <cell r="M1037">
            <v>235</v>
          </cell>
          <cell r="N1037">
            <v>285</v>
          </cell>
          <cell r="O1037">
            <v>16147.2607421875</v>
          </cell>
          <cell r="P1037">
            <v>10429.29287757296</v>
          </cell>
          <cell r="Q1037">
            <v>16528.412109375</v>
          </cell>
        </row>
        <row r="1038">
          <cell r="A1038" t="str">
            <v>1HGCP2F64CA223190</v>
          </cell>
          <cell r="B1038">
            <v>2012</v>
          </cell>
          <cell r="C1038" t="str">
            <v>HONDA</v>
          </cell>
          <cell r="D1038" t="str">
            <v>ACCORD 4C</v>
          </cell>
          <cell r="E1038">
            <v>214761</v>
          </cell>
          <cell r="F1038" t="str">
            <v>Grade 2.0</v>
          </cell>
          <cell r="G1038" t="str">
            <v>Red Light</v>
          </cell>
          <cell r="H1038" t="str">
            <v>No</v>
          </cell>
          <cell r="I1038" t="str">
            <v>Yes</v>
          </cell>
          <cell r="J1038">
            <v>45680</v>
          </cell>
          <cell r="K1038" t="str">
            <v>Yes</v>
          </cell>
          <cell r="L1038">
            <v>44144</v>
          </cell>
          <cell r="M1038">
            <v>235</v>
          </cell>
          <cell r="N1038">
            <v>285</v>
          </cell>
          <cell r="O1038">
            <v>1214.090698242188</v>
          </cell>
          <cell r="P1038">
            <v>9042.1425454214386</v>
          </cell>
          <cell r="Q1038">
            <v>1276.312622070312</v>
          </cell>
        </row>
        <row r="1039">
          <cell r="A1039" t="str">
            <v>2C4RDGBG4HR646478</v>
          </cell>
          <cell r="B1039">
            <v>2017</v>
          </cell>
          <cell r="C1039" t="str">
            <v>DODGE</v>
          </cell>
          <cell r="D1039" t="str">
            <v>GRAND CARAVAN</v>
          </cell>
          <cell r="E1039">
            <v>109253</v>
          </cell>
          <cell r="F1039" t="str">
            <v>Grade 2.4</v>
          </cell>
          <cell r="G1039" t="str">
            <v>Green Light</v>
          </cell>
          <cell r="H1039" t="str">
            <v>Yes</v>
          </cell>
          <cell r="I1039" t="str">
            <v>No</v>
          </cell>
          <cell r="J1039">
            <v>45636</v>
          </cell>
          <cell r="K1039" t="str">
            <v>Yes</v>
          </cell>
          <cell r="L1039">
            <v>44144</v>
          </cell>
          <cell r="M1039">
            <v>235</v>
          </cell>
          <cell r="N1039">
            <v>285</v>
          </cell>
          <cell r="O1039">
            <v>3951.65771484375</v>
          </cell>
          <cell r="P1039">
            <v>8935.8711482913204</v>
          </cell>
          <cell r="Q1039">
            <v>3881.8876953125</v>
          </cell>
        </row>
        <row r="1040">
          <cell r="A1040" t="str">
            <v>2GNFLCE32E6260928</v>
          </cell>
          <cell r="B1040">
            <v>2014</v>
          </cell>
          <cell r="C1040" t="str">
            <v>CHEVROLET</v>
          </cell>
          <cell r="D1040" t="str">
            <v>EQUINOX FWD V6</v>
          </cell>
          <cell r="E1040">
            <v>128740</v>
          </cell>
          <cell r="F1040" t="str">
            <v>Grade 3.3</v>
          </cell>
          <cell r="G1040" t="str">
            <v>Red Light</v>
          </cell>
          <cell r="H1040" t="str">
            <v>No</v>
          </cell>
          <cell r="I1040" t="str">
            <v>Yes</v>
          </cell>
          <cell r="J1040">
            <v>45666</v>
          </cell>
          <cell r="K1040" t="str">
            <v>Yes</v>
          </cell>
          <cell r="L1040">
            <v>44144</v>
          </cell>
          <cell r="M1040">
            <v>235</v>
          </cell>
          <cell r="N1040">
            <v>285</v>
          </cell>
          <cell r="O1040">
            <v>4277.65283203125</v>
          </cell>
          <cell r="P1040">
            <v>9441.2701873756723</v>
          </cell>
          <cell r="Q1040">
            <v>4420.03955078125</v>
          </cell>
        </row>
        <row r="1041">
          <cell r="A1041" t="str">
            <v>3FA6P0UU1ER394995</v>
          </cell>
          <cell r="B1041">
            <v>2014</v>
          </cell>
          <cell r="C1041" t="str">
            <v>FORD</v>
          </cell>
          <cell r="D1041" t="str">
            <v>FUSION FWD 4C</v>
          </cell>
          <cell r="E1041">
            <v>117800</v>
          </cell>
          <cell r="F1041" t="str">
            <v>Grade 2.6</v>
          </cell>
          <cell r="G1041" t="str">
            <v>Green/Yellow</v>
          </cell>
          <cell r="H1041" t="str">
            <v>Yes</v>
          </cell>
          <cell r="I1041" t="str">
            <v>No</v>
          </cell>
          <cell r="J1041">
            <v>45645</v>
          </cell>
          <cell r="K1041" t="str">
            <v>Yes</v>
          </cell>
          <cell r="L1041">
            <v>44144</v>
          </cell>
          <cell r="M1041">
            <v>235</v>
          </cell>
          <cell r="N1041">
            <v>285</v>
          </cell>
          <cell r="O1041">
            <v>2295.6650390625</v>
          </cell>
          <cell r="P1041">
            <v>9301.2068014746692</v>
          </cell>
          <cell r="Q1041">
            <v>2215.851806640625</v>
          </cell>
        </row>
        <row r="1042">
          <cell r="A1042" t="str">
            <v>3VWC17AU3FM502864</v>
          </cell>
          <cell r="B1042">
            <v>2015</v>
          </cell>
          <cell r="C1042" t="str">
            <v>VOLKSWAGEN</v>
          </cell>
          <cell r="D1042" t="str">
            <v>GOLF</v>
          </cell>
          <cell r="E1042">
            <v>105300</v>
          </cell>
          <cell r="F1042" t="str">
            <v>Grade 2.0</v>
          </cell>
          <cell r="G1042" t="str">
            <v>Inoperable</v>
          </cell>
          <cell r="H1042" t="str">
            <v>No</v>
          </cell>
          <cell r="I1042" t="str">
            <v>Yes</v>
          </cell>
          <cell r="J1042">
            <v>45722</v>
          </cell>
          <cell r="K1042" t="str">
            <v>Yes</v>
          </cell>
          <cell r="L1042">
            <v>44144</v>
          </cell>
          <cell r="M1042">
            <v>235</v>
          </cell>
          <cell r="N1042">
            <v>285</v>
          </cell>
          <cell r="O1042">
            <v>1416.717407226562</v>
          </cell>
          <cell r="P1042">
            <v>8778.2834715789868</v>
          </cell>
          <cell r="Q1042">
            <v>1385.325439453125</v>
          </cell>
        </row>
        <row r="1043">
          <cell r="A1043" t="str">
            <v>5XYKTDA60EG469388</v>
          </cell>
          <cell r="B1043">
            <v>2014</v>
          </cell>
          <cell r="C1043" t="str">
            <v>KIA</v>
          </cell>
          <cell r="D1043" t="str">
            <v>SORENTO AWD 4C</v>
          </cell>
          <cell r="E1043">
            <v>97789</v>
          </cell>
          <cell r="F1043" t="str">
            <v>Grade 3.1</v>
          </cell>
          <cell r="G1043" t="str">
            <v>Green/Yellow</v>
          </cell>
          <cell r="H1043" t="str">
            <v>Yes</v>
          </cell>
          <cell r="I1043" t="str">
            <v>No</v>
          </cell>
          <cell r="J1043">
            <v>45547</v>
          </cell>
          <cell r="K1043" t="str">
            <v>Yes</v>
          </cell>
          <cell r="L1043">
            <v>44144</v>
          </cell>
          <cell r="M1043">
            <v>235</v>
          </cell>
          <cell r="N1043">
            <v>285</v>
          </cell>
          <cell r="O1043">
            <v>5165.87451171875</v>
          </cell>
          <cell r="P1043">
            <v>8924.3964353748452</v>
          </cell>
          <cell r="Q1043">
            <v>5096.99560546875</v>
          </cell>
        </row>
        <row r="1044">
          <cell r="A1044" t="str">
            <v>KMHD35LH1HU384040</v>
          </cell>
          <cell r="B1044">
            <v>2017</v>
          </cell>
          <cell r="C1044" t="str">
            <v>HYUNDAI</v>
          </cell>
          <cell r="D1044" t="str">
            <v>ELANTRA GT</v>
          </cell>
          <cell r="E1044">
            <v>42937</v>
          </cell>
          <cell r="F1044" t="str">
            <v>Grade 2.4</v>
          </cell>
          <cell r="G1044" t="str">
            <v>Green Light</v>
          </cell>
          <cell r="H1044" t="str">
            <v>Yes</v>
          </cell>
          <cell r="I1044" t="str">
            <v>No</v>
          </cell>
          <cell r="J1044">
            <v>45687</v>
          </cell>
          <cell r="K1044" t="str">
            <v>Yes</v>
          </cell>
          <cell r="L1044">
            <v>44144</v>
          </cell>
          <cell r="M1044">
            <v>235</v>
          </cell>
          <cell r="N1044">
            <v>285</v>
          </cell>
          <cell r="O1044">
            <v>3135.066650390625</v>
          </cell>
          <cell r="P1044">
            <v>11006.62035662356</v>
          </cell>
          <cell r="Q1044">
            <v>3046.538330078125</v>
          </cell>
        </row>
        <row r="1045">
          <cell r="A1045" t="str">
            <v>2GNFLEEK7F6189925</v>
          </cell>
          <cell r="B1045">
            <v>2015</v>
          </cell>
          <cell r="C1045" t="str">
            <v>CHEVROLET</v>
          </cell>
          <cell r="D1045" t="str">
            <v>EQUINOX AWD 4C</v>
          </cell>
          <cell r="E1045">
            <v>174412</v>
          </cell>
          <cell r="F1045" t="str">
            <v>Grade 2.9</v>
          </cell>
          <cell r="G1045" t="str">
            <v>Red Light</v>
          </cell>
          <cell r="H1045" t="str">
            <v>No</v>
          </cell>
          <cell r="I1045" t="str">
            <v>Yes</v>
          </cell>
          <cell r="J1045">
            <v>45309</v>
          </cell>
          <cell r="K1045" t="str">
            <v>Yes</v>
          </cell>
          <cell r="L1045">
            <v>44146</v>
          </cell>
          <cell r="M1045">
            <v>235</v>
          </cell>
          <cell r="N1045">
            <v>285</v>
          </cell>
          <cell r="O1045">
            <v>2518.40283203125</v>
          </cell>
          <cell r="P1045">
            <v>9453.7989090774754</v>
          </cell>
          <cell r="Q1045">
            <v>2422.48779296875</v>
          </cell>
        </row>
        <row r="1046">
          <cell r="A1046" t="str">
            <v>JM1GJ1U5XF1214729</v>
          </cell>
          <cell r="B1046">
            <v>2015</v>
          </cell>
          <cell r="C1046" t="str">
            <v>MAZDA</v>
          </cell>
          <cell r="D1046" t="str">
            <v>MAZDA6</v>
          </cell>
          <cell r="E1046">
            <v>164780</v>
          </cell>
          <cell r="F1046" t="str">
            <v>Grade 3.3</v>
          </cell>
          <cell r="G1046" t="str">
            <v>Red Light</v>
          </cell>
          <cell r="H1046" t="str">
            <v>No</v>
          </cell>
          <cell r="I1046" t="str">
            <v>Yes</v>
          </cell>
          <cell r="J1046">
            <v>45708</v>
          </cell>
          <cell r="K1046" t="str">
            <v>Yes</v>
          </cell>
          <cell r="L1046">
            <v>44146</v>
          </cell>
          <cell r="M1046">
            <v>235</v>
          </cell>
          <cell r="N1046">
            <v>285</v>
          </cell>
          <cell r="O1046">
            <v>3858.65576171875</v>
          </cell>
          <cell r="P1046">
            <v>9112.0132177759333</v>
          </cell>
          <cell r="Q1046">
            <v>3803.46435546875</v>
          </cell>
        </row>
        <row r="1047">
          <cell r="A1047" t="str">
            <v>JM3TCACY1G0101013</v>
          </cell>
          <cell r="B1047">
            <v>2016</v>
          </cell>
          <cell r="C1047" t="str">
            <v>MAZDA</v>
          </cell>
          <cell r="D1047" t="str">
            <v>CX-9</v>
          </cell>
          <cell r="E1047">
            <v>107682</v>
          </cell>
          <cell r="F1047" t="str">
            <v>Grade 1.0</v>
          </cell>
          <cell r="G1047" t="str">
            <v>Salvage</v>
          </cell>
          <cell r="H1047" t="str">
            <v>No</v>
          </cell>
          <cell r="I1047" t="str">
            <v>Yes</v>
          </cell>
          <cell r="J1047">
            <v>45426</v>
          </cell>
          <cell r="K1047" t="str">
            <v>Yes</v>
          </cell>
          <cell r="L1047">
            <v>44146</v>
          </cell>
          <cell r="M1047">
            <v>235</v>
          </cell>
          <cell r="N1047">
            <v>285</v>
          </cell>
          <cell r="O1047">
            <v>3111.943115234375</v>
          </cell>
          <cell r="P1047">
            <v>9024.5663691299505</v>
          </cell>
          <cell r="Q1047">
            <v>2948.25927734375</v>
          </cell>
        </row>
        <row r="1048">
          <cell r="A1048" t="str">
            <v>JN8AT2MV1KW380368</v>
          </cell>
          <cell r="B1048">
            <v>2019</v>
          </cell>
          <cell r="C1048" t="str">
            <v>NISSAN</v>
          </cell>
          <cell r="D1048" t="str">
            <v>ROGUE</v>
          </cell>
          <cell r="E1048">
            <v>98868</v>
          </cell>
          <cell r="F1048" t="str">
            <v>Grade 4.0</v>
          </cell>
          <cell r="G1048" t="str">
            <v>Certified</v>
          </cell>
          <cell r="H1048" t="str">
            <v>Yes</v>
          </cell>
          <cell r="I1048" t="str">
            <v>No</v>
          </cell>
          <cell r="J1048">
            <v>45720</v>
          </cell>
          <cell r="K1048" t="str">
            <v>Yes</v>
          </cell>
          <cell r="L1048">
            <v>44146</v>
          </cell>
          <cell r="M1048">
            <v>235</v>
          </cell>
          <cell r="N1048">
            <v>285</v>
          </cell>
          <cell r="O1048">
            <v>8892.927734375</v>
          </cell>
          <cell r="P1048">
            <v>9906.597331815341</v>
          </cell>
          <cell r="Q1048">
            <v>8951.8310546875</v>
          </cell>
        </row>
        <row r="1049">
          <cell r="A1049" t="str">
            <v>19XFB2F84CE067726</v>
          </cell>
          <cell r="B1049">
            <v>2012</v>
          </cell>
          <cell r="C1049" t="str">
            <v>HONDA</v>
          </cell>
          <cell r="D1049" t="str">
            <v>CIVIC</v>
          </cell>
          <cell r="E1049">
            <v>104101</v>
          </cell>
          <cell r="F1049" t="str">
            <v>Grade 2.8</v>
          </cell>
          <cell r="G1049" t="str">
            <v>Green Light</v>
          </cell>
          <cell r="H1049" t="str">
            <v>Yes</v>
          </cell>
          <cell r="I1049" t="str">
            <v>No</v>
          </cell>
          <cell r="J1049">
            <v>45400</v>
          </cell>
          <cell r="K1049" t="str">
            <v>Yes</v>
          </cell>
          <cell r="L1049">
            <v>44203</v>
          </cell>
          <cell r="M1049">
            <v>235</v>
          </cell>
          <cell r="N1049">
            <v>285</v>
          </cell>
          <cell r="O1049">
            <v>3222.29296875</v>
          </cell>
          <cell r="P1049">
            <v>9094.1289786679718</v>
          </cell>
          <cell r="Q1049">
            <v>3070.48291015625</v>
          </cell>
        </row>
        <row r="1050">
          <cell r="A1050" t="str">
            <v>1FADP3L99EL228907</v>
          </cell>
          <cell r="B1050">
            <v>2014</v>
          </cell>
          <cell r="C1050" t="str">
            <v>FORD</v>
          </cell>
          <cell r="D1050" t="str">
            <v>FOCUS ST</v>
          </cell>
          <cell r="E1050">
            <v>81782</v>
          </cell>
          <cell r="F1050" t="str">
            <v>Grade 2.4</v>
          </cell>
          <cell r="G1050" t="str">
            <v>Green/Yellow</v>
          </cell>
          <cell r="H1050" t="str">
            <v>Yes</v>
          </cell>
          <cell r="I1050" t="str">
            <v>No</v>
          </cell>
          <cell r="J1050">
            <v>45440</v>
          </cell>
          <cell r="K1050" t="str">
            <v>Yes</v>
          </cell>
          <cell r="L1050">
            <v>44203</v>
          </cell>
          <cell r="M1050">
            <v>235</v>
          </cell>
          <cell r="N1050">
            <v>285</v>
          </cell>
          <cell r="O1050">
            <v>4033.24072265625</v>
          </cell>
          <cell r="P1050">
            <v>9426.500060885337</v>
          </cell>
          <cell r="Q1050">
            <v>4045.76806640625</v>
          </cell>
        </row>
        <row r="1051">
          <cell r="A1051" t="str">
            <v>1FTFW1EG0GFC99355</v>
          </cell>
          <cell r="B1051">
            <v>2016</v>
          </cell>
          <cell r="C1051" t="str">
            <v>FORD</v>
          </cell>
          <cell r="D1051" t="str">
            <v>F150 4X4 CR</v>
          </cell>
          <cell r="E1051">
            <v>141642</v>
          </cell>
          <cell r="F1051" t="str">
            <v>Grade 3.4</v>
          </cell>
          <cell r="G1051" t="str">
            <v>Green/Yellow</v>
          </cell>
          <cell r="H1051" t="str">
            <v>Yes</v>
          </cell>
          <cell r="I1051" t="str">
            <v>No</v>
          </cell>
          <cell r="J1051">
            <v>45708</v>
          </cell>
          <cell r="K1051" t="str">
            <v>Yes</v>
          </cell>
          <cell r="L1051">
            <v>44203</v>
          </cell>
          <cell r="M1051">
            <v>235</v>
          </cell>
          <cell r="N1051">
            <v>285</v>
          </cell>
          <cell r="O1051">
            <v>5175.5224609375</v>
          </cell>
          <cell r="P1051">
            <v>9328.4714418519743</v>
          </cell>
          <cell r="Q1051">
            <v>5088.087890625</v>
          </cell>
        </row>
        <row r="1052">
          <cell r="A1052" t="str">
            <v>1GNFLGEK8EZ112608</v>
          </cell>
          <cell r="B1052">
            <v>2014</v>
          </cell>
          <cell r="C1052" t="str">
            <v>CHEVROLET</v>
          </cell>
          <cell r="D1052" t="str">
            <v>EQUINOX</v>
          </cell>
          <cell r="E1052">
            <v>92564</v>
          </cell>
          <cell r="F1052" t="str">
            <v>Grade 4.9</v>
          </cell>
          <cell r="G1052" t="str">
            <v>Certified</v>
          </cell>
          <cell r="H1052" t="str">
            <v>Yes</v>
          </cell>
          <cell r="I1052" t="str">
            <v>No</v>
          </cell>
          <cell r="J1052">
            <v>45482</v>
          </cell>
          <cell r="K1052" t="str">
            <v>Yes</v>
          </cell>
          <cell r="L1052">
            <v>44203</v>
          </cell>
          <cell r="M1052">
            <v>235</v>
          </cell>
          <cell r="N1052">
            <v>285</v>
          </cell>
          <cell r="O1052">
            <v>7881.97998046875</v>
          </cell>
          <cell r="P1052">
            <v>10297.47378764835</v>
          </cell>
          <cell r="Q1052">
            <v>7827.77783203125</v>
          </cell>
        </row>
        <row r="1053">
          <cell r="A1053" t="str">
            <v>1N4AL3AP4HC203885</v>
          </cell>
          <cell r="B1053">
            <v>2017</v>
          </cell>
          <cell r="C1053" t="str">
            <v>NISSAN</v>
          </cell>
          <cell r="D1053" t="str">
            <v>ALTIMA</v>
          </cell>
          <cell r="E1053">
            <v>95796</v>
          </cell>
          <cell r="F1053" t="str">
            <v>Grade 1.3</v>
          </cell>
          <cell r="G1053" t="str">
            <v>Inoperable</v>
          </cell>
          <cell r="H1053" t="str">
            <v>No</v>
          </cell>
          <cell r="I1053" t="str">
            <v>Yes</v>
          </cell>
          <cell r="J1053">
            <v>45496</v>
          </cell>
          <cell r="K1053" t="str">
            <v>Yes</v>
          </cell>
          <cell r="L1053">
            <v>44203</v>
          </cell>
          <cell r="M1053">
            <v>235</v>
          </cell>
          <cell r="N1053">
            <v>285</v>
          </cell>
          <cell r="O1053">
            <v>3033.16064453125</v>
          </cell>
          <cell r="P1053">
            <v>8997.9666135342595</v>
          </cell>
          <cell r="Q1053">
            <v>2863.37744140625</v>
          </cell>
        </row>
        <row r="1054">
          <cell r="A1054" t="str">
            <v>1VWBA7A39JC001930</v>
          </cell>
          <cell r="B1054">
            <v>2018</v>
          </cell>
          <cell r="C1054" t="str">
            <v>VOLKSWAGEN</v>
          </cell>
          <cell r="D1054" t="str">
            <v>PASSAT 4C</v>
          </cell>
          <cell r="E1054">
            <v>51460</v>
          </cell>
          <cell r="F1054" t="str">
            <v>Grade 4.5</v>
          </cell>
          <cell r="G1054" t="str">
            <v>Certified</v>
          </cell>
          <cell r="H1054" t="str">
            <v>Yes</v>
          </cell>
          <cell r="I1054" t="str">
            <v>No</v>
          </cell>
          <cell r="J1054">
            <v>45344</v>
          </cell>
          <cell r="K1054" t="str">
            <v>Yes</v>
          </cell>
          <cell r="L1054">
            <v>44203</v>
          </cell>
          <cell r="M1054">
            <v>235</v>
          </cell>
          <cell r="N1054">
            <v>285</v>
          </cell>
          <cell r="O1054">
            <v>12371.923828125</v>
          </cell>
          <cell r="P1054">
            <v>11934.8817688073</v>
          </cell>
          <cell r="Q1054">
            <v>12070.8740234375</v>
          </cell>
        </row>
        <row r="1055">
          <cell r="A1055" t="str">
            <v>2C3CDZGGXHH556031</v>
          </cell>
          <cell r="B1055">
            <v>2017</v>
          </cell>
          <cell r="C1055" t="str">
            <v>DODGE</v>
          </cell>
          <cell r="D1055" t="str">
            <v>CHALLENGER</v>
          </cell>
          <cell r="E1055">
            <v>61016</v>
          </cell>
          <cell r="F1055" t="str">
            <v>Grade 4.6</v>
          </cell>
          <cell r="G1055" t="str">
            <v>Certified</v>
          </cell>
          <cell r="H1055" t="str">
            <v>Yes</v>
          </cell>
          <cell r="I1055" t="str">
            <v>No</v>
          </cell>
          <cell r="J1055">
            <v>45356</v>
          </cell>
          <cell r="K1055" t="str">
            <v>Yes</v>
          </cell>
          <cell r="L1055">
            <v>44203</v>
          </cell>
          <cell r="M1055">
            <v>235</v>
          </cell>
          <cell r="N1055">
            <v>285</v>
          </cell>
          <cell r="O1055">
            <v>14008.181640625</v>
          </cell>
          <cell r="P1055">
            <v>13388.94522206432</v>
          </cell>
          <cell r="Q1055">
            <v>13872.6689453125</v>
          </cell>
        </row>
        <row r="1056">
          <cell r="A1056" t="str">
            <v>2GNALBEKXH1524524</v>
          </cell>
          <cell r="B1056">
            <v>2017</v>
          </cell>
          <cell r="C1056" t="str">
            <v>CHEVROLET</v>
          </cell>
          <cell r="D1056" t="str">
            <v>EQUINOX FWD 4C</v>
          </cell>
          <cell r="E1056">
            <v>103664</v>
          </cell>
          <cell r="F1056" t="str">
            <v>Grade 4.9</v>
          </cell>
          <cell r="G1056" t="str">
            <v>Certified</v>
          </cell>
          <cell r="H1056" t="str">
            <v>Yes</v>
          </cell>
          <cell r="I1056" t="str">
            <v>No</v>
          </cell>
          <cell r="J1056">
            <v>45463</v>
          </cell>
          <cell r="K1056" t="str">
            <v>Yes</v>
          </cell>
          <cell r="L1056">
            <v>44203</v>
          </cell>
          <cell r="M1056">
            <v>235</v>
          </cell>
          <cell r="N1056">
            <v>285</v>
          </cell>
          <cell r="O1056">
            <v>10202.6201171875</v>
          </cell>
          <cell r="P1056">
            <v>10249.45612625696</v>
          </cell>
          <cell r="Q1056">
            <v>10345.4609375</v>
          </cell>
        </row>
        <row r="1057">
          <cell r="A1057" t="str">
            <v>3LN6L5A91HR631827</v>
          </cell>
          <cell r="B1057">
            <v>2017</v>
          </cell>
          <cell r="C1057" t="str">
            <v>LINCOLN</v>
          </cell>
          <cell r="D1057" t="str">
            <v>MKZ</v>
          </cell>
          <cell r="E1057">
            <v>50716</v>
          </cell>
          <cell r="F1057" t="str">
            <v>Grade 3.9</v>
          </cell>
          <cell r="G1057" t="str">
            <v>Certified</v>
          </cell>
          <cell r="H1057" t="str">
            <v>Yes</v>
          </cell>
          <cell r="I1057" t="str">
            <v>No</v>
          </cell>
          <cell r="J1057">
            <v>45314</v>
          </cell>
          <cell r="K1057" t="str">
            <v>Yes</v>
          </cell>
          <cell r="L1057">
            <v>44203</v>
          </cell>
          <cell r="M1057">
            <v>235</v>
          </cell>
          <cell r="N1057">
            <v>285</v>
          </cell>
          <cell r="O1057">
            <v>14038.1962890625</v>
          </cell>
          <cell r="P1057">
            <v>12069.858330859261</v>
          </cell>
          <cell r="Q1057">
            <v>13914.982421875</v>
          </cell>
        </row>
        <row r="1058">
          <cell r="A1058" t="str">
            <v>3VWN57BU3LM057260</v>
          </cell>
          <cell r="B1058">
            <v>2020</v>
          </cell>
          <cell r="C1058" t="str">
            <v>VOLKSWAGEN</v>
          </cell>
          <cell r="D1058" t="str">
            <v>JETTA</v>
          </cell>
          <cell r="E1058">
            <v>22144</v>
          </cell>
          <cell r="F1058" t="str">
            <v>Grade 4.1</v>
          </cell>
          <cell r="G1058" t="str">
            <v>Certified</v>
          </cell>
          <cell r="H1058" t="str">
            <v>Yes</v>
          </cell>
          <cell r="I1058" t="str">
            <v>No</v>
          </cell>
          <cell r="J1058">
            <v>45580</v>
          </cell>
          <cell r="K1058" t="str">
            <v>Yes</v>
          </cell>
          <cell r="L1058">
            <v>44203</v>
          </cell>
          <cell r="M1058">
            <v>235</v>
          </cell>
          <cell r="N1058">
            <v>285</v>
          </cell>
          <cell r="O1058">
            <v>16631.111328125</v>
          </cell>
          <cell r="P1058">
            <v>13385.26832872233</v>
          </cell>
          <cell r="Q1058">
            <v>16748.99609375</v>
          </cell>
        </row>
        <row r="1059">
          <cell r="A1059" t="str">
            <v>5LMTJ2AH6FUJ15822</v>
          </cell>
          <cell r="B1059">
            <v>2015</v>
          </cell>
          <cell r="C1059" t="str">
            <v>LINCOLN</v>
          </cell>
          <cell r="D1059" t="str">
            <v>MKC</v>
          </cell>
          <cell r="E1059">
            <v>93222</v>
          </cell>
          <cell r="F1059" t="str">
            <v>Grade 3.6</v>
          </cell>
          <cell r="G1059" t="str">
            <v>Certified</v>
          </cell>
          <cell r="H1059" t="str">
            <v>Yes</v>
          </cell>
          <cell r="I1059" t="str">
            <v>No</v>
          </cell>
          <cell r="J1059">
            <v>45552</v>
          </cell>
          <cell r="K1059" t="str">
            <v>Yes</v>
          </cell>
          <cell r="L1059">
            <v>44203</v>
          </cell>
          <cell r="M1059">
            <v>235</v>
          </cell>
          <cell r="N1059">
            <v>285</v>
          </cell>
          <cell r="O1059">
            <v>7968.1298828125</v>
          </cell>
          <cell r="P1059">
            <v>10209.238362731139</v>
          </cell>
          <cell r="Q1059">
            <v>7827.77783203125</v>
          </cell>
        </row>
        <row r="1060">
          <cell r="A1060" t="str">
            <v>5NPE34AF2JH625849</v>
          </cell>
          <cell r="B1060">
            <v>2018</v>
          </cell>
          <cell r="C1060" t="str">
            <v>HYUNDAI</v>
          </cell>
          <cell r="D1060" t="str">
            <v>SONATA</v>
          </cell>
          <cell r="E1060">
            <v>78233</v>
          </cell>
          <cell r="F1060" t="str">
            <v>Grade 2.3</v>
          </cell>
          <cell r="G1060" t="str">
            <v>Red Light</v>
          </cell>
          <cell r="H1060" t="str">
            <v>No</v>
          </cell>
          <cell r="I1060" t="str">
            <v>Yes</v>
          </cell>
          <cell r="J1060">
            <v>45398</v>
          </cell>
          <cell r="K1060" t="str">
            <v>Yes</v>
          </cell>
          <cell r="L1060">
            <v>44203</v>
          </cell>
          <cell r="M1060">
            <v>235</v>
          </cell>
          <cell r="N1060">
            <v>285</v>
          </cell>
          <cell r="O1060">
            <v>4534.16552734375</v>
          </cell>
          <cell r="P1060">
            <v>8976.0227715031342</v>
          </cell>
          <cell r="Q1060">
            <v>4455.71044921875</v>
          </cell>
        </row>
        <row r="1061">
          <cell r="A1061" t="str">
            <v>KM8J33A4XHU453444</v>
          </cell>
          <cell r="B1061">
            <v>2017</v>
          </cell>
          <cell r="C1061" t="str">
            <v>HYUNDAI</v>
          </cell>
          <cell r="D1061" t="str">
            <v>TUCSON FWD 4C</v>
          </cell>
          <cell r="E1061">
            <v>115379</v>
          </cell>
          <cell r="F1061" t="str">
            <v>Grade 2.0</v>
          </cell>
          <cell r="G1061" t="str">
            <v>Inoperable</v>
          </cell>
          <cell r="H1061" t="str">
            <v>No</v>
          </cell>
          <cell r="I1061" t="str">
            <v>Yes</v>
          </cell>
          <cell r="J1061">
            <v>45449</v>
          </cell>
          <cell r="K1061" t="str">
            <v>Yes</v>
          </cell>
          <cell r="L1061">
            <v>44203</v>
          </cell>
          <cell r="M1061">
            <v>235</v>
          </cell>
          <cell r="N1061">
            <v>285</v>
          </cell>
          <cell r="O1061">
            <v>2672.151123046875</v>
          </cell>
          <cell r="P1061">
            <v>8689.7940827222192</v>
          </cell>
          <cell r="Q1061">
            <v>2503.20458984375</v>
          </cell>
        </row>
        <row r="1062">
          <cell r="A1062" t="str">
            <v>KM8J3CA4XGU076564</v>
          </cell>
          <cell r="B1062">
            <v>2016</v>
          </cell>
          <cell r="C1062" t="str">
            <v>HYUNDAI</v>
          </cell>
          <cell r="D1062" t="str">
            <v>TUCSON</v>
          </cell>
          <cell r="E1062">
            <v>125288</v>
          </cell>
          <cell r="F1062" t="str">
            <v>Grade 1.6</v>
          </cell>
          <cell r="G1062" t="str">
            <v>Inoperable</v>
          </cell>
          <cell r="H1062" t="str">
            <v>No</v>
          </cell>
          <cell r="I1062" t="str">
            <v>Yes</v>
          </cell>
          <cell r="J1062">
            <v>45468</v>
          </cell>
          <cell r="K1062" t="str">
            <v>Yes</v>
          </cell>
          <cell r="L1062">
            <v>44203</v>
          </cell>
          <cell r="M1062">
            <v>235</v>
          </cell>
          <cell r="N1062">
            <v>285</v>
          </cell>
          <cell r="O1062">
            <v>2034.01806640625</v>
          </cell>
          <cell r="P1062">
            <v>8764.7635407192847</v>
          </cell>
          <cell r="Q1062">
            <v>1972.155883789062</v>
          </cell>
        </row>
        <row r="1063">
          <cell r="A1063" t="str">
            <v>19XFC2F75HE021009</v>
          </cell>
          <cell r="B1063">
            <v>2017</v>
          </cell>
          <cell r="C1063" t="str">
            <v>HONDA</v>
          </cell>
          <cell r="D1063" t="str">
            <v>CIVIC</v>
          </cell>
          <cell r="E1063">
            <v>119483</v>
          </cell>
          <cell r="F1063" t="str">
            <v>Grade 3.1</v>
          </cell>
          <cell r="G1063" t="str">
            <v>Green Light</v>
          </cell>
          <cell r="H1063" t="str">
            <v>Yes</v>
          </cell>
          <cell r="I1063" t="str">
            <v>No</v>
          </cell>
          <cell r="J1063">
            <v>45412</v>
          </cell>
          <cell r="K1063" t="str">
            <v>Yes</v>
          </cell>
          <cell r="L1063">
            <v>44224</v>
          </cell>
          <cell r="M1063">
            <v>235</v>
          </cell>
          <cell r="N1063">
            <v>285</v>
          </cell>
          <cell r="O1063">
            <v>9191.865234375</v>
          </cell>
          <cell r="P1063">
            <v>9173.1146492167354</v>
          </cell>
          <cell r="Q1063">
            <v>9417.2470703125</v>
          </cell>
        </row>
        <row r="1064">
          <cell r="A1064" t="str">
            <v>1C3CCCAG7GN143529</v>
          </cell>
          <cell r="B1064">
            <v>2016</v>
          </cell>
          <cell r="C1064" t="str">
            <v>CHRYSLER</v>
          </cell>
          <cell r="D1064">
            <v>200</v>
          </cell>
          <cell r="E1064">
            <v>75247</v>
          </cell>
          <cell r="F1064" t="str">
            <v>Grade 1.7</v>
          </cell>
          <cell r="G1064" t="str">
            <v>Inoperable</v>
          </cell>
          <cell r="H1064" t="str">
            <v>No</v>
          </cell>
          <cell r="I1064" t="str">
            <v>Yes</v>
          </cell>
          <cell r="J1064">
            <v>45454</v>
          </cell>
          <cell r="K1064" t="str">
            <v>Yes</v>
          </cell>
          <cell r="L1064">
            <v>44224</v>
          </cell>
          <cell r="M1064">
            <v>235</v>
          </cell>
          <cell r="N1064">
            <v>285</v>
          </cell>
          <cell r="O1064">
            <v>3735.607177734375</v>
          </cell>
          <cell r="P1064">
            <v>9140.0790725069874</v>
          </cell>
          <cell r="Q1064">
            <v>3588.97705078125</v>
          </cell>
        </row>
        <row r="1065">
          <cell r="A1065" t="str">
            <v>1C3CCCBG6FN506254</v>
          </cell>
          <cell r="B1065">
            <v>2015</v>
          </cell>
          <cell r="C1065" t="str">
            <v>CHRYSLER</v>
          </cell>
          <cell r="D1065">
            <v>200</v>
          </cell>
          <cell r="E1065">
            <v>51253</v>
          </cell>
          <cell r="F1065" t="str">
            <v>Grade 2.4</v>
          </cell>
          <cell r="G1065" t="str">
            <v>Red Light</v>
          </cell>
          <cell r="H1065" t="str">
            <v>No</v>
          </cell>
          <cell r="I1065" t="str">
            <v>Yes</v>
          </cell>
          <cell r="J1065">
            <v>45384</v>
          </cell>
          <cell r="K1065" t="str">
            <v>Yes</v>
          </cell>
          <cell r="L1065">
            <v>44224</v>
          </cell>
          <cell r="M1065">
            <v>235</v>
          </cell>
          <cell r="N1065">
            <v>285</v>
          </cell>
          <cell r="O1065">
            <v>7919.7216796875</v>
          </cell>
          <cell r="P1065">
            <v>11019.902609420429</v>
          </cell>
          <cell r="Q1065">
            <v>7666.888671875</v>
          </cell>
        </row>
        <row r="1066">
          <cell r="A1066" t="str">
            <v>1C4NJCEA1GD773830</v>
          </cell>
          <cell r="B1066">
            <v>2016</v>
          </cell>
          <cell r="C1066" t="str">
            <v>JEEP</v>
          </cell>
          <cell r="D1066" t="str">
            <v>COMPASS FWD 4C</v>
          </cell>
          <cell r="E1066">
            <v>141144</v>
          </cell>
          <cell r="F1066" t="str">
            <v>Grade 2.6</v>
          </cell>
          <cell r="G1066" t="str">
            <v>Red Light</v>
          </cell>
          <cell r="H1066" t="str">
            <v>No</v>
          </cell>
          <cell r="I1066" t="str">
            <v>Yes</v>
          </cell>
          <cell r="J1066">
            <v>45722</v>
          </cell>
          <cell r="K1066" t="str">
            <v>Yes</v>
          </cell>
          <cell r="L1066">
            <v>44224</v>
          </cell>
          <cell r="M1066">
            <v>235</v>
          </cell>
          <cell r="N1066">
            <v>285</v>
          </cell>
          <cell r="O1066">
            <v>2437.732177734375</v>
          </cell>
          <cell r="P1066">
            <v>9256.3077191098255</v>
          </cell>
          <cell r="Q1066">
            <v>2358.90087890625</v>
          </cell>
        </row>
        <row r="1067">
          <cell r="A1067" t="str">
            <v>1C4NJDBB0GD662642</v>
          </cell>
          <cell r="B1067">
            <v>2016</v>
          </cell>
          <cell r="C1067" t="str">
            <v>JEEP</v>
          </cell>
          <cell r="D1067" t="str">
            <v>COMPASS 4X4 4C</v>
          </cell>
          <cell r="E1067">
            <v>102267</v>
          </cell>
          <cell r="F1067" t="str">
            <v>Grade 1.9</v>
          </cell>
          <cell r="G1067" t="str">
            <v>Green/Yellow</v>
          </cell>
          <cell r="H1067" t="str">
            <v>Yes</v>
          </cell>
          <cell r="I1067" t="str">
            <v>No</v>
          </cell>
          <cell r="J1067">
            <v>45407</v>
          </cell>
          <cell r="K1067" t="str">
            <v>Yes</v>
          </cell>
          <cell r="L1067">
            <v>44224</v>
          </cell>
          <cell r="M1067">
            <v>235</v>
          </cell>
          <cell r="N1067">
            <v>285</v>
          </cell>
          <cell r="O1067">
            <v>3512.014404296875</v>
          </cell>
          <cell r="P1067">
            <v>9192.4127958060217</v>
          </cell>
          <cell r="Q1067">
            <v>3454.8212890625</v>
          </cell>
        </row>
        <row r="1068">
          <cell r="A1068" t="str">
            <v>1C4NJDEB3ED892104</v>
          </cell>
          <cell r="B1068">
            <v>2014</v>
          </cell>
          <cell r="C1068" t="str">
            <v>JEEP</v>
          </cell>
          <cell r="D1068" t="str">
            <v>COMPASS 4X4 4C</v>
          </cell>
          <cell r="E1068">
            <v>129347</v>
          </cell>
          <cell r="F1068" t="str">
            <v>Grade 2.5</v>
          </cell>
          <cell r="G1068" t="str">
            <v>Red Light</v>
          </cell>
          <cell r="H1068" t="str">
            <v>No</v>
          </cell>
          <cell r="I1068" t="str">
            <v>Yes</v>
          </cell>
          <cell r="J1068">
            <v>45715</v>
          </cell>
          <cell r="K1068" t="str">
            <v>Yes</v>
          </cell>
          <cell r="L1068">
            <v>44224</v>
          </cell>
          <cell r="M1068">
            <v>235</v>
          </cell>
          <cell r="N1068">
            <v>285</v>
          </cell>
          <cell r="O1068">
            <v>2001.772705078125</v>
          </cell>
          <cell r="P1068">
            <v>9232.7221954143643</v>
          </cell>
          <cell r="Q1068">
            <v>1951.93798828125</v>
          </cell>
        </row>
        <row r="1069">
          <cell r="A1069" t="str">
            <v>1C4NJRBB8ED511722</v>
          </cell>
          <cell r="B1069">
            <v>2014</v>
          </cell>
          <cell r="C1069" t="str">
            <v>JEEP</v>
          </cell>
          <cell r="D1069" t="str">
            <v>PATRIOT 4X4 4C</v>
          </cell>
          <cell r="E1069">
            <v>128455</v>
          </cell>
          <cell r="F1069" t="str">
            <v>Grade 2.7</v>
          </cell>
          <cell r="G1069" t="str">
            <v>Red Light</v>
          </cell>
          <cell r="H1069" t="str">
            <v>No</v>
          </cell>
          <cell r="I1069" t="str">
            <v>Yes</v>
          </cell>
          <cell r="J1069">
            <v>45645</v>
          </cell>
          <cell r="K1069" t="str">
            <v>Yes</v>
          </cell>
          <cell r="L1069">
            <v>44224</v>
          </cell>
          <cell r="M1069">
            <v>235</v>
          </cell>
          <cell r="N1069">
            <v>285</v>
          </cell>
          <cell r="O1069">
            <v>2010.598876953125</v>
          </cell>
          <cell r="P1069">
            <v>9306.6929291045344</v>
          </cell>
          <cell r="Q1069">
            <v>1960.711547851562</v>
          </cell>
        </row>
        <row r="1070">
          <cell r="A1070" t="str">
            <v>1C4NJRFB5GD658769</v>
          </cell>
          <cell r="B1070">
            <v>2016</v>
          </cell>
          <cell r="C1070" t="str">
            <v>JEEP</v>
          </cell>
          <cell r="D1070" t="str">
            <v>PATRIOT 4X4 4C</v>
          </cell>
          <cell r="E1070">
            <v>100880</v>
          </cell>
          <cell r="F1070" t="str">
            <v>Grade 2.3</v>
          </cell>
          <cell r="G1070" t="str">
            <v>Red Light</v>
          </cell>
          <cell r="H1070" t="str">
            <v>No</v>
          </cell>
          <cell r="I1070" t="str">
            <v>Yes</v>
          </cell>
          <cell r="J1070">
            <v>45701</v>
          </cell>
          <cell r="K1070" t="str">
            <v>Yes</v>
          </cell>
          <cell r="L1070">
            <v>44224</v>
          </cell>
          <cell r="M1070">
            <v>235</v>
          </cell>
          <cell r="N1070">
            <v>285</v>
          </cell>
          <cell r="O1070">
            <v>3474.266357421875</v>
          </cell>
          <cell r="P1070">
            <v>9180.2645530847603</v>
          </cell>
          <cell r="Q1070">
            <v>3388.529296875</v>
          </cell>
        </row>
        <row r="1071">
          <cell r="A1071" t="str">
            <v>1C4NJRFB6ED858718</v>
          </cell>
          <cell r="B1071">
            <v>2014</v>
          </cell>
          <cell r="C1071" t="str">
            <v>JEEP</v>
          </cell>
          <cell r="D1071" t="str">
            <v>PATRIOT 4X4 4C</v>
          </cell>
          <cell r="E1071">
            <v>199855</v>
          </cell>
          <cell r="F1071" t="str">
            <v>Grade 1.0</v>
          </cell>
          <cell r="G1071" t="str">
            <v>Inoperable</v>
          </cell>
          <cell r="H1071" t="str">
            <v>No</v>
          </cell>
          <cell r="I1071" t="str">
            <v>Yes</v>
          </cell>
          <cell r="J1071">
            <v>45666</v>
          </cell>
          <cell r="K1071" t="str">
            <v>Yes</v>
          </cell>
          <cell r="L1071">
            <v>44224</v>
          </cell>
          <cell r="M1071">
            <v>235</v>
          </cell>
          <cell r="N1071">
            <v>285</v>
          </cell>
          <cell r="O1071">
            <v>1393.219848632812</v>
          </cell>
          <cell r="P1071">
            <v>9109.2630909708678</v>
          </cell>
          <cell r="Q1071">
            <v>1380.25</v>
          </cell>
        </row>
        <row r="1072">
          <cell r="A1072" t="str">
            <v>1C6RR7KG4ES424817</v>
          </cell>
          <cell r="B1072">
            <v>2014</v>
          </cell>
          <cell r="C1072" t="str">
            <v>RAM</v>
          </cell>
          <cell r="D1072" t="str">
            <v>1500 4X4 CR</v>
          </cell>
          <cell r="E1072">
            <v>87815</v>
          </cell>
          <cell r="F1072" t="str">
            <v>Grade 2.1</v>
          </cell>
          <cell r="G1072" t="str">
            <v>Green/Yellow</v>
          </cell>
          <cell r="H1072" t="str">
            <v>Yes</v>
          </cell>
          <cell r="I1072" t="str">
            <v>No</v>
          </cell>
          <cell r="J1072">
            <v>45715</v>
          </cell>
          <cell r="K1072" t="str">
            <v>Yes</v>
          </cell>
          <cell r="L1072">
            <v>44224</v>
          </cell>
          <cell r="M1072">
            <v>235</v>
          </cell>
          <cell r="N1072">
            <v>285</v>
          </cell>
          <cell r="O1072">
            <v>6197.08203125</v>
          </cell>
          <cell r="P1072">
            <v>10460.586260342459</v>
          </cell>
          <cell r="Q1072">
            <v>5904.095703125</v>
          </cell>
        </row>
        <row r="1073">
          <cell r="A1073" t="str">
            <v>1FM5K7F81EGA02887</v>
          </cell>
          <cell r="B1073">
            <v>2014</v>
          </cell>
          <cell r="C1073" t="str">
            <v>FORD</v>
          </cell>
          <cell r="D1073" t="str">
            <v>EXPLORER</v>
          </cell>
          <cell r="E1073">
            <v>120599</v>
          </cell>
          <cell r="F1073" t="str">
            <v>Grade 2.7</v>
          </cell>
          <cell r="G1073" t="str">
            <v>Green Light</v>
          </cell>
          <cell r="H1073" t="str">
            <v>Yes</v>
          </cell>
          <cell r="I1073" t="str">
            <v>No</v>
          </cell>
          <cell r="J1073">
            <v>45356</v>
          </cell>
          <cell r="K1073" t="str">
            <v>Yes</v>
          </cell>
          <cell r="L1073">
            <v>44224</v>
          </cell>
          <cell r="M1073">
            <v>235</v>
          </cell>
          <cell r="N1073">
            <v>285</v>
          </cell>
          <cell r="O1073">
            <v>2784.890380859375</v>
          </cell>
          <cell r="P1073">
            <v>9309.7403883978732</v>
          </cell>
          <cell r="Q1073">
            <v>2645.82568359375</v>
          </cell>
        </row>
        <row r="1074">
          <cell r="A1074" t="str">
            <v>1FM5K8B82JGB87070</v>
          </cell>
          <cell r="B1074">
            <v>2018</v>
          </cell>
          <cell r="C1074" t="str">
            <v>FORD</v>
          </cell>
          <cell r="D1074" t="str">
            <v>EXPLORER</v>
          </cell>
          <cell r="E1074">
            <v>134107</v>
          </cell>
          <cell r="F1074" t="str">
            <v>Grade 2.8</v>
          </cell>
          <cell r="G1074" t="str">
            <v>Green Light</v>
          </cell>
          <cell r="H1074" t="str">
            <v>Yes</v>
          </cell>
          <cell r="I1074" t="str">
            <v>No</v>
          </cell>
          <cell r="J1074">
            <v>45454</v>
          </cell>
          <cell r="K1074" t="str">
            <v>Yes</v>
          </cell>
          <cell r="L1074">
            <v>44224</v>
          </cell>
          <cell r="M1074">
            <v>235</v>
          </cell>
          <cell r="N1074">
            <v>285</v>
          </cell>
          <cell r="O1074">
            <v>4420.42041015625</v>
          </cell>
          <cell r="P1074">
            <v>9384.5286919606151</v>
          </cell>
          <cell r="Q1074">
            <v>4366.36279296875</v>
          </cell>
        </row>
        <row r="1075">
          <cell r="A1075" t="str">
            <v>1FM5K8DHXGGC29295</v>
          </cell>
          <cell r="B1075">
            <v>2016</v>
          </cell>
          <cell r="C1075" t="str">
            <v>FORD</v>
          </cell>
          <cell r="D1075" t="str">
            <v>EXPLORER 4X4 4C</v>
          </cell>
          <cell r="E1075">
            <v>115689</v>
          </cell>
          <cell r="F1075" t="str">
            <v>Grade 2.8</v>
          </cell>
          <cell r="G1075" t="str">
            <v>Red Light</v>
          </cell>
          <cell r="H1075" t="str">
            <v>No</v>
          </cell>
          <cell r="I1075" t="str">
            <v>Yes</v>
          </cell>
          <cell r="J1075">
            <v>45729</v>
          </cell>
          <cell r="K1075" t="str">
            <v>Yes</v>
          </cell>
          <cell r="L1075">
            <v>44224</v>
          </cell>
          <cell r="M1075">
            <v>235</v>
          </cell>
          <cell r="N1075">
            <v>285</v>
          </cell>
          <cell r="O1075">
            <v>3190.58203125</v>
          </cell>
          <cell r="P1075">
            <v>9332.5506399017504</v>
          </cell>
          <cell r="Q1075">
            <v>3089.48779296875</v>
          </cell>
        </row>
        <row r="1076">
          <cell r="A1076" t="str">
            <v>1FMCU9GD9KUB63929</v>
          </cell>
          <cell r="B1076">
            <v>2019</v>
          </cell>
          <cell r="C1076" t="str">
            <v>FORD</v>
          </cell>
          <cell r="D1076" t="str">
            <v>ESCAPE 4X4 4C</v>
          </cell>
          <cell r="E1076">
            <v>138516</v>
          </cell>
          <cell r="F1076" t="str">
            <v>Grade 3.0</v>
          </cell>
          <cell r="G1076" t="str">
            <v>Red Light</v>
          </cell>
          <cell r="H1076" t="str">
            <v>No</v>
          </cell>
          <cell r="I1076" t="str">
            <v>Yes</v>
          </cell>
          <cell r="J1076">
            <v>45701</v>
          </cell>
          <cell r="K1076" t="str">
            <v>Yes</v>
          </cell>
          <cell r="L1076">
            <v>44224</v>
          </cell>
          <cell r="M1076">
            <v>235</v>
          </cell>
          <cell r="N1076">
            <v>285</v>
          </cell>
          <cell r="O1076">
            <v>8475.1396484375</v>
          </cell>
          <cell r="P1076">
            <v>9403.0774890316879</v>
          </cell>
          <cell r="Q1076">
            <v>8476.7822265625</v>
          </cell>
        </row>
        <row r="1077">
          <cell r="A1077" t="str">
            <v>1G11A5SL1EF288372</v>
          </cell>
          <cell r="B1077">
            <v>2014</v>
          </cell>
          <cell r="C1077" t="str">
            <v>CHEVROLET</v>
          </cell>
          <cell r="D1077" t="str">
            <v>MALIBU</v>
          </cell>
          <cell r="E1077">
            <v>77159</v>
          </cell>
          <cell r="F1077" t="str">
            <v>Grade 1.0</v>
          </cell>
          <cell r="G1077" t="str">
            <v>Inoperable</v>
          </cell>
          <cell r="H1077" t="str">
            <v>No</v>
          </cell>
          <cell r="I1077" t="str">
            <v>Yes</v>
          </cell>
          <cell r="J1077">
            <v>45722</v>
          </cell>
          <cell r="K1077" t="str">
            <v>Yes</v>
          </cell>
          <cell r="L1077">
            <v>44224</v>
          </cell>
          <cell r="M1077">
            <v>235</v>
          </cell>
          <cell r="N1077">
            <v>285</v>
          </cell>
          <cell r="O1077">
            <v>2356.25341796875</v>
          </cell>
          <cell r="P1077">
            <v>9461.5948336441324</v>
          </cell>
          <cell r="Q1077">
            <v>2310.92822265625</v>
          </cell>
        </row>
        <row r="1078">
          <cell r="A1078" t="str">
            <v>1G11B5SLXFF320167</v>
          </cell>
          <cell r="B1078">
            <v>2015</v>
          </cell>
          <cell r="C1078" t="str">
            <v>CHEVROLET</v>
          </cell>
          <cell r="D1078" t="str">
            <v>MALIBU</v>
          </cell>
          <cell r="E1078">
            <v>153468</v>
          </cell>
          <cell r="F1078" t="str">
            <v>Grade 2.0</v>
          </cell>
          <cell r="G1078" t="str">
            <v>Red Light</v>
          </cell>
          <cell r="H1078" t="str">
            <v>No</v>
          </cell>
          <cell r="I1078" t="str">
            <v>Yes</v>
          </cell>
          <cell r="J1078">
            <v>45393</v>
          </cell>
          <cell r="K1078" t="str">
            <v>Yes</v>
          </cell>
          <cell r="L1078">
            <v>44224</v>
          </cell>
          <cell r="M1078">
            <v>235</v>
          </cell>
          <cell r="N1078">
            <v>285</v>
          </cell>
          <cell r="O1078">
            <v>1370.18701171875</v>
          </cell>
          <cell r="P1078">
            <v>9241.7091413177859</v>
          </cell>
          <cell r="Q1078">
            <v>1405.991088867188</v>
          </cell>
        </row>
        <row r="1079">
          <cell r="A1079" t="str">
            <v>1G1PL5SC4C7280262</v>
          </cell>
          <cell r="B1079">
            <v>2012</v>
          </cell>
          <cell r="C1079" t="str">
            <v>CHEVROLET</v>
          </cell>
          <cell r="D1079" t="str">
            <v>CRUZE</v>
          </cell>
          <cell r="E1079">
            <v>90213</v>
          </cell>
          <cell r="F1079" t="str">
            <v>Grade 3.0</v>
          </cell>
          <cell r="G1079" t="str">
            <v>Green/Yellow</v>
          </cell>
          <cell r="H1079" t="str">
            <v>Yes</v>
          </cell>
          <cell r="I1079" t="str">
            <v>No</v>
          </cell>
          <cell r="J1079">
            <v>45706</v>
          </cell>
          <cell r="K1079" t="str">
            <v>Yes</v>
          </cell>
          <cell r="L1079">
            <v>44224</v>
          </cell>
          <cell r="M1079">
            <v>235</v>
          </cell>
          <cell r="N1079">
            <v>285</v>
          </cell>
          <cell r="O1079">
            <v>5255.626953125</v>
          </cell>
          <cell r="P1079">
            <v>9518.2864262019284</v>
          </cell>
          <cell r="Q1079">
            <v>5193.2509765625</v>
          </cell>
        </row>
        <row r="1080">
          <cell r="A1080" t="str">
            <v>1GNKRGKD6FJ220227</v>
          </cell>
          <cell r="B1080">
            <v>2015</v>
          </cell>
          <cell r="C1080" t="str">
            <v>CHEVROLET</v>
          </cell>
          <cell r="D1080" t="str">
            <v>TRAVERSE FWD</v>
          </cell>
          <cell r="E1080">
            <v>119222</v>
          </cell>
          <cell r="F1080" t="str">
            <v>Grade 1.8</v>
          </cell>
          <cell r="G1080" t="str">
            <v>Red Light</v>
          </cell>
          <cell r="H1080" t="str">
            <v>No</v>
          </cell>
          <cell r="I1080" t="str">
            <v>Yes</v>
          </cell>
          <cell r="J1080">
            <v>45680</v>
          </cell>
          <cell r="K1080" t="str">
            <v>Yes</v>
          </cell>
          <cell r="L1080">
            <v>44224</v>
          </cell>
          <cell r="M1080">
            <v>235</v>
          </cell>
          <cell r="N1080">
            <v>285</v>
          </cell>
          <cell r="O1080">
            <v>2250.411376953125</v>
          </cell>
          <cell r="P1080">
            <v>9331.0664918475941</v>
          </cell>
          <cell r="Q1080">
            <v>2215.851806640625</v>
          </cell>
        </row>
        <row r="1081">
          <cell r="A1081" t="str">
            <v>1HGCV1F14JA247944</v>
          </cell>
          <cell r="B1081">
            <v>2018</v>
          </cell>
          <cell r="C1081" t="str">
            <v>HONDA</v>
          </cell>
          <cell r="D1081" t="str">
            <v>ACCORD</v>
          </cell>
          <cell r="E1081">
            <v>144179</v>
          </cell>
          <cell r="F1081" t="str">
            <v>Grade 2.6</v>
          </cell>
          <cell r="G1081" t="str">
            <v>Green Light</v>
          </cell>
          <cell r="H1081" t="str">
            <v>Yes</v>
          </cell>
          <cell r="I1081" t="str">
            <v>No</v>
          </cell>
          <cell r="J1081">
            <v>45300</v>
          </cell>
          <cell r="K1081" t="str">
            <v>Yes</v>
          </cell>
          <cell r="L1081">
            <v>44224</v>
          </cell>
          <cell r="M1081">
            <v>235</v>
          </cell>
          <cell r="N1081">
            <v>285</v>
          </cell>
          <cell r="O1081">
            <v>4889.77587890625</v>
          </cell>
          <cell r="P1081">
            <v>9192.8743074745089</v>
          </cell>
          <cell r="Q1081">
            <v>4802.310546875</v>
          </cell>
        </row>
        <row r="1082">
          <cell r="A1082" t="str">
            <v>1N4AL3AP2GN342917</v>
          </cell>
          <cell r="B1082">
            <v>2016</v>
          </cell>
          <cell r="C1082" t="str">
            <v>NISSAN</v>
          </cell>
          <cell r="D1082" t="str">
            <v>ALTIMA 4C</v>
          </cell>
          <cell r="E1082">
            <v>110422</v>
          </cell>
          <cell r="F1082" t="str">
            <v>Grade 3.8</v>
          </cell>
          <cell r="G1082" t="str">
            <v>Certified</v>
          </cell>
          <cell r="H1082" t="str">
            <v>Yes</v>
          </cell>
          <cell r="I1082" t="str">
            <v>No</v>
          </cell>
          <cell r="J1082">
            <v>45407</v>
          </cell>
          <cell r="K1082" t="str">
            <v>Yes</v>
          </cell>
          <cell r="L1082">
            <v>44224</v>
          </cell>
          <cell r="M1082">
            <v>235</v>
          </cell>
          <cell r="N1082">
            <v>285</v>
          </cell>
          <cell r="O1082">
            <v>6549.88037109375</v>
          </cell>
          <cell r="P1082">
            <v>9628.0334252788107</v>
          </cell>
          <cell r="Q1082">
            <v>6526.119140625</v>
          </cell>
        </row>
        <row r="1083">
          <cell r="A1083" t="str">
            <v>1N4AL3AP2HN346807</v>
          </cell>
          <cell r="B1083">
            <v>2017</v>
          </cell>
          <cell r="C1083" t="str">
            <v>NISSAN</v>
          </cell>
          <cell r="D1083" t="str">
            <v>ALTIMA 4C</v>
          </cell>
          <cell r="E1083">
            <v>166464</v>
          </cell>
          <cell r="F1083" t="str">
            <v>Grade 1.9</v>
          </cell>
          <cell r="G1083" t="str">
            <v>Red Light</v>
          </cell>
          <cell r="H1083" t="str">
            <v>No</v>
          </cell>
          <cell r="I1083" t="str">
            <v>Yes</v>
          </cell>
          <cell r="J1083">
            <v>45589</v>
          </cell>
          <cell r="K1083" t="str">
            <v>Yes</v>
          </cell>
          <cell r="L1083">
            <v>44224</v>
          </cell>
          <cell r="M1083">
            <v>235</v>
          </cell>
          <cell r="N1083">
            <v>285</v>
          </cell>
          <cell r="O1083">
            <v>1611.99755859375</v>
          </cell>
          <cell r="P1083">
            <v>8825.2727075709263</v>
          </cell>
          <cell r="Q1083">
            <v>1545.571166992188</v>
          </cell>
        </row>
        <row r="1084">
          <cell r="A1084" t="str">
            <v>1N4AL3AP4EN334069</v>
          </cell>
          <cell r="B1084">
            <v>2014</v>
          </cell>
          <cell r="C1084" t="str">
            <v>NISSAN</v>
          </cell>
          <cell r="D1084" t="str">
            <v>ALTIMA 4C</v>
          </cell>
          <cell r="E1084">
            <v>180447</v>
          </cell>
          <cell r="F1084" t="str">
            <v>Grade 3.2</v>
          </cell>
          <cell r="G1084" t="str">
            <v>Red Light</v>
          </cell>
          <cell r="H1084" t="str">
            <v>No</v>
          </cell>
          <cell r="I1084" t="str">
            <v>Yes</v>
          </cell>
          <cell r="J1084">
            <v>45309</v>
          </cell>
          <cell r="K1084" t="str">
            <v>Yes</v>
          </cell>
          <cell r="L1084">
            <v>44224</v>
          </cell>
          <cell r="M1084">
            <v>235</v>
          </cell>
          <cell r="N1084">
            <v>285</v>
          </cell>
          <cell r="O1084">
            <v>2828.41015625</v>
          </cell>
          <cell r="P1084">
            <v>8886.2567600962338</v>
          </cell>
          <cell r="Q1084">
            <v>2664.12353515625</v>
          </cell>
        </row>
        <row r="1085">
          <cell r="A1085" t="str">
            <v>1N4AL3AP8DC915939</v>
          </cell>
          <cell r="B1085">
            <v>2013</v>
          </cell>
          <cell r="C1085" t="str">
            <v>NISSAN</v>
          </cell>
          <cell r="D1085" t="str">
            <v>ALTIMA 4C</v>
          </cell>
          <cell r="E1085">
            <v>117243</v>
          </cell>
          <cell r="F1085" t="str">
            <v>Grade 1.5</v>
          </cell>
          <cell r="G1085" t="str">
            <v>Red Light</v>
          </cell>
          <cell r="H1085" t="str">
            <v>No</v>
          </cell>
          <cell r="I1085" t="str">
            <v>Yes</v>
          </cell>
          <cell r="J1085">
            <v>45645</v>
          </cell>
          <cell r="K1085" t="str">
            <v>Yes</v>
          </cell>
          <cell r="L1085">
            <v>44224</v>
          </cell>
          <cell r="M1085">
            <v>235</v>
          </cell>
          <cell r="N1085">
            <v>285</v>
          </cell>
          <cell r="O1085">
            <v>992.8856201171875</v>
          </cell>
          <cell r="P1085">
            <v>8797.2022542207396</v>
          </cell>
          <cell r="Q1085">
            <v>1174.935546875</v>
          </cell>
        </row>
        <row r="1086">
          <cell r="A1086" t="str">
            <v>1VWAT7A35GC005360</v>
          </cell>
          <cell r="B1086">
            <v>2016</v>
          </cell>
          <cell r="C1086" t="str">
            <v>VOLKSWAGEN</v>
          </cell>
          <cell r="D1086" t="str">
            <v>PASSAT</v>
          </cell>
          <cell r="E1086">
            <v>107624</v>
          </cell>
          <cell r="F1086" t="str">
            <v>Grade 3.0</v>
          </cell>
          <cell r="G1086" t="str">
            <v>Red Light</v>
          </cell>
          <cell r="H1086" t="str">
            <v>No</v>
          </cell>
          <cell r="I1086" t="str">
            <v>Yes</v>
          </cell>
          <cell r="J1086">
            <v>45622</v>
          </cell>
          <cell r="K1086" t="str">
            <v>Yes</v>
          </cell>
          <cell r="L1086">
            <v>44224</v>
          </cell>
          <cell r="M1086">
            <v>235</v>
          </cell>
          <cell r="N1086">
            <v>285</v>
          </cell>
          <cell r="O1086">
            <v>5512.615234375</v>
          </cell>
          <cell r="P1086">
            <v>8797.4038865103357</v>
          </cell>
          <cell r="Q1086">
            <v>5558.56103515625</v>
          </cell>
        </row>
        <row r="1087">
          <cell r="A1087" t="str">
            <v>1ZVBP8AM5E5331149</v>
          </cell>
          <cell r="B1087">
            <v>2014</v>
          </cell>
          <cell r="C1087" t="str">
            <v>FORD</v>
          </cell>
          <cell r="D1087" t="str">
            <v>MUSTANG</v>
          </cell>
          <cell r="E1087">
            <v>70710</v>
          </cell>
          <cell r="F1087" t="str">
            <v>Grade 1.6</v>
          </cell>
          <cell r="G1087" t="str">
            <v>Red Light</v>
          </cell>
          <cell r="H1087" t="str">
            <v>No</v>
          </cell>
          <cell r="I1087" t="str">
            <v>Yes</v>
          </cell>
          <cell r="J1087">
            <v>45622</v>
          </cell>
          <cell r="K1087" t="str">
            <v>Yes</v>
          </cell>
          <cell r="L1087">
            <v>44224</v>
          </cell>
          <cell r="M1087">
            <v>235</v>
          </cell>
          <cell r="N1087">
            <v>285</v>
          </cell>
          <cell r="O1087">
            <v>5251.00927734375</v>
          </cell>
          <cell r="P1087">
            <v>9808.3482427821473</v>
          </cell>
          <cell r="Q1087">
            <v>5204.9853515625</v>
          </cell>
        </row>
        <row r="1088">
          <cell r="A1088" t="str">
            <v>2FMPK3G99JBC47897</v>
          </cell>
          <cell r="B1088">
            <v>2018</v>
          </cell>
          <cell r="C1088" t="str">
            <v>FORD</v>
          </cell>
          <cell r="D1088" t="str">
            <v>EDGE FWD SUV</v>
          </cell>
          <cell r="E1088">
            <v>104490</v>
          </cell>
          <cell r="F1088" t="str">
            <v>Grade 4.7</v>
          </cell>
          <cell r="G1088" t="str">
            <v>Certified</v>
          </cell>
          <cell r="H1088" t="str">
            <v>Yes</v>
          </cell>
          <cell r="I1088" t="str">
            <v>No</v>
          </cell>
          <cell r="J1088">
            <v>45435</v>
          </cell>
          <cell r="K1088" t="str">
            <v>Yes</v>
          </cell>
          <cell r="L1088">
            <v>44224</v>
          </cell>
          <cell r="M1088">
            <v>235</v>
          </cell>
          <cell r="N1088">
            <v>285</v>
          </cell>
          <cell r="O1088">
            <v>11441.458984375</v>
          </cell>
          <cell r="P1088">
            <v>10136.346518109731</v>
          </cell>
          <cell r="Q1088">
            <v>11499.353515625</v>
          </cell>
        </row>
        <row r="1089">
          <cell r="A1089" t="str">
            <v>2G1WA5E31G1100865</v>
          </cell>
          <cell r="B1089">
            <v>2016</v>
          </cell>
          <cell r="C1089" t="str">
            <v>CHEVROLET</v>
          </cell>
          <cell r="D1089" t="str">
            <v>IMPALA LIMITED</v>
          </cell>
          <cell r="E1089">
            <v>120068</v>
          </cell>
          <cell r="F1089" t="str">
            <v>Grade 4.1</v>
          </cell>
          <cell r="G1089" t="str">
            <v>Red Light</v>
          </cell>
          <cell r="H1089" t="str">
            <v>No</v>
          </cell>
          <cell r="I1089" t="str">
            <v>Yes</v>
          </cell>
          <cell r="J1089">
            <v>45617</v>
          </cell>
          <cell r="K1089" t="str">
            <v>Yes</v>
          </cell>
          <cell r="L1089">
            <v>44224</v>
          </cell>
          <cell r="M1089">
            <v>235</v>
          </cell>
          <cell r="N1089">
            <v>285</v>
          </cell>
          <cell r="O1089">
            <v>8175.12060546875</v>
          </cell>
          <cell r="P1089">
            <v>10245.4347183263</v>
          </cell>
          <cell r="Q1089">
            <v>8093.9970703125</v>
          </cell>
        </row>
        <row r="1090">
          <cell r="A1090" t="str">
            <v>2GKFLSEK5H6266936</v>
          </cell>
          <cell r="B1090">
            <v>2017</v>
          </cell>
          <cell r="C1090" t="str">
            <v>GMC</v>
          </cell>
          <cell r="D1090" t="str">
            <v>TERRAIN</v>
          </cell>
          <cell r="E1090">
            <v>102601</v>
          </cell>
          <cell r="F1090" t="str">
            <v>Grade 2.4</v>
          </cell>
          <cell r="G1090" t="str">
            <v>Red Light</v>
          </cell>
          <cell r="H1090" t="str">
            <v>No</v>
          </cell>
          <cell r="I1090" t="str">
            <v>Yes</v>
          </cell>
          <cell r="J1090">
            <v>45692</v>
          </cell>
          <cell r="K1090" t="str">
            <v>Yes</v>
          </cell>
          <cell r="L1090">
            <v>44224</v>
          </cell>
          <cell r="M1090">
            <v>235</v>
          </cell>
          <cell r="N1090">
            <v>285</v>
          </cell>
          <cell r="O1090">
            <v>6136.62060546875</v>
          </cell>
          <cell r="P1090">
            <v>10079.91298365327</v>
          </cell>
          <cell r="Q1090">
            <v>6094.12841796875</v>
          </cell>
        </row>
        <row r="1091">
          <cell r="A1091" t="str">
            <v>2GNALAEK6E6127952</v>
          </cell>
          <cell r="B1091">
            <v>2014</v>
          </cell>
          <cell r="C1091" t="str">
            <v>CHEVROLET</v>
          </cell>
          <cell r="D1091" t="str">
            <v>EQUINOX</v>
          </cell>
          <cell r="E1091">
            <v>123580</v>
          </cell>
          <cell r="F1091" t="str">
            <v>Grade 2.7</v>
          </cell>
          <cell r="G1091" t="str">
            <v>Green Light</v>
          </cell>
          <cell r="H1091" t="str">
            <v>Yes</v>
          </cell>
          <cell r="I1091" t="str">
            <v>No</v>
          </cell>
          <cell r="J1091">
            <v>45370</v>
          </cell>
          <cell r="K1091" t="str">
            <v>Yes</v>
          </cell>
          <cell r="L1091">
            <v>44224</v>
          </cell>
          <cell r="M1091">
            <v>235</v>
          </cell>
          <cell r="N1091">
            <v>285</v>
          </cell>
          <cell r="O1091">
            <v>2175.021728515625</v>
          </cell>
          <cell r="P1091">
            <v>9337.2712848390565</v>
          </cell>
          <cell r="Q1091">
            <v>2142.682861328125</v>
          </cell>
        </row>
        <row r="1092">
          <cell r="A1092" t="str">
            <v>2GNALBEK7F6104834</v>
          </cell>
          <cell r="B1092">
            <v>2015</v>
          </cell>
          <cell r="C1092" t="str">
            <v>CHEVROLET</v>
          </cell>
          <cell r="D1092" t="str">
            <v>EQUINOX</v>
          </cell>
          <cell r="E1092">
            <v>104144</v>
          </cell>
          <cell r="F1092" t="str">
            <v>Grade 3.1</v>
          </cell>
          <cell r="G1092" t="str">
            <v>Green Light</v>
          </cell>
          <cell r="H1092" t="str">
            <v>Yes</v>
          </cell>
          <cell r="I1092" t="str">
            <v>No</v>
          </cell>
          <cell r="J1092">
            <v>45664</v>
          </cell>
          <cell r="K1092" t="str">
            <v>Yes</v>
          </cell>
          <cell r="L1092">
            <v>44224</v>
          </cell>
          <cell r="M1092">
            <v>235</v>
          </cell>
          <cell r="N1092">
            <v>285</v>
          </cell>
          <cell r="O1092">
            <v>5841.05126953125</v>
          </cell>
          <cell r="P1092">
            <v>9369.7642081588983</v>
          </cell>
          <cell r="Q1092">
            <v>5910.26318359375</v>
          </cell>
        </row>
        <row r="1093">
          <cell r="A1093" t="str">
            <v>2GNALCEK8F6189074</v>
          </cell>
          <cell r="B1093">
            <v>2015</v>
          </cell>
          <cell r="C1093" t="str">
            <v>CHEVROLET</v>
          </cell>
          <cell r="D1093" t="str">
            <v>EQUINOX FWD 4C</v>
          </cell>
          <cell r="E1093">
            <v>157155</v>
          </cell>
          <cell r="F1093" t="str">
            <v>Grade 2.3</v>
          </cell>
          <cell r="G1093" t="str">
            <v>Red Light</v>
          </cell>
          <cell r="H1093" t="str">
            <v>No</v>
          </cell>
          <cell r="I1093" t="str">
            <v>Yes</v>
          </cell>
          <cell r="J1093">
            <v>45673</v>
          </cell>
          <cell r="K1093" t="str">
            <v>Yes</v>
          </cell>
          <cell r="L1093">
            <v>44224</v>
          </cell>
          <cell r="M1093">
            <v>235</v>
          </cell>
          <cell r="N1093">
            <v>285</v>
          </cell>
          <cell r="O1093">
            <v>1977.42529296875</v>
          </cell>
          <cell r="P1093">
            <v>9331.0664918475941</v>
          </cell>
          <cell r="Q1093">
            <v>1960.711547851562</v>
          </cell>
        </row>
        <row r="1094">
          <cell r="A1094" t="str">
            <v>2GNAXHEV8J6338927</v>
          </cell>
          <cell r="B1094">
            <v>2018</v>
          </cell>
          <cell r="C1094" t="str">
            <v>CHEVROLET</v>
          </cell>
          <cell r="D1094" t="str">
            <v>EQUINOX</v>
          </cell>
          <cell r="E1094">
            <v>77574</v>
          </cell>
          <cell r="F1094" t="str">
            <v>Grade 2.7</v>
          </cell>
          <cell r="G1094" t="str">
            <v>Green Light</v>
          </cell>
          <cell r="H1094" t="str">
            <v>Yes</v>
          </cell>
          <cell r="I1094" t="str">
            <v>No</v>
          </cell>
          <cell r="J1094">
            <v>45426</v>
          </cell>
          <cell r="K1094" t="str">
            <v>Yes</v>
          </cell>
          <cell r="L1094">
            <v>44224</v>
          </cell>
          <cell r="M1094">
            <v>235</v>
          </cell>
          <cell r="N1094">
            <v>285</v>
          </cell>
          <cell r="O1094">
            <v>6209.56787109375</v>
          </cell>
          <cell r="P1094">
            <v>9734.8277107955164</v>
          </cell>
          <cell r="Q1094">
            <v>6192.2958984375</v>
          </cell>
        </row>
        <row r="1095">
          <cell r="A1095" t="str">
            <v>2GNFLEEKXF6176957</v>
          </cell>
          <cell r="B1095">
            <v>2015</v>
          </cell>
          <cell r="C1095" t="str">
            <v>CHEVROLET</v>
          </cell>
          <cell r="D1095" t="str">
            <v>EQUINOX AWD 4C</v>
          </cell>
          <cell r="E1095">
            <v>116310</v>
          </cell>
          <cell r="F1095" t="str">
            <v>Grade 2.1</v>
          </cell>
          <cell r="G1095" t="str">
            <v>Green/Yellow</v>
          </cell>
          <cell r="H1095" t="str">
            <v>Yes</v>
          </cell>
          <cell r="I1095" t="str">
            <v>No</v>
          </cell>
          <cell r="J1095">
            <v>45715</v>
          </cell>
          <cell r="K1095" t="str">
            <v>Yes</v>
          </cell>
          <cell r="L1095">
            <v>44224</v>
          </cell>
          <cell r="M1095">
            <v>235</v>
          </cell>
          <cell r="N1095">
            <v>285</v>
          </cell>
          <cell r="O1095">
            <v>2533.370849609375</v>
          </cell>
          <cell r="P1095">
            <v>9330.2606788747144</v>
          </cell>
          <cell r="Q1095">
            <v>2382.8828125</v>
          </cell>
        </row>
        <row r="1096">
          <cell r="A1096" t="str">
            <v>2GNFLFEK0F6141088</v>
          </cell>
          <cell r="B1096">
            <v>2015</v>
          </cell>
          <cell r="C1096" t="str">
            <v>CHEVROLET</v>
          </cell>
          <cell r="D1096" t="str">
            <v>EQUINOX AWD 4C</v>
          </cell>
          <cell r="E1096">
            <v>134191</v>
          </cell>
          <cell r="F1096" t="str">
            <v>Grade 2.0</v>
          </cell>
          <cell r="G1096" t="str">
            <v>Inoperable</v>
          </cell>
          <cell r="H1096" t="str">
            <v>No</v>
          </cell>
          <cell r="I1096" t="str">
            <v>Yes</v>
          </cell>
          <cell r="J1096">
            <v>45610</v>
          </cell>
          <cell r="K1096" t="str">
            <v>Yes</v>
          </cell>
          <cell r="L1096">
            <v>44224</v>
          </cell>
          <cell r="M1096">
            <v>235</v>
          </cell>
          <cell r="N1096">
            <v>285</v>
          </cell>
          <cell r="O1096">
            <v>2474.338134765625</v>
          </cell>
          <cell r="P1096">
            <v>9312.8227798539483</v>
          </cell>
          <cell r="Q1096">
            <v>2382.8828125</v>
          </cell>
        </row>
        <row r="1097">
          <cell r="A1097" t="str">
            <v>2GNFLFEK5H6254893</v>
          </cell>
          <cell r="B1097">
            <v>2017</v>
          </cell>
          <cell r="C1097" t="str">
            <v>CHEVROLET</v>
          </cell>
          <cell r="D1097" t="str">
            <v>EQUINOX AWD 4C</v>
          </cell>
          <cell r="E1097">
            <v>170188</v>
          </cell>
          <cell r="F1097" t="str">
            <v>Grade 3.0</v>
          </cell>
          <cell r="G1097" t="str">
            <v>Inoperable</v>
          </cell>
          <cell r="H1097" t="str">
            <v>No</v>
          </cell>
          <cell r="I1097" t="str">
            <v>Yes</v>
          </cell>
          <cell r="J1097">
            <v>45484</v>
          </cell>
          <cell r="K1097" t="str">
            <v>Yes</v>
          </cell>
          <cell r="L1097">
            <v>44224</v>
          </cell>
          <cell r="M1097">
            <v>235</v>
          </cell>
          <cell r="N1097">
            <v>285</v>
          </cell>
          <cell r="O1097">
            <v>6533.9189453125</v>
          </cell>
          <cell r="P1097">
            <v>9455.1183366628775</v>
          </cell>
          <cell r="Q1097">
            <v>6498.90234375</v>
          </cell>
        </row>
        <row r="1098">
          <cell r="A1098" t="str">
            <v>3C4NJDBB3JT331698</v>
          </cell>
          <cell r="B1098">
            <v>2018</v>
          </cell>
          <cell r="C1098" t="str">
            <v>JEEP</v>
          </cell>
          <cell r="D1098" t="str">
            <v>COMPASS</v>
          </cell>
          <cell r="E1098">
            <v>127778</v>
          </cell>
          <cell r="F1098" t="str">
            <v>Grade 3.7</v>
          </cell>
          <cell r="G1098" t="str">
            <v>Red Light</v>
          </cell>
          <cell r="H1098" t="str">
            <v>No</v>
          </cell>
          <cell r="I1098" t="str">
            <v>Yes</v>
          </cell>
          <cell r="J1098">
            <v>45678</v>
          </cell>
          <cell r="K1098" t="str">
            <v>Yes</v>
          </cell>
          <cell r="L1098">
            <v>44224</v>
          </cell>
          <cell r="M1098">
            <v>235</v>
          </cell>
          <cell r="N1098">
            <v>285</v>
          </cell>
          <cell r="O1098">
            <v>7014.26220703125</v>
          </cell>
          <cell r="P1098">
            <v>10144.261907711099</v>
          </cell>
          <cell r="Q1098">
            <v>6943.591796875</v>
          </cell>
        </row>
        <row r="1099">
          <cell r="A1099" t="str">
            <v>3C4NJDBB7JT307792</v>
          </cell>
          <cell r="B1099">
            <v>2018</v>
          </cell>
          <cell r="C1099" t="str">
            <v>JEEP</v>
          </cell>
          <cell r="D1099" t="str">
            <v>COMPASS</v>
          </cell>
          <cell r="E1099">
            <v>42800</v>
          </cell>
          <cell r="F1099" t="str">
            <v>Grade 4.6</v>
          </cell>
          <cell r="G1099" t="str">
            <v>Certified</v>
          </cell>
          <cell r="H1099" t="str">
            <v>Yes</v>
          </cell>
          <cell r="I1099" t="str">
            <v>No</v>
          </cell>
          <cell r="J1099">
            <v>45314</v>
          </cell>
          <cell r="K1099" t="str">
            <v>Yes</v>
          </cell>
          <cell r="L1099">
            <v>44224</v>
          </cell>
          <cell r="M1099">
            <v>235</v>
          </cell>
          <cell r="N1099">
            <v>285</v>
          </cell>
          <cell r="O1099">
            <v>14230.525390625</v>
          </cell>
          <cell r="P1099">
            <v>12489.10369382034</v>
          </cell>
          <cell r="Q1099">
            <v>14380.79296875</v>
          </cell>
        </row>
        <row r="1100">
          <cell r="A1100" t="str">
            <v>3C4PDCAB6HT709387</v>
          </cell>
          <cell r="B1100">
            <v>2017</v>
          </cell>
          <cell r="C1100" t="str">
            <v>DODGE</v>
          </cell>
          <cell r="D1100" t="str">
            <v>JOURNEY FWD 4C</v>
          </cell>
          <cell r="E1100">
            <v>99999</v>
          </cell>
          <cell r="F1100" t="str">
            <v>Grade 1.4</v>
          </cell>
          <cell r="G1100" t="str">
            <v>Red Light</v>
          </cell>
          <cell r="H1100" t="str">
            <v>No</v>
          </cell>
          <cell r="I1100" t="str">
            <v>Yes</v>
          </cell>
          <cell r="J1100">
            <v>45498</v>
          </cell>
          <cell r="K1100" t="str">
            <v>Yes</v>
          </cell>
          <cell r="L1100">
            <v>44224</v>
          </cell>
          <cell r="M1100">
            <v>235</v>
          </cell>
          <cell r="N1100">
            <v>285</v>
          </cell>
          <cell r="O1100">
            <v>3923.80615234375</v>
          </cell>
          <cell r="P1100">
            <v>9065.8889816282081</v>
          </cell>
          <cell r="Q1100">
            <v>3857.52734375</v>
          </cell>
        </row>
        <row r="1101">
          <cell r="A1101" t="str">
            <v>3FA6P0H93ER310827</v>
          </cell>
          <cell r="B1101">
            <v>2014</v>
          </cell>
          <cell r="C1101" t="str">
            <v>FORD</v>
          </cell>
          <cell r="D1101" t="str">
            <v>FUSION FWD 4C</v>
          </cell>
          <cell r="E1101">
            <v>114314</v>
          </cell>
          <cell r="F1101" t="str">
            <v>Grade 1.3</v>
          </cell>
          <cell r="G1101" t="str">
            <v>Red Light</v>
          </cell>
          <cell r="H1101" t="str">
            <v>No</v>
          </cell>
          <cell r="I1101" t="str">
            <v>Yes</v>
          </cell>
          <cell r="J1101">
            <v>45687</v>
          </cell>
          <cell r="K1101" t="str">
            <v>Yes</v>
          </cell>
          <cell r="L1101">
            <v>44224</v>
          </cell>
          <cell r="M1101">
            <v>235</v>
          </cell>
          <cell r="N1101">
            <v>285</v>
          </cell>
          <cell r="O1101">
            <v>2288.847412109375</v>
          </cell>
          <cell r="P1101">
            <v>9191.0031059465873</v>
          </cell>
          <cell r="Q1101">
            <v>2178.560791015625</v>
          </cell>
        </row>
        <row r="1102">
          <cell r="A1102" t="str">
            <v>3FA6P0HD0JR257969</v>
          </cell>
          <cell r="B1102">
            <v>2018</v>
          </cell>
          <cell r="C1102" t="str">
            <v>FORD</v>
          </cell>
          <cell r="D1102" t="str">
            <v>FUSION FWD 4C</v>
          </cell>
          <cell r="E1102">
            <v>126241</v>
          </cell>
          <cell r="F1102" t="str">
            <v>Grade 2.0</v>
          </cell>
          <cell r="G1102" t="str">
            <v>Inoperable</v>
          </cell>
          <cell r="H1102" t="str">
            <v>No</v>
          </cell>
          <cell r="I1102" t="str">
            <v>Yes</v>
          </cell>
          <cell r="J1102">
            <v>45603</v>
          </cell>
          <cell r="K1102" t="str">
            <v>Yes</v>
          </cell>
          <cell r="L1102">
            <v>44224</v>
          </cell>
          <cell r="M1102">
            <v>235</v>
          </cell>
          <cell r="N1102">
            <v>285</v>
          </cell>
          <cell r="O1102">
            <v>4242.8388671875</v>
          </cell>
          <cell r="P1102">
            <v>9293.6796064764876</v>
          </cell>
          <cell r="Q1102">
            <v>4191.9931640625</v>
          </cell>
        </row>
        <row r="1103">
          <cell r="A1103" t="str">
            <v>3KPC24A60ME130536</v>
          </cell>
          <cell r="B1103">
            <v>2021</v>
          </cell>
          <cell r="C1103" t="str">
            <v>HYUNDAI</v>
          </cell>
          <cell r="D1103" t="str">
            <v>ACCENT</v>
          </cell>
          <cell r="E1103">
            <v>84873</v>
          </cell>
          <cell r="F1103" t="str">
            <v>Grade 3.2</v>
          </cell>
          <cell r="G1103" t="str">
            <v>Green Light</v>
          </cell>
          <cell r="H1103" t="str">
            <v>Yes</v>
          </cell>
          <cell r="I1103" t="str">
            <v>No</v>
          </cell>
          <cell r="J1103">
            <v>45708</v>
          </cell>
          <cell r="K1103" t="str">
            <v>Yes</v>
          </cell>
          <cell r="L1103">
            <v>44224</v>
          </cell>
          <cell r="M1103">
            <v>235</v>
          </cell>
          <cell r="N1103">
            <v>285</v>
          </cell>
          <cell r="O1103">
            <v>10470.453125</v>
          </cell>
          <cell r="P1103">
            <v>11127.349429533941</v>
          </cell>
          <cell r="Q1103">
            <v>10546.0185546875</v>
          </cell>
        </row>
        <row r="1104">
          <cell r="A1104" t="str">
            <v>3N1CN8EV5ML832267</v>
          </cell>
          <cell r="B1104">
            <v>2021</v>
          </cell>
          <cell r="C1104" t="str">
            <v>NISSAN</v>
          </cell>
          <cell r="D1104" t="str">
            <v>VERSA</v>
          </cell>
          <cell r="E1104">
            <v>91390</v>
          </cell>
          <cell r="F1104" t="str">
            <v>Grade 2.5</v>
          </cell>
          <cell r="G1104" t="str">
            <v>Green/Yellow</v>
          </cell>
          <cell r="H1104" t="str">
            <v>Yes</v>
          </cell>
          <cell r="I1104" t="str">
            <v>No</v>
          </cell>
          <cell r="J1104">
            <v>45680</v>
          </cell>
          <cell r="K1104" t="str">
            <v>Yes</v>
          </cell>
          <cell r="L1104">
            <v>44224</v>
          </cell>
          <cell r="M1104">
            <v>235</v>
          </cell>
          <cell r="N1104">
            <v>285</v>
          </cell>
          <cell r="O1104">
            <v>5593.71630859375</v>
          </cell>
          <cell r="P1104">
            <v>11067.35283126403</v>
          </cell>
          <cell r="Q1104">
            <v>5292.21240234375</v>
          </cell>
        </row>
        <row r="1105">
          <cell r="A1105" t="str">
            <v>3VW2K7AJ8EM398319</v>
          </cell>
          <cell r="B1105">
            <v>2014</v>
          </cell>
          <cell r="C1105" t="str">
            <v>VOLKSWAGEN</v>
          </cell>
          <cell r="D1105" t="str">
            <v>JETTA</v>
          </cell>
          <cell r="E1105">
            <v>88292</v>
          </cell>
          <cell r="F1105" t="str">
            <v>Grade 2.5</v>
          </cell>
          <cell r="G1105" t="str">
            <v>Green Light</v>
          </cell>
          <cell r="H1105" t="str">
            <v>Yes</v>
          </cell>
          <cell r="I1105" t="str">
            <v>No</v>
          </cell>
          <cell r="J1105">
            <v>45664</v>
          </cell>
          <cell r="K1105" t="str">
            <v>Yes</v>
          </cell>
          <cell r="L1105">
            <v>44224</v>
          </cell>
          <cell r="M1105">
            <v>235</v>
          </cell>
          <cell r="N1105">
            <v>285</v>
          </cell>
          <cell r="O1105">
            <v>1961.400390625</v>
          </cell>
          <cell r="P1105">
            <v>9093.2597651502037</v>
          </cell>
          <cell r="Q1105">
            <v>1885.53759765625</v>
          </cell>
        </row>
        <row r="1106">
          <cell r="A1106" t="str">
            <v>4T1BF1FK0EU403428</v>
          </cell>
          <cell r="B1106">
            <v>2014</v>
          </cell>
          <cell r="C1106" t="str">
            <v>TOYOTA</v>
          </cell>
          <cell r="D1106" t="str">
            <v>CAMRY 4C</v>
          </cell>
          <cell r="E1106">
            <v>126688</v>
          </cell>
          <cell r="F1106" t="str">
            <v>Grade 2.6</v>
          </cell>
          <cell r="G1106" t="str">
            <v>Green Light</v>
          </cell>
          <cell r="H1106" t="str">
            <v>Yes</v>
          </cell>
          <cell r="I1106" t="str">
            <v>No</v>
          </cell>
          <cell r="J1106">
            <v>45729</v>
          </cell>
          <cell r="K1106" t="str">
            <v>Yes</v>
          </cell>
          <cell r="L1106">
            <v>44224</v>
          </cell>
          <cell r="M1106">
            <v>235</v>
          </cell>
          <cell r="N1106">
            <v>285</v>
          </cell>
          <cell r="O1106">
            <v>4046.0625</v>
          </cell>
          <cell r="P1106">
            <v>9470.3666690083246</v>
          </cell>
          <cell r="Q1106">
            <v>4058.1806640625</v>
          </cell>
        </row>
        <row r="1107">
          <cell r="A1107" t="str">
            <v>4T1BF1FK8EU785210</v>
          </cell>
          <cell r="B1107">
            <v>2014</v>
          </cell>
          <cell r="C1107" t="str">
            <v>TOYOTA</v>
          </cell>
          <cell r="D1107" t="str">
            <v>CAMRY</v>
          </cell>
          <cell r="E1107">
            <v>150668</v>
          </cell>
          <cell r="F1107" t="str">
            <v>Grade 2.2</v>
          </cell>
          <cell r="G1107" t="str">
            <v>Green Light</v>
          </cell>
          <cell r="H1107" t="str">
            <v>Yes</v>
          </cell>
          <cell r="I1107" t="str">
            <v>No</v>
          </cell>
          <cell r="J1107">
            <v>45314</v>
          </cell>
          <cell r="K1107" t="str">
            <v>Yes</v>
          </cell>
          <cell r="L1107">
            <v>44224</v>
          </cell>
          <cell r="M1107">
            <v>235</v>
          </cell>
          <cell r="N1107">
            <v>285</v>
          </cell>
          <cell r="O1107">
            <v>3439.89599609375</v>
          </cell>
          <cell r="P1107">
            <v>9334.6559688253492</v>
          </cell>
          <cell r="Q1107">
            <v>3396.388671875</v>
          </cell>
        </row>
        <row r="1108">
          <cell r="A1108" t="str">
            <v>5FNYF5H54JB014601</v>
          </cell>
          <cell r="B1108">
            <v>2018</v>
          </cell>
          <cell r="C1108" t="str">
            <v>HONDA</v>
          </cell>
          <cell r="D1108" t="str">
            <v>PILOT FWD</v>
          </cell>
          <cell r="E1108">
            <v>96731</v>
          </cell>
          <cell r="F1108" t="str">
            <v>Grade 3.5</v>
          </cell>
          <cell r="G1108" t="str">
            <v>Red Light</v>
          </cell>
          <cell r="H1108" t="str">
            <v>No</v>
          </cell>
          <cell r="I1108" t="str">
            <v>Yes</v>
          </cell>
          <cell r="J1108">
            <v>45736</v>
          </cell>
          <cell r="K1108" t="str">
            <v>Yes</v>
          </cell>
          <cell r="L1108">
            <v>44224</v>
          </cell>
          <cell r="M1108">
            <v>235</v>
          </cell>
          <cell r="N1108">
            <v>285</v>
          </cell>
          <cell r="O1108">
            <v>10714.0390625</v>
          </cell>
          <cell r="P1108">
            <v>9413.4320335970406</v>
          </cell>
          <cell r="Q1108">
            <v>10749.6376953125</v>
          </cell>
        </row>
        <row r="1109">
          <cell r="A1109" t="str">
            <v>5N1AR2MM3DC636334</v>
          </cell>
          <cell r="B1109">
            <v>2013</v>
          </cell>
          <cell r="C1109" t="str">
            <v>NISSAN</v>
          </cell>
          <cell r="D1109" t="str">
            <v>PATHFIND 4X4</v>
          </cell>
          <cell r="E1109">
            <v>133223</v>
          </cell>
          <cell r="F1109" t="str">
            <v>Grade 2.2</v>
          </cell>
          <cell r="G1109" t="str">
            <v>Red Light</v>
          </cell>
          <cell r="H1109" t="str">
            <v>No</v>
          </cell>
          <cell r="I1109" t="str">
            <v>Yes</v>
          </cell>
          <cell r="J1109">
            <v>45687</v>
          </cell>
          <cell r="K1109" t="str">
            <v>Yes</v>
          </cell>
          <cell r="L1109">
            <v>44224</v>
          </cell>
          <cell r="M1109">
            <v>235</v>
          </cell>
          <cell r="N1109">
            <v>285</v>
          </cell>
          <cell r="O1109">
            <v>714.65997314453125</v>
          </cell>
          <cell r="P1109">
            <v>8795.8538695093648</v>
          </cell>
          <cell r="Q1109">
            <v>932.59674072265625</v>
          </cell>
        </row>
        <row r="1110">
          <cell r="A1110" t="str">
            <v>5N1AT2MV0HC843120</v>
          </cell>
          <cell r="B1110">
            <v>2017</v>
          </cell>
          <cell r="C1110" t="str">
            <v>NISSAN</v>
          </cell>
          <cell r="D1110" t="str">
            <v>ROGUE</v>
          </cell>
          <cell r="E1110">
            <v>116855</v>
          </cell>
          <cell r="F1110" t="str">
            <v>Grade 3.9</v>
          </cell>
          <cell r="G1110" t="str">
            <v>Certified</v>
          </cell>
          <cell r="H1110" t="str">
            <v>Yes</v>
          </cell>
          <cell r="I1110" t="str">
            <v>No</v>
          </cell>
          <cell r="J1110">
            <v>45482</v>
          </cell>
          <cell r="K1110" t="str">
            <v>Yes</v>
          </cell>
          <cell r="L1110">
            <v>44224</v>
          </cell>
          <cell r="M1110">
            <v>235</v>
          </cell>
          <cell r="N1110">
            <v>285</v>
          </cell>
          <cell r="O1110">
            <v>6921.9697265625</v>
          </cell>
          <cell r="P1110">
            <v>9689.867633402966</v>
          </cell>
          <cell r="Q1110">
            <v>7014.4296875</v>
          </cell>
        </row>
        <row r="1111">
          <cell r="A1111" t="str">
            <v>5NPD84LFXJH360074</v>
          </cell>
          <cell r="B1111">
            <v>2018</v>
          </cell>
          <cell r="C1111" t="str">
            <v>HYUNDAI</v>
          </cell>
          <cell r="D1111" t="str">
            <v>ELANTRA</v>
          </cell>
          <cell r="E1111">
            <v>122810</v>
          </cell>
          <cell r="F1111" t="str">
            <v>Grade 1.6</v>
          </cell>
          <cell r="G1111" t="str">
            <v>Red Light</v>
          </cell>
          <cell r="H1111" t="str">
            <v>No</v>
          </cell>
          <cell r="I1111" t="str">
            <v>Yes</v>
          </cell>
          <cell r="J1111">
            <v>45300</v>
          </cell>
          <cell r="K1111" t="str">
            <v>Yes</v>
          </cell>
          <cell r="L1111">
            <v>44224</v>
          </cell>
          <cell r="M1111">
            <v>235</v>
          </cell>
          <cell r="N1111">
            <v>285</v>
          </cell>
          <cell r="O1111">
            <v>2735.0390625</v>
          </cell>
          <cell r="P1111">
            <v>8639.8448247009583</v>
          </cell>
          <cell r="Q1111">
            <v>2612.43359375</v>
          </cell>
        </row>
        <row r="1112">
          <cell r="A1112" t="str">
            <v>5NPE24AF3GH378904</v>
          </cell>
          <cell r="B1112">
            <v>2016</v>
          </cell>
          <cell r="C1112" t="str">
            <v>HYUNDAI</v>
          </cell>
          <cell r="D1112" t="str">
            <v>SONATA</v>
          </cell>
          <cell r="E1112">
            <v>77528</v>
          </cell>
          <cell r="F1112" t="str">
            <v>Grade 2.0</v>
          </cell>
          <cell r="G1112" t="str">
            <v>Red Light</v>
          </cell>
          <cell r="H1112" t="str">
            <v>No</v>
          </cell>
          <cell r="I1112" t="str">
            <v>Yes</v>
          </cell>
          <cell r="J1112">
            <v>45356</v>
          </cell>
          <cell r="K1112" t="str">
            <v>Yes</v>
          </cell>
          <cell r="L1112">
            <v>44224</v>
          </cell>
          <cell r="M1112">
            <v>235</v>
          </cell>
          <cell r="N1112">
            <v>285</v>
          </cell>
          <cell r="O1112">
            <v>3916.72314453125</v>
          </cell>
          <cell r="P1112">
            <v>8773.4517047151403</v>
          </cell>
          <cell r="Q1112">
            <v>3878.453125</v>
          </cell>
        </row>
        <row r="1113">
          <cell r="A1113" t="str">
            <v>5NPE24AF7JH712780</v>
          </cell>
          <cell r="B1113">
            <v>2018</v>
          </cell>
          <cell r="C1113" t="str">
            <v>HYUNDAI</v>
          </cell>
          <cell r="D1113" t="str">
            <v>SONATA</v>
          </cell>
          <cell r="E1113">
            <v>63954</v>
          </cell>
          <cell r="F1113" t="str">
            <v>Grade 2.0</v>
          </cell>
          <cell r="G1113" t="str">
            <v>Inoperable</v>
          </cell>
          <cell r="H1113" t="str">
            <v>No</v>
          </cell>
          <cell r="I1113" t="str">
            <v>Yes</v>
          </cell>
          <cell r="J1113">
            <v>45330</v>
          </cell>
          <cell r="K1113" t="str">
            <v>Yes</v>
          </cell>
          <cell r="L1113">
            <v>44224</v>
          </cell>
          <cell r="M1113">
            <v>235</v>
          </cell>
          <cell r="N1113">
            <v>285</v>
          </cell>
          <cell r="O1113">
            <v>4859.044921875</v>
          </cell>
          <cell r="P1113">
            <v>10721.599060675269</v>
          </cell>
          <cell r="Q1113">
            <v>4659.27587890625</v>
          </cell>
        </row>
        <row r="1114">
          <cell r="A1114" t="str">
            <v>5UXWX9C5XE0D14071</v>
          </cell>
          <cell r="B1114">
            <v>2014</v>
          </cell>
          <cell r="C1114" t="str">
            <v>BMW</v>
          </cell>
          <cell r="D1114" t="str">
            <v>X3</v>
          </cell>
          <cell r="E1114">
            <v>95192</v>
          </cell>
          <cell r="F1114" t="str">
            <v>Grade 2.1</v>
          </cell>
          <cell r="G1114" t="str">
            <v>Red Light</v>
          </cell>
          <cell r="H1114" t="str">
            <v>No</v>
          </cell>
          <cell r="I1114" t="str">
            <v>Yes</v>
          </cell>
          <cell r="J1114">
            <v>45580</v>
          </cell>
          <cell r="K1114" t="str">
            <v>Yes</v>
          </cell>
          <cell r="L1114">
            <v>44224</v>
          </cell>
          <cell r="M1114">
            <v>235</v>
          </cell>
          <cell r="N1114">
            <v>285</v>
          </cell>
          <cell r="O1114">
            <v>3263.830078125</v>
          </cell>
          <cell r="P1114">
            <v>9545.2524973399213</v>
          </cell>
          <cell r="Q1114">
            <v>3246.1513671875</v>
          </cell>
        </row>
        <row r="1115">
          <cell r="A1115" t="str">
            <v>5XYPG4A3XGG043713</v>
          </cell>
          <cell r="B1115">
            <v>2016</v>
          </cell>
          <cell r="C1115" t="str">
            <v>KIA</v>
          </cell>
          <cell r="D1115" t="str">
            <v>SORENTO FWD 4C</v>
          </cell>
          <cell r="E1115">
            <v>108206</v>
          </cell>
          <cell r="F1115" t="str">
            <v>Grade 4.1</v>
          </cell>
          <cell r="G1115" t="str">
            <v>Red Light</v>
          </cell>
          <cell r="H1115" t="str">
            <v>No</v>
          </cell>
          <cell r="I1115" t="str">
            <v>Yes</v>
          </cell>
          <cell r="J1115">
            <v>45344</v>
          </cell>
          <cell r="K1115" t="str">
            <v>Yes</v>
          </cell>
          <cell r="L1115">
            <v>44224</v>
          </cell>
          <cell r="M1115">
            <v>235</v>
          </cell>
          <cell r="N1115">
            <v>285</v>
          </cell>
          <cell r="O1115">
            <v>6020.47802734375</v>
          </cell>
          <cell r="P1115">
            <v>9540.9853289499952</v>
          </cell>
          <cell r="Q1115">
            <v>6104.646484375</v>
          </cell>
        </row>
        <row r="1116">
          <cell r="A1116" t="str">
            <v>JA4AP3AU1KU004079</v>
          </cell>
          <cell r="B1116">
            <v>2019</v>
          </cell>
          <cell r="C1116" t="str">
            <v>MITSUBISHI</v>
          </cell>
          <cell r="D1116" t="str">
            <v>OUTLANDER SPORT</v>
          </cell>
          <cell r="E1116">
            <v>85361</v>
          </cell>
          <cell r="F1116" t="str">
            <v>Grade 2.2</v>
          </cell>
          <cell r="G1116" t="str">
            <v>Green Light</v>
          </cell>
          <cell r="H1116" t="str">
            <v>Yes</v>
          </cell>
          <cell r="I1116" t="str">
            <v>No</v>
          </cell>
          <cell r="J1116">
            <v>45566</v>
          </cell>
          <cell r="K1116" t="str">
            <v>Yes</v>
          </cell>
          <cell r="L1116">
            <v>44224</v>
          </cell>
          <cell r="M1116">
            <v>235</v>
          </cell>
          <cell r="N1116">
            <v>285</v>
          </cell>
          <cell r="O1116">
            <v>4015.6318359375</v>
          </cell>
          <cell r="P1116">
            <v>9364.729330154194</v>
          </cell>
          <cell r="Q1116">
            <v>3908.7900390625</v>
          </cell>
        </row>
        <row r="1117">
          <cell r="A1117" t="str">
            <v>JF2GPAMC0F8241055</v>
          </cell>
          <cell r="B1117">
            <v>2015</v>
          </cell>
          <cell r="C1117" t="str">
            <v>SUBARU</v>
          </cell>
          <cell r="D1117" t="str">
            <v>XV CROSSTREK</v>
          </cell>
          <cell r="E1117">
            <v>115764</v>
          </cell>
          <cell r="F1117" t="str">
            <v>Grade 1.3</v>
          </cell>
          <cell r="G1117" t="str">
            <v>Red Light</v>
          </cell>
          <cell r="H1117" t="str">
            <v>No</v>
          </cell>
          <cell r="I1117" t="str">
            <v>Yes</v>
          </cell>
          <cell r="J1117">
            <v>45482</v>
          </cell>
          <cell r="K1117" t="str">
            <v>Yes</v>
          </cell>
          <cell r="L1117">
            <v>44224</v>
          </cell>
          <cell r="M1117">
            <v>235</v>
          </cell>
          <cell r="N1117">
            <v>285</v>
          </cell>
          <cell r="O1117">
            <v>2428.41064453125</v>
          </cell>
          <cell r="P1117">
            <v>9030.5390445832945</v>
          </cell>
          <cell r="Q1117">
            <v>2314.35888671875</v>
          </cell>
        </row>
        <row r="1118">
          <cell r="A1118" t="str">
            <v>JHLRE48587C085679</v>
          </cell>
          <cell r="B1118">
            <v>2007</v>
          </cell>
          <cell r="C1118" t="str">
            <v>HONDA</v>
          </cell>
          <cell r="D1118" t="str">
            <v>CR-V 4X4</v>
          </cell>
          <cell r="E1118">
            <v>208797</v>
          </cell>
          <cell r="F1118" t="str">
            <v>Grade 2.1</v>
          </cell>
          <cell r="G1118" t="str">
            <v>Red Light</v>
          </cell>
          <cell r="H1118" t="str">
            <v>No</v>
          </cell>
          <cell r="I1118" t="str">
            <v>Yes</v>
          </cell>
          <cell r="J1118">
            <v>45393</v>
          </cell>
          <cell r="K1118" t="str">
            <v>Yes</v>
          </cell>
          <cell r="L1118">
            <v>44224</v>
          </cell>
          <cell r="M1118">
            <v>235</v>
          </cell>
          <cell r="N1118">
            <v>285</v>
          </cell>
          <cell r="O1118">
            <v>1438.079345703125</v>
          </cell>
          <cell r="P1118">
            <v>9009.4257371090789</v>
          </cell>
          <cell r="Q1118">
            <v>1395.367431640625</v>
          </cell>
        </row>
        <row r="1119">
          <cell r="A1119" t="str">
            <v>JN1AZ4EH1GM936733</v>
          </cell>
          <cell r="B1119">
            <v>2016</v>
          </cell>
          <cell r="C1119" t="str">
            <v>NISSAN</v>
          </cell>
          <cell r="D1119" t="str">
            <v>370Z</v>
          </cell>
          <cell r="E1119">
            <v>76367</v>
          </cell>
          <cell r="F1119" t="str">
            <v>Grade 4.0</v>
          </cell>
          <cell r="G1119" t="str">
            <v>Certified</v>
          </cell>
          <cell r="H1119" t="str">
            <v>Yes</v>
          </cell>
          <cell r="I1119" t="str">
            <v>No</v>
          </cell>
          <cell r="J1119">
            <v>45538</v>
          </cell>
          <cell r="K1119" t="str">
            <v>Yes</v>
          </cell>
          <cell r="L1119">
            <v>44224</v>
          </cell>
          <cell r="M1119">
            <v>235</v>
          </cell>
          <cell r="N1119">
            <v>285</v>
          </cell>
          <cell r="O1119">
            <v>9059.9013671875</v>
          </cell>
          <cell r="P1119">
            <v>9914.2298147014135</v>
          </cell>
          <cell r="Q1119">
            <v>9232.58203125</v>
          </cell>
        </row>
        <row r="1120">
          <cell r="A1120" t="str">
            <v>JN1BJ1CR9HW125483</v>
          </cell>
          <cell r="B1120">
            <v>2017</v>
          </cell>
          <cell r="C1120" t="str">
            <v>NISSAN</v>
          </cell>
          <cell r="D1120" t="str">
            <v>ROGUE SPORT</v>
          </cell>
          <cell r="E1120">
            <v>86042</v>
          </cell>
          <cell r="F1120" t="str">
            <v>Grade 2.6</v>
          </cell>
          <cell r="G1120" t="str">
            <v>Green/Yellow</v>
          </cell>
          <cell r="H1120" t="str">
            <v>Yes</v>
          </cell>
          <cell r="I1120" t="str">
            <v>No</v>
          </cell>
          <cell r="J1120">
            <v>45510</v>
          </cell>
          <cell r="K1120" t="str">
            <v>Yes</v>
          </cell>
          <cell r="L1120">
            <v>44224</v>
          </cell>
          <cell r="M1120">
            <v>235</v>
          </cell>
          <cell r="N1120">
            <v>285</v>
          </cell>
          <cell r="O1120">
            <v>4382.11083984375</v>
          </cell>
          <cell r="P1120">
            <v>9141.9514972491506</v>
          </cell>
          <cell r="Q1120">
            <v>4356.724609375</v>
          </cell>
        </row>
        <row r="1121">
          <cell r="A1121" t="str">
            <v>JN8AF5MV0ET483974</v>
          </cell>
          <cell r="B1121">
            <v>2014</v>
          </cell>
          <cell r="C1121" t="str">
            <v>NISSAN</v>
          </cell>
          <cell r="D1121" t="str">
            <v>JUKE</v>
          </cell>
          <cell r="E1121">
            <v>106161</v>
          </cell>
          <cell r="F1121" t="str">
            <v>Grade 2.4</v>
          </cell>
          <cell r="G1121" t="str">
            <v>Red Light</v>
          </cell>
          <cell r="H1121" t="str">
            <v>No</v>
          </cell>
          <cell r="I1121" t="str">
            <v>Yes</v>
          </cell>
          <cell r="J1121">
            <v>45454</v>
          </cell>
          <cell r="K1121" t="str">
            <v>Yes</v>
          </cell>
          <cell r="L1121">
            <v>44224</v>
          </cell>
          <cell r="M1121">
            <v>235</v>
          </cell>
          <cell r="N1121">
            <v>285</v>
          </cell>
          <cell r="O1121">
            <v>2108.75927734375</v>
          </cell>
          <cell r="P1121">
            <v>8341.7155338446319</v>
          </cell>
          <cell r="Q1121">
            <v>2121.134033203125</v>
          </cell>
        </row>
        <row r="1122">
          <cell r="A1122" t="str">
            <v>KL4CJASB1HB199830</v>
          </cell>
          <cell r="B1122">
            <v>2017</v>
          </cell>
          <cell r="C1122" t="str">
            <v>BUICK</v>
          </cell>
          <cell r="D1122" t="str">
            <v>ENCORE</v>
          </cell>
          <cell r="E1122">
            <v>154588</v>
          </cell>
          <cell r="F1122" t="str">
            <v>Grade 1.8</v>
          </cell>
          <cell r="G1122" t="str">
            <v>Red Light</v>
          </cell>
          <cell r="H1122" t="str">
            <v>No</v>
          </cell>
          <cell r="I1122" t="str">
            <v>Yes</v>
          </cell>
          <cell r="J1122">
            <v>45342</v>
          </cell>
          <cell r="K1122" t="str">
            <v>Yes</v>
          </cell>
          <cell r="L1122">
            <v>44224</v>
          </cell>
          <cell r="M1122">
            <v>235</v>
          </cell>
          <cell r="N1122">
            <v>285</v>
          </cell>
          <cell r="O1122">
            <v>1964.309936523438</v>
          </cell>
          <cell r="P1122">
            <v>9003.6373260808396</v>
          </cell>
          <cell r="Q1122">
            <v>1885.53759765625</v>
          </cell>
        </row>
        <row r="1123">
          <cell r="A1123" t="str">
            <v>KM8J3CA23HU563671</v>
          </cell>
          <cell r="B1123">
            <v>2017</v>
          </cell>
          <cell r="C1123" t="str">
            <v>HYUNDAI</v>
          </cell>
          <cell r="D1123" t="str">
            <v>TUCSON AWD 4C</v>
          </cell>
          <cell r="E1123">
            <v>88972</v>
          </cell>
          <cell r="F1123" t="str">
            <v>Grade 2.6</v>
          </cell>
          <cell r="G1123" t="str">
            <v>Green/Yellow</v>
          </cell>
          <cell r="H1123" t="str">
            <v>Yes</v>
          </cell>
          <cell r="I1123" t="str">
            <v>No</v>
          </cell>
          <cell r="J1123">
            <v>45610</v>
          </cell>
          <cell r="K1123" t="str">
            <v>Yes</v>
          </cell>
          <cell r="L1123">
            <v>44224</v>
          </cell>
          <cell r="M1123">
            <v>235</v>
          </cell>
          <cell r="N1123">
            <v>285</v>
          </cell>
          <cell r="O1123">
            <v>3453.639892578125</v>
          </cell>
          <cell r="P1123">
            <v>9010.2642736506132</v>
          </cell>
          <cell r="Q1123">
            <v>3351.8466796875</v>
          </cell>
        </row>
        <row r="1124">
          <cell r="A1124" t="str">
            <v>KMHH35LE1KU089129</v>
          </cell>
          <cell r="B1124">
            <v>2019</v>
          </cell>
          <cell r="C1124" t="str">
            <v>HYUNDAI</v>
          </cell>
          <cell r="D1124" t="str">
            <v>ELANTRA GT</v>
          </cell>
          <cell r="E1124">
            <v>128301</v>
          </cell>
          <cell r="F1124" t="str">
            <v>Grade 2.3</v>
          </cell>
          <cell r="G1124" t="str">
            <v>Green Light</v>
          </cell>
          <cell r="H1124" t="str">
            <v>Yes</v>
          </cell>
          <cell r="I1124" t="str">
            <v>No</v>
          </cell>
          <cell r="J1124">
            <v>45701</v>
          </cell>
          <cell r="K1124" t="str">
            <v>Yes</v>
          </cell>
          <cell r="L1124">
            <v>44224</v>
          </cell>
          <cell r="M1124">
            <v>235</v>
          </cell>
          <cell r="N1124">
            <v>285</v>
          </cell>
          <cell r="O1124">
            <v>3466.772216796875</v>
          </cell>
          <cell r="P1124">
            <v>8718.4373132362489</v>
          </cell>
          <cell r="Q1124">
            <v>3386.35400390625</v>
          </cell>
        </row>
        <row r="1125">
          <cell r="A1125" t="str">
            <v>KNAFK4A67E5166134</v>
          </cell>
          <cell r="B1125">
            <v>2014</v>
          </cell>
          <cell r="C1125" t="str">
            <v>KIA</v>
          </cell>
          <cell r="D1125" t="str">
            <v>FORTE</v>
          </cell>
          <cell r="E1125">
            <v>113842</v>
          </cell>
          <cell r="F1125" t="str">
            <v>Grade 1.8</v>
          </cell>
          <cell r="G1125" t="str">
            <v>Red Light</v>
          </cell>
          <cell r="H1125" t="str">
            <v>No</v>
          </cell>
          <cell r="I1125" t="str">
            <v>Yes</v>
          </cell>
          <cell r="J1125">
            <v>45687</v>
          </cell>
          <cell r="K1125" t="str">
            <v>Yes</v>
          </cell>
          <cell r="L1125">
            <v>44224</v>
          </cell>
          <cell r="M1125">
            <v>235</v>
          </cell>
          <cell r="N1125">
            <v>285</v>
          </cell>
          <cell r="O1125">
            <v>1052.676513671875</v>
          </cell>
          <cell r="P1125">
            <v>8470.4942381520232</v>
          </cell>
          <cell r="Q1125">
            <v>1179.263427734375</v>
          </cell>
        </row>
        <row r="1126">
          <cell r="A1126" t="str">
            <v>KNDJP3A55E7104218</v>
          </cell>
          <cell r="B1126">
            <v>2014</v>
          </cell>
          <cell r="C1126" t="str">
            <v>KIA</v>
          </cell>
          <cell r="D1126" t="str">
            <v>SOUL</v>
          </cell>
          <cell r="E1126">
            <v>86724</v>
          </cell>
          <cell r="F1126" t="str">
            <v>Grade 2.2</v>
          </cell>
          <cell r="G1126" t="str">
            <v>Red Light</v>
          </cell>
          <cell r="H1126" t="str">
            <v>No</v>
          </cell>
          <cell r="I1126" t="str">
            <v>Yes</v>
          </cell>
          <cell r="J1126">
            <v>45701</v>
          </cell>
          <cell r="K1126" t="str">
            <v>Yes</v>
          </cell>
          <cell r="L1126">
            <v>44224</v>
          </cell>
          <cell r="M1126">
            <v>235</v>
          </cell>
          <cell r="N1126">
            <v>285</v>
          </cell>
          <cell r="O1126">
            <v>2089.295166015625</v>
          </cell>
          <cell r="P1126">
            <v>8683.0493902803191</v>
          </cell>
          <cell r="Q1126">
            <v>2011.743041992188</v>
          </cell>
        </row>
        <row r="1127">
          <cell r="A1127" t="str">
            <v>SALGS2EF5GA278469</v>
          </cell>
          <cell r="B1127">
            <v>2016</v>
          </cell>
          <cell r="C1127" t="str">
            <v>LAND ROVER</v>
          </cell>
          <cell r="D1127" t="str">
            <v>RANGE ROVER</v>
          </cell>
          <cell r="E1127">
            <v>112667</v>
          </cell>
          <cell r="F1127" t="str">
            <v>Grade 1.2</v>
          </cell>
          <cell r="G1127" t="str">
            <v>Inoperable</v>
          </cell>
          <cell r="H1127" t="str">
            <v>No</v>
          </cell>
          <cell r="I1127" t="str">
            <v>Yes</v>
          </cell>
          <cell r="J1127">
            <v>45314</v>
          </cell>
          <cell r="K1127" t="str">
            <v>Yes</v>
          </cell>
          <cell r="L1127">
            <v>44224</v>
          </cell>
          <cell r="M1127">
            <v>235</v>
          </cell>
          <cell r="N1127">
            <v>285</v>
          </cell>
          <cell r="O1127">
            <v>9347.4931640625</v>
          </cell>
          <cell r="P1127">
            <v>12112.241826677549</v>
          </cell>
          <cell r="Q1127">
            <v>9198.5556640625</v>
          </cell>
        </row>
        <row r="1128">
          <cell r="A1128" t="str">
            <v>W1KWJ6EB6MG064521</v>
          </cell>
          <cell r="B1128">
            <v>2021</v>
          </cell>
          <cell r="C1128" t="str">
            <v>MERCEDES-BENZ</v>
          </cell>
          <cell r="D1128" t="str">
            <v>AMG C 43</v>
          </cell>
          <cell r="E1128">
            <v>48588</v>
          </cell>
          <cell r="F1128" t="str">
            <v>Grade 3.2</v>
          </cell>
          <cell r="G1128" t="str">
            <v>Certified</v>
          </cell>
          <cell r="H1128" t="str">
            <v>Yes</v>
          </cell>
          <cell r="I1128" t="str">
            <v>No</v>
          </cell>
          <cell r="J1128">
            <v>45496</v>
          </cell>
          <cell r="K1128" t="str">
            <v>Yes</v>
          </cell>
          <cell r="L1128">
            <v>44224</v>
          </cell>
          <cell r="M1128">
            <v>235</v>
          </cell>
          <cell r="N1128">
            <v>285</v>
          </cell>
          <cell r="O1128">
            <v>29763.552734375</v>
          </cell>
          <cell r="P1128">
            <v>14509.02460394329</v>
          </cell>
          <cell r="Q1128">
            <v>29967</v>
          </cell>
        </row>
        <row r="1129">
          <cell r="A1129" t="str">
            <v>WA1WKAFP7BA109769</v>
          </cell>
          <cell r="B1129">
            <v>2011</v>
          </cell>
          <cell r="C1129" t="str">
            <v>AUDI</v>
          </cell>
          <cell r="D1129" t="str">
            <v>Q5</v>
          </cell>
          <cell r="E1129">
            <v>99999</v>
          </cell>
          <cell r="F1129" t="str">
            <v>Grade 2.9</v>
          </cell>
          <cell r="G1129" t="str">
            <v>Red Light</v>
          </cell>
          <cell r="H1129" t="str">
            <v>No</v>
          </cell>
          <cell r="I1129" t="str">
            <v>Yes</v>
          </cell>
          <cell r="J1129">
            <v>45706</v>
          </cell>
          <cell r="K1129" t="str">
            <v>Yes</v>
          </cell>
          <cell r="L1129">
            <v>44224</v>
          </cell>
          <cell r="M1129">
            <v>235</v>
          </cell>
          <cell r="N1129">
            <v>285</v>
          </cell>
          <cell r="O1129">
            <v>2534.6220703125</v>
          </cell>
          <cell r="P1129">
            <v>9386.5687519884341</v>
          </cell>
          <cell r="Q1129">
            <v>2401.01171875</v>
          </cell>
        </row>
        <row r="1130">
          <cell r="A1130" t="str">
            <v>WAUWGAFC4FN005675</v>
          </cell>
          <cell r="B1130">
            <v>2015</v>
          </cell>
          <cell r="C1130" t="str">
            <v>AUDI</v>
          </cell>
          <cell r="D1130" t="str">
            <v>A7</v>
          </cell>
          <cell r="E1130">
            <v>74350</v>
          </cell>
          <cell r="F1130" t="str">
            <v>Grade 3.8</v>
          </cell>
          <cell r="G1130" t="str">
            <v>Certified</v>
          </cell>
          <cell r="H1130" t="str">
            <v>Yes</v>
          </cell>
          <cell r="I1130" t="str">
            <v>No</v>
          </cell>
          <cell r="J1130">
            <v>45608</v>
          </cell>
          <cell r="K1130" t="str">
            <v>Yes</v>
          </cell>
          <cell r="L1130">
            <v>44224</v>
          </cell>
          <cell r="M1130">
            <v>235</v>
          </cell>
          <cell r="N1130">
            <v>285</v>
          </cell>
          <cell r="O1130">
            <v>9445.1171875</v>
          </cell>
          <cell r="P1130">
            <v>10196.49915430596</v>
          </cell>
          <cell r="Q1130">
            <v>9504.462890625</v>
          </cell>
        </row>
        <row r="1131">
          <cell r="A1131" t="str">
            <v>WDCTG4GB4FJ122669</v>
          </cell>
          <cell r="B1131">
            <v>2015</v>
          </cell>
          <cell r="C1131" t="str">
            <v>MERCEDES-BENZ</v>
          </cell>
          <cell r="D1131" t="str">
            <v>GLA 250</v>
          </cell>
          <cell r="E1131">
            <v>71260</v>
          </cell>
          <cell r="F1131" t="str">
            <v>Grade 3.9</v>
          </cell>
          <cell r="G1131" t="str">
            <v>Certified</v>
          </cell>
          <cell r="H1131" t="str">
            <v>Yes</v>
          </cell>
          <cell r="I1131" t="str">
            <v>No</v>
          </cell>
          <cell r="J1131">
            <v>45692</v>
          </cell>
          <cell r="K1131" t="str">
            <v>Yes</v>
          </cell>
          <cell r="L1131">
            <v>44224</v>
          </cell>
          <cell r="M1131">
            <v>235</v>
          </cell>
          <cell r="N1131">
            <v>285</v>
          </cell>
          <cell r="O1131">
            <v>10759.4853515625</v>
          </cell>
          <cell r="P1131">
            <v>10687.045133923661</v>
          </cell>
          <cell r="Q1131">
            <v>10728.99609375</v>
          </cell>
        </row>
        <row r="1132">
          <cell r="A1132" t="str">
            <v>WP1AA2A59HLB05751</v>
          </cell>
          <cell r="B1132">
            <v>2017</v>
          </cell>
          <cell r="C1132" t="str">
            <v>PORSCHE</v>
          </cell>
          <cell r="D1132" t="str">
            <v>MACAN</v>
          </cell>
          <cell r="E1132">
            <v>122624</v>
          </cell>
          <cell r="F1132" t="str">
            <v>Grade 1.3</v>
          </cell>
          <cell r="G1132" t="str">
            <v>Red Light</v>
          </cell>
          <cell r="H1132" t="str">
            <v>No</v>
          </cell>
          <cell r="I1132" t="str">
            <v>Yes</v>
          </cell>
          <cell r="J1132">
            <v>45510</v>
          </cell>
          <cell r="K1132" t="str">
            <v>Yes</v>
          </cell>
          <cell r="L1132">
            <v>44224</v>
          </cell>
          <cell r="M1132">
            <v>235</v>
          </cell>
          <cell r="N1132">
            <v>285</v>
          </cell>
          <cell r="O1132">
            <v>7444.2509765625</v>
          </cell>
          <cell r="P1132">
            <v>11602.34785364741</v>
          </cell>
          <cell r="Q1132">
            <v>6908.9287109375</v>
          </cell>
        </row>
        <row r="1133">
          <cell r="A1133" t="str">
            <v>ZACCJBAT0GPD71372</v>
          </cell>
          <cell r="B1133">
            <v>2016</v>
          </cell>
          <cell r="C1133" t="str">
            <v>JEEP</v>
          </cell>
          <cell r="D1133" t="str">
            <v>RENEGADE 4X4 4C</v>
          </cell>
          <cell r="E1133">
            <v>72400</v>
          </cell>
          <cell r="F1133" t="str">
            <v>Grade 4.5</v>
          </cell>
          <cell r="G1133" t="str">
            <v>Certified</v>
          </cell>
          <cell r="H1133" t="str">
            <v>Yes</v>
          </cell>
          <cell r="I1133" t="str">
            <v>No</v>
          </cell>
          <cell r="J1133">
            <v>45498</v>
          </cell>
          <cell r="K1133" t="str">
            <v>Yes</v>
          </cell>
          <cell r="L1133">
            <v>44224</v>
          </cell>
          <cell r="M1133">
            <v>235</v>
          </cell>
          <cell r="N1133">
            <v>285</v>
          </cell>
          <cell r="O1133">
            <v>12027.072265625</v>
          </cell>
          <cell r="P1133">
            <v>10251.992913484501</v>
          </cell>
          <cell r="Q1133">
            <v>12273.2841796875</v>
          </cell>
        </row>
        <row r="1134">
          <cell r="A1134" t="str">
            <v>1FADP3J20DL351547</v>
          </cell>
          <cell r="B1134">
            <v>2013</v>
          </cell>
          <cell r="C1134" t="str">
            <v>FORD</v>
          </cell>
          <cell r="D1134" t="str">
            <v>FOCUS</v>
          </cell>
          <cell r="E1134">
            <v>122334</v>
          </cell>
          <cell r="F1134" t="str">
            <v>Grade 2.3</v>
          </cell>
          <cell r="G1134" t="str">
            <v>Red Light</v>
          </cell>
          <cell r="H1134" t="str">
            <v>No</v>
          </cell>
          <cell r="I1134" t="str">
            <v>Yes</v>
          </cell>
          <cell r="J1134">
            <v>45678</v>
          </cell>
          <cell r="K1134" t="str">
            <v>Yes</v>
          </cell>
          <cell r="L1134">
            <v>44278</v>
          </cell>
          <cell r="M1134">
            <v>235</v>
          </cell>
          <cell r="N1134">
            <v>285</v>
          </cell>
          <cell r="O1134">
            <v>1926.562622070312</v>
          </cell>
          <cell r="P1134">
            <v>9083.3643891211414</v>
          </cell>
          <cell r="Q1134">
            <v>1885.53759765625</v>
          </cell>
        </row>
        <row r="1135">
          <cell r="A1135" t="str">
            <v>5XYZW4LA2HG408586</v>
          </cell>
          <cell r="B1135">
            <v>2017</v>
          </cell>
          <cell r="C1135" t="str">
            <v>HYUNDAI</v>
          </cell>
          <cell r="D1135" t="str">
            <v>SANTA FE SPORT</v>
          </cell>
          <cell r="E1135">
            <v>111704</v>
          </cell>
          <cell r="F1135" t="str">
            <v>Grade 3.6</v>
          </cell>
          <cell r="G1135" t="str">
            <v>Green/Yellow</v>
          </cell>
          <cell r="H1135" t="str">
            <v>Yes</v>
          </cell>
          <cell r="I1135" t="str">
            <v>No</v>
          </cell>
          <cell r="J1135">
            <v>45468</v>
          </cell>
          <cell r="K1135" t="str">
            <v>Yes</v>
          </cell>
          <cell r="L1135">
            <v>44278</v>
          </cell>
          <cell r="M1135">
            <v>235</v>
          </cell>
          <cell r="N1135">
            <v>285</v>
          </cell>
          <cell r="O1135">
            <v>5763.880859375</v>
          </cell>
          <cell r="P1135">
            <v>9496.5884161184695</v>
          </cell>
          <cell r="Q1135">
            <v>5812.43994140625</v>
          </cell>
        </row>
        <row r="1136">
          <cell r="A1136" t="str">
            <v>1C3CCBBB8CN120929</v>
          </cell>
          <cell r="B1136">
            <v>2012</v>
          </cell>
          <cell r="C1136" t="str">
            <v>CHRYSLER</v>
          </cell>
          <cell r="D1136" t="str">
            <v>200 4C</v>
          </cell>
          <cell r="E1136">
            <v>200134</v>
          </cell>
          <cell r="F1136" t="str">
            <v>Grade 2.1</v>
          </cell>
          <cell r="G1136" t="str">
            <v>Red Light</v>
          </cell>
          <cell r="H1136" t="str">
            <v>No</v>
          </cell>
          <cell r="I1136" t="str">
            <v>Yes</v>
          </cell>
          <cell r="J1136">
            <v>45540</v>
          </cell>
          <cell r="K1136" t="str">
            <v>Yes</v>
          </cell>
          <cell r="L1136">
            <v>44307</v>
          </cell>
          <cell r="M1136">
            <v>235</v>
          </cell>
          <cell r="N1136">
            <v>285</v>
          </cell>
          <cell r="O1136">
            <v>372.917724609375</v>
          </cell>
          <cell r="P1136">
            <v>8783.611835868991</v>
          </cell>
          <cell r="Q1136">
            <v>815.262451171875</v>
          </cell>
        </row>
        <row r="1137">
          <cell r="A1137" t="str">
            <v>1C3CDFBB2FD362419</v>
          </cell>
          <cell r="B1137">
            <v>2015</v>
          </cell>
          <cell r="C1137" t="str">
            <v>DODGE</v>
          </cell>
          <cell r="D1137" t="str">
            <v>DART</v>
          </cell>
          <cell r="E1137">
            <v>62766</v>
          </cell>
          <cell r="F1137" t="str">
            <v>Grade 2.6</v>
          </cell>
          <cell r="G1137" t="str">
            <v>Green Light</v>
          </cell>
          <cell r="H1137" t="str">
            <v>Yes</v>
          </cell>
          <cell r="I1137" t="str">
            <v>No</v>
          </cell>
          <cell r="J1137">
            <v>45664</v>
          </cell>
          <cell r="K1137" t="str">
            <v>Yes</v>
          </cell>
          <cell r="L1137">
            <v>44307</v>
          </cell>
          <cell r="M1137">
            <v>235</v>
          </cell>
          <cell r="N1137">
            <v>285</v>
          </cell>
          <cell r="O1137">
            <v>5602.8671875</v>
          </cell>
          <cell r="P1137">
            <v>11164.295717192361</v>
          </cell>
          <cell r="Q1137">
            <v>5292.21240234375</v>
          </cell>
        </row>
        <row r="1138">
          <cell r="A1138" t="str">
            <v>1C4NJPBA3HD146141</v>
          </cell>
          <cell r="B1138">
            <v>2017</v>
          </cell>
          <cell r="C1138" t="str">
            <v>JEEP</v>
          </cell>
          <cell r="D1138" t="str">
            <v>PATRIOT</v>
          </cell>
          <cell r="E1138">
            <v>198605</v>
          </cell>
          <cell r="F1138" t="str">
            <v>Grade 2.1</v>
          </cell>
          <cell r="G1138" t="str">
            <v>Red Light</v>
          </cell>
          <cell r="H1138" t="str">
            <v>No</v>
          </cell>
          <cell r="I1138" t="str">
            <v>Yes</v>
          </cell>
          <cell r="J1138">
            <v>45384</v>
          </cell>
          <cell r="K1138" t="str">
            <v>Yes</v>
          </cell>
          <cell r="L1138">
            <v>44307</v>
          </cell>
          <cell r="M1138">
            <v>235</v>
          </cell>
          <cell r="N1138">
            <v>285</v>
          </cell>
          <cell r="O1138">
            <v>3428.01708984375</v>
          </cell>
          <cell r="P1138">
            <v>9043.1476504836191</v>
          </cell>
          <cell r="Q1138">
            <v>3351.8466796875</v>
          </cell>
        </row>
        <row r="1139">
          <cell r="A1139" t="str">
            <v>1C4NJPBA6HD171258</v>
          </cell>
          <cell r="B1139">
            <v>2017</v>
          </cell>
          <cell r="C1139" t="str">
            <v>JEEP</v>
          </cell>
          <cell r="D1139" t="str">
            <v>PATRIOT FWD 4C</v>
          </cell>
          <cell r="E1139">
            <v>46550</v>
          </cell>
          <cell r="F1139" t="str">
            <v>Grade 1.0</v>
          </cell>
          <cell r="G1139" t="str">
            <v>Salvage</v>
          </cell>
          <cell r="H1139" t="str">
            <v>No</v>
          </cell>
          <cell r="I1139" t="str">
            <v>Yes</v>
          </cell>
          <cell r="J1139">
            <v>45645</v>
          </cell>
          <cell r="K1139" t="str">
            <v>Yes</v>
          </cell>
          <cell r="L1139">
            <v>44307</v>
          </cell>
          <cell r="M1139">
            <v>235</v>
          </cell>
          <cell r="N1139">
            <v>285</v>
          </cell>
          <cell r="O1139">
            <v>6559.24755859375</v>
          </cell>
          <cell r="P1139">
            <v>11419.08992560228</v>
          </cell>
          <cell r="Q1139">
            <v>6216.98486328125</v>
          </cell>
        </row>
        <row r="1140">
          <cell r="A1140" t="str">
            <v>1C4PJMCB1GW194660</v>
          </cell>
          <cell r="B1140">
            <v>2016</v>
          </cell>
          <cell r="C1140" t="str">
            <v>JEEP</v>
          </cell>
          <cell r="D1140" t="str">
            <v>CHEROKEE</v>
          </cell>
          <cell r="E1140">
            <v>69637</v>
          </cell>
          <cell r="F1140" t="str">
            <v>Grade 3.8</v>
          </cell>
          <cell r="G1140" t="str">
            <v>Green/Yellow</v>
          </cell>
          <cell r="H1140" t="str">
            <v>Yes</v>
          </cell>
          <cell r="I1140" t="str">
            <v>No</v>
          </cell>
          <cell r="J1140">
            <v>45482</v>
          </cell>
          <cell r="K1140" t="str">
            <v>Yes</v>
          </cell>
          <cell r="L1140">
            <v>44307</v>
          </cell>
          <cell r="M1140">
            <v>235</v>
          </cell>
          <cell r="N1140">
            <v>285</v>
          </cell>
          <cell r="O1140">
            <v>11115.2177734375</v>
          </cell>
          <cell r="P1140">
            <v>10640.601006201359</v>
          </cell>
          <cell r="Q1140">
            <v>11127.865234375</v>
          </cell>
        </row>
        <row r="1141">
          <cell r="A1141" t="str">
            <v>1FMCU0F75EUC18694</v>
          </cell>
          <cell r="B1141">
            <v>2014</v>
          </cell>
          <cell r="C1141" t="str">
            <v>FORD</v>
          </cell>
          <cell r="D1141" t="str">
            <v>ESCAPE FWD 4C</v>
          </cell>
          <cell r="E1141">
            <v>107554</v>
          </cell>
          <cell r="F1141" t="str">
            <v>Grade 1.4</v>
          </cell>
          <cell r="G1141" t="str">
            <v>Green Light</v>
          </cell>
          <cell r="H1141" t="str">
            <v>Yes</v>
          </cell>
          <cell r="I1141" t="str">
            <v>No</v>
          </cell>
          <cell r="J1141">
            <v>45449</v>
          </cell>
          <cell r="K1141" t="str">
            <v>Yes</v>
          </cell>
          <cell r="L1141">
            <v>44307</v>
          </cell>
          <cell r="M1141">
            <v>235</v>
          </cell>
          <cell r="N1141">
            <v>285</v>
          </cell>
          <cell r="O1141">
            <v>2616.587158203125</v>
          </cell>
          <cell r="P1141">
            <v>9187.9895732270325</v>
          </cell>
          <cell r="Q1141">
            <v>2505.3798828125</v>
          </cell>
        </row>
        <row r="1142">
          <cell r="A1142" t="str">
            <v>1FMCU0GXXEUC93549</v>
          </cell>
          <cell r="B1142">
            <v>2014</v>
          </cell>
          <cell r="C1142" t="str">
            <v>FORD</v>
          </cell>
          <cell r="D1142" t="str">
            <v>ESCAPE FWD 4C</v>
          </cell>
          <cell r="E1142">
            <v>117530</v>
          </cell>
          <cell r="F1142" t="str">
            <v>Grade 3.6</v>
          </cell>
          <cell r="G1142" t="str">
            <v>Red Light</v>
          </cell>
          <cell r="H1142" t="str">
            <v>No</v>
          </cell>
          <cell r="I1142" t="str">
            <v>Yes</v>
          </cell>
          <cell r="J1142">
            <v>45302</v>
          </cell>
          <cell r="K1142" t="str">
            <v>Yes</v>
          </cell>
          <cell r="L1142">
            <v>44307</v>
          </cell>
          <cell r="M1142">
            <v>235</v>
          </cell>
          <cell r="N1142">
            <v>285</v>
          </cell>
          <cell r="O1142">
            <v>5986.77001953125</v>
          </cell>
          <cell r="P1142">
            <v>10026.171032709381</v>
          </cell>
          <cell r="Q1142">
            <v>6015.97509765625</v>
          </cell>
        </row>
        <row r="1143">
          <cell r="A1143" t="str">
            <v>1FMCU9GX4EUB28570</v>
          </cell>
          <cell r="B1143">
            <v>2014</v>
          </cell>
          <cell r="C1143" t="str">
            <v>FORD</v>
          </cell>
          <cell r="D1143" t="str">
            <v>ESCAPE 4X4 4C</v>
          </cell>
          <cell r="E1143">
            <v>132744</v>
          </cell>
          <cell r="F1143" t="str">
            <v>Grade 1.4</v>
          </cell>
          <cell r="G1143" t="str">
            <v>Red Light</v>
          </cell>
          <cell r="H1143" t="str">
            <v>No</v>
          </cell>
          <cell r="I1143" t="str">
            <v>Yes</v>
          </cell>
          <cell r="J1143">
            <v>45337</v>
          </cell>
          <cell r="K1143" t="str">
            <v>Yes</v>
          </cell>
          <cell r="L1143">
            <v>44307</v>
          </cell>
          <cell r="M1143">
            <v>235</v>
          </cell>
          <cell r="N1143">
            <v>285</v>
          </cell>
          <cell r="O1143">
            <v>2333.018798828125</v>
          </cell>
          <cell r="P1143">
            <v>9185.1996070934383</v>
          </cell>
          <cell r="Q1143">
            <v>2234.0322265625</v>
          </cell>
        </row>
        <row r="1144">
          <cell r="A1144" t="str">
            <v>1FTEX1CP4JKE11665</v>
          </cell>
          <cell r="B1144">
            <v>2018</v>
          </cell>
          <cell r="C1144" t="str">
            <v>FORD</v>
          </cell>
          <cell r="D1144" t="str">
            <v>F-150</v>
          </cell>
          <cell r="E1144">
            <v>143766</v>
          </cell>
          <cell r="F1144" t="str">
            <v>Grade 2.4</v>
          </cell>
          <cell r="G1144" t="str">
            <v>Red Light</v>
          </cell>
          <cell r="H1144" t="str">
            <v>No</v>
          </cell>
          <cell r="I1144" t="str">
            <v>Yes</v>
          </cell>
          <cell r="J1144">
            <v>45678</v>
          </cell>
          <cell r="K1144" t="str">
            <v>Yes</v>
          </cell>
          <cell r="L1144">
            <v>44307</v>
          </cell>
          <cell r="M1144">
            <v>235</v>
          </cell>
          <cell r="N1144">
            <v>285</v>
          </cell>
          <cell r="O1144">
            <v>7336.95166015625</v>
          </cell>
          <cell r="P1144">
            <v>9106.428183058204</v>
          </cell>
          <cell r="Q1144">
            <v>7289.4951171875</v>
          </cell>
        </row>
        <row r="1145">
          <cell r="A1145" t="str">
            <v>1G11C5SAXGF101965</v>
          </cell>
          <cell r="B1145">
            <v>2016</v>
          </cell>
          <cell r="C1145" t="str">
            <v>CHEVROLET</v>
          </cell>
          <cell r="D1145" t="str">
            <v>MALIBU LIMITED</v>
          </cell>
          <cell r="E1145">
            <v>131040</v>
          </cell>
          <cell r="F1145" t="str">
            <v>Grade 2.2</v>
          </cell>
          <cell r="G1145" t="str">
            <v>Green Light</v>
          </cell>
          <cell r="H1145" t="str">
            <v>Yes</v>
          </cell>
          <cell r="I1145" t="str">
            <v>No</v>
          </cell>
          <cell r="J1145">
            <v>45538</v>
          </cell>
          <cell r="K1145" t="str">
            <v>Yes</v>
          </cell>
          <cell r="L1145">
            <v>44307</v>
          </cell>
          <cell r="M1145">
            <v>235</v>
          </cell>
          <cell r="N1145">
            <v>285</v>
          </cell>
          <cell r="O1145">
            <v>2941.669189453125</v>
          </cell>
          <cell r="P1145">
            <v>9340.893233204135</v>
          </cell>
          <cell r="Q1145">
            <v>2826.32763671875</v>
          </cell>
        </row>
        <row r="1146">
          <cell r="A1146" t="str">
            <v>1G1BE5SM1H7246056</v>
          </cell>
          <cell r="B1146">
            <v>2017</v>
          </cell>
          <cell r="C1146" t="str">
            <v>CHEVROLET</v>
          </cell>
          <cell r="D1146" t="str">
            <v>CRUZE</v>
          </cell>
          <cell r="E1146">
            <v>77302</v>
          </cell>
          <cell r="F1146" t="str">
            <v>Grade 3.5</v>
          </cell>
          <cell r="G1146" t="str">
            <v>Red Light</v>
          </cell>
          <cell r="H1146" t="str">
            <v>No</v>
          </cell>
          <cell r="I1146" t="str">
            <v>Yes</v>
          </cell>
          <cell r="J1146">
            <v>45706</v>
          </cell>
          <cell r="K1146" t="str">
            <v>Yes</v>
          </cell>
          <cell r="L1146">
            <v>44307</v>
          </cell>
          <cell r="M1146">
            <v>235</v>
          </cell>
          <cell r="N1146">
            <v>285</v>
          </cell>
          <cell r="O1146">
            <v>10816.55859375</v>
          </cell>
          <cell r="P1146">
            <v>9546.3568795521151</v>
          </cell>
          <cell r="Q1146">
            <v>10708.1337890625</v>
          </cell>
        </row>
        <row r="1147">
          <cell r="A1147" t="str">
            <v>1G1ZB5ST5GF183921</v>
          </cell>
          <cell r="B1147">
            <v>2016</v>
          </cell>
          <cell r="C1147" t="str">
            <v>CHEVROLET</v>
          </cell>
          <cell r="D1147" t="str">
            <v>MALIBU</v>
          </cell>
          <cell r="E1147">
            <v>60415</v>
          </cell>
          <cell r="F1147" t="str">
            <v>Grade 3.6</v>
          </cell>
          <cell r="G1147" t="str">
            <v>Green/Yellow</v>
          </cell>
          <cell r="H1147" t="str">
            <v>Yes</v>
          </cell>
          <cell r="I1147" t="str">
            <v>No</v>
          </cell>
          <cell r="J1147">
            <v>45524</v>
          </cell>
          <cell r="K1147" t="str">
            <v>Yes</v>
          </cell>
          <cell r="L1147">
            <v>44307</v>
          </cell>
          <cell r="M1147">
            <v>235</v>
          </cell>
          <cell r="N1147">
            <v>285</v>
          </cell>
          <cell r="O1147">
            <v>10697.0908203125</v>
          </cell>
          <cell r="P1147">
            <v>12246.45057152331</v>
          </cell>
          <cell r="Q1147">
            <v>10494.6142578125</v>
          </cell>
        </row>
        <row r="1148">
          <cell r="A1148" t="str">
            <v>1G1ZE5ST9HF183350</v>
          </cell>
          <cell r="B1148">
            <v>2017</v>
          </cell>
          <cell r="C1148" t="str">
            <v>CHEVROLET</v>
          </cell>
          <cell r="D1148" t="str">
            <v>MALIBU</v>
          </cell>
          <cell r="E1148">
            <v>60108</v>
          </cell>
          <cell r="F1148" t="str">
            <v>Grade 1.5</v>
          </cell>
          <cell r="G1148" t="str">
            <v>Red Light</v>
          </cell>
          <cell r="H1148" t="str">
            <v>No</v>
          </cell>
          <cell r="I1148" t="str">
            <v>Yes</v>
          </cell>
          <cell r="J1148">
            <v>45510</v>
          </cell>
          <cell r="K1148" t="str">
            <v>Yes</v>
          </cell>
          <cell r="L1148">
            <v>44307</v>
          </cell>
          <cell r="M1148">
            <v>235</v>
          </cell>
          <cell r="N1148">
            <v>285</v>
          </cell>
          <cell r="O1148">
            <v>4782.5068359375</v>
          </cell>
          <cell r="P1148">
            <v>11150.44385848429</v>
          </cell>
          <cell r="Q1148">
            <v>4550.703125</v>
          </cell>
        </row>
        <row r="1149">
          <cell r="A1149" t="str">
            <v>1GCVKREH8FZ203130</v>
          </cell>
          <cell r="B1149">
            <v>2015</v>
          </cell>
          <cell r="C1149" t="str">
            <v>CHEVROLET</v>
          </cell>
          <cell r="D1149" t="str">
            <v>SILVERADO 1500</v>
          </cell>
          <cell r="E1149">
            <v>173175</v>
          </cell>
          <cell r="F1149" t="str">
            <v>Grade 2.1</v>
          </cell>
          <cell r="G1149" t="str">
            <v>Red Light</v>
          </cell>
          <cell r="H1149" t="str">
            <v>No</v>
          </cell>
          <cell r="I1149" t="str">
            <v>Yes</v>
          </cell>
          <cell r="J1149">
            <v>45328</v>
          </cell>
          <cell r="K1149" t="str">
            <v>Yes</v>
          </cell>
          <cell r="L1149">
            <v>44307</v>
          </cell>
          <cell r="M1149">
            <v>235</v>
          </cell>
          <cell r="N1149">
            <v>285</v>
          </cell>
          <cell r="O1149">
            <v>5576.669921875</v>
          </cell>
          <cell r="P1149">
            <v>10628.046407154419</v>
          </cell>
          <cell r="Q1149">
            <v>5205.92724609375</v>
          </cell>
        </row>
        <row r="1150">
          <cell r="A1150" t="str">
            <v>1GKKVRKD3EJ318456</v>
          </cell>
          <cell r="B1150">
            <v>2014</v>
          </cell>
          <cell r="C1150" t="str">
            <v>GMC</v>
          </cell>
          <cell r="D1150" t="str">
            <v>ACADIA</v>
          </cell>
          <cell r="E1150">
            <v>159986</v>
          </cell>
          <cell r="F1150" t="str">
            <v>Grade 3.4</v>
          </cell>
          <cell r="G1150" t="str">
            <v>Red Light</v>
          </cell>
          <cell r="H1150" t="str">
            <v>No</v>
          </cell>
          <cell r="I1150" t="str">
            <v>Yes</v>
          </cell>
          <cell r="J1150">
            <v>45734</v>
          </cell>
          <cell r="K1150" t="str">
            <v>Yes</v>
          </cell>
          <cell r="L1150">
            <v>44307</v>
          </cell>
          <cell r="M1150">
            <v>235</v>
          </cell>
          <cell r="N1150">
            <v>285</v>
          </cell>
          <cell r="O1150">
            <v>4312.3095703125</v>
          </cell>
          <cell r="P1150">
            <v>10097.670722874551</v>
          </cell>
          <cell r="Q1150">
            <v>4176.4921875</v>
          </cell>
        </row>
        <row r="1151">
          <cell r="A1151" t="str">
            <v>1ZVBP8FF1C5258708</v>
          </cell>
          <cell r="B1151">
            <v>2012</v>
          </cell>
          <cell r="C1151" t="str">
            <v>FORD</v>
          </cell>
          <cell r="D1151" t="str">
            <v>MUSTANG</v>
          </cell>
          <cell r="E1151">
            <v>51775</v>
          </cell>
          <cell r="F1151" t="str">
            <v>Grade 2.6</v>
          </cell>
          <cell r="G1151" t="str">
            <v>Inoperable</v>
          </cell>
          <cell r="H1151" t="str">
            <v>No</v>
          </cell>
          <cell r="I1151" t="str">
            <v>Yes</v>
          </cell>
          <cell r="J1151">
            <v>45608</v>
          </cell>
          <cell r="K1151" t="str">
            <v>Yes</v>
          </cell>
          <cell r="L1151">
            <v>44307</v>
          </cell>
          <cell r="M1151">
            <v>235</v>
          </cell>
          <cell r="N1151">
            <v>285</v>
          </cell>
          <cell r="O1151">
            <v>7188.625</v>
          </cell>
          <cell r="P1151">
            <v>12393.636090749291</v>
          </cell>
          <cell r="Q1151">
            <v>7513.18701171875</v>
          </cell>
        </row>
        <row r="1152">
          <cell r="A1152" t="str">
            <v>2G4GW5EV5B9199100</v>
          </cell>
          <cell r="B1152">
            <v>2011</v>
          </cell>
          <cell r="C1152" t="str">
            <v>BUICK</v>
          </cell>
          <cell r="D1152" t="str">
            <v>REGAL</v>
          </cell>
          <cell r="E1152">
            <v>64725</v>
          </cell>
          <cell r="F1152" t="str">
            <v>Grade 1.6</v>
          </cell>
          <cell r="G1152" t="str">
            <v>Green/Yellow</v>
          </cell>
          <cell r="H1152" t="str">
            <v>Yes</v>
          </cell>
          <cell r="I1152" t="str">
            <v>No</v>
          </cell>
          <cell r="J1152">
            <v>45608</v>
          </cell>
          <cell r="K1152" t="str">
            <v>Yes</v>
          </cell>
          <cell r="L1152">
            <v>44307</v>
          </cell>
          <cell r="M1152">
            <v>235</v>
          </cell>
          <cell r="N1152">
            <v>285</v>
          </cell>
          <cell r="O1152">
            <v>2500.587646484375</v>
          </cell>
          <cell r="P1152">
            <v>10715.678166867359</v>
          </cell>
          <cell r="Q1152">
            <v>2282.39501953125</v>
          </cell>
        </row>
        <row r="1153">
          <cell r="A1153" t="str">
            <v>2GKFLVEK4F6271334</v>
          </cell>
          <cell r="B1153">
            <v>2015</v>
          </cell>
          <cell r="C1153" t="str">
            <v>GMC</v>
          </cell>
          <cell r="D1153" t="str">
            <v>TERRAIN</v>
          </cell>
          <cell r="E1153">
            <v>101779</v>
          </cell>
          <cell r="F1153" t="str">
            <v>Grade 2.2</v>
          </cell>
          <cell r="G1153" t="str">
            <v>Red Light</v>
          </cell>
          <cell r="H1153" t="str">
            <v>No</v>
          </cell>
          <cell r="I1153" t="str">
            <v>Yes</v>
          </cell>
          <cell r="J1153">
            <v>45622</v>
          </cell>
          <cell r="K1153" t="str">
            <v>Yes</v>
          </cell>
          <cell r="L1153">
            <v>44307</v>
          </cell>
          <cell r="M1153">
            <v>235</v>
          </cell>
          <cell r="N1153">
            <v>285</v>
          </cell>
          <cell r="O1153">
            <v>4538.65478515625</v>
          </cell>
          <cell r="P1153">
            <v>10030.01243137002</v>
          </cell>
          <cell r="Q1153">
            <v>4386.20361328125</v>
          </cell>
        </row>
        <row r="1154">
          <cell r="A1154" t="str">
            <v>2GKFLXEK5F6171173</v>
          </cell>
          <cell r="B1154">
            <v>2015</v>
          </cell>
          <cell r="C1154" t="str">
            <v>GMC TRUCK</v>
          </cell>
          <cell r="D1154" t="str">
            <v>TERRAIN AWD 4C</v>
          </cell>
          <cell r="E1154">
            <v>63493</v>
          </cell>
          <cell r="F1154" t="str">
            <v>Grade 4.4</v>
          </cell>
          <cell r="G1154" t="str">
            <v>Certified</v>
          </cell>
          <cell r="H1154" t="str">
            <v>Yes</v>
          </cell>
          <cell r="I1154" t="str">
            <v>No</v>
          </cell>
          <cell r="J1154">
            <v>45386</v>
          </cell>
          <cell r="K1154" t="str">
            <v>Yes</v>
          </cell>
          <cell r="L1154">
            <v>44307</v>
          </cell>
          <cell r="M1154">
            <v>235</v>
          </cell>
          <cell r="N1154">
            <v>285</v>
          </cell>
          <cell r="O1154">
            <v>12158.224609375</v>
          </cell>
          <cell r="P1154">
            <v>12136.02185862543</v>
          </cell>
          <cell r="Q1154">
            <v>12070.8740234375</v>
          </cell>
        </row>
        <row r="1155">
          <cell r="A1155" t="str">
            <v>2GNALCEK7H1551766</v>
          </cell>
          <cell r="B1155">
            <v>2017</v>
          </cell>
          <cell r="C1155" t="str">
            <v>CHEVROLET</v>
          </cell>
          <cell r="D1155" t="str">
            <v>EQUINOX</v>
          </cell>
          <cell r="E1155">
            <v>96483</v>
          </cell>
          <cell r="F1155" t="str">
            <v>Grade 2.5</v>
          </cell>
          <cell r="G1155" t="str">
            <v>Red Light</v>
          </cell>
          <cell r="H1155" t="str">
            <v>No</v>
          </cell>
          <cell r="I1155" t="str">
            <v>Yes</v>
          </cell>
          <cell r="J1155">
            <v>45384</v>
          </cell>
          <cell r="K1155" t="str">
            <v>Yes</v>
          </cell>
          <cell r="L1155">
            <v>44307</v>
          </cell>
          <cell r="M1155">
            <v>235</v>
          </cell>
          <cell r="N1155">
            <v>285</v>
          </cell>
          <cell r="O1155">
            <v>4252.591796875</v>
          </cell>
          <cell r="P1155">
            <v>9521.7245807613544</v>
          </cell>
          <cell r="Q1155">
            <v>4334.38916015625</v>
          </cell>
        </row>
        <row r="1156">
          <cell r="A1156" t="str">
            <v>2GNFLEEK1F6340449</v>
          </cell>
          <cell r="B1156">
            <v>2015</v>
          </cell>
          <cell r="C1156" t="str">
            <v>CHEVROLET</v>
          </cell>
          <cell r="D1156" t="str">
            <v>EQUINOX AWD 4C</v>
          </cell>
          <cell r="E1156">
            <v>119968</v>
          </cell>
          <cell r="F1156" t="str">
            <v>Grade 2.0</v>
          </cell>
          <cell r="G1156" t="str">
            <v>Inoperable</v>
          </cell>
          <cell r="H1156" t="str">
            <v>No</v>
          </cell>
          <cell r="I1156" t="str">
            <v>Yes</v>
          </cell>
          <cell r="J1156">
            <v>45421</v>
          </cell>
          <cell r="K1156" t="str">
            <v>Yes</v>
          </cell>
          <cell r="L1156">
            <v>44307</v>
          </cell>
          <cell r="M1156">
            <v>235</v>
          </cell>
          <cell r="N1156">
            <v>285</v>
          </cell>
          <cell r="O1156">
            <v>3031.468994140625</v>
          </cell>
          <cell r="P1156">
            <v>9303.66014861433</v>
          </cell>
          <cell r="Q1156">
            <v>2907.91943359375</v>
          </cell>
        </row>
        <row r="1157">
          <cell r="A1157" t="str">
            <v>2HGFB2F57FH564124</v>
          </cell>
          <cell r="B1157">
            <v>2015</v>
          </cell>
          <cell r="C1157" t="str">
            <v>HONDA</v>
          </cell>
          <cell r="D1157" t="str">
            <v>CIVIC</v>
          </cell>
          <cell r="E1157">
            <v>100211</v>
          </cell>
          <cell r="F1157" t="str">
            <v>Grade 2.7</v>
          </cell>
          <cell r="G1157" t="str">
            <v>Green Light</v>
          </cell>
          <cell r="H1157" t="str">
            <v>Yes</v>
          </cell>
          <cell r="I1157" t="str">
            <v>No</v>
          </cell>
          <cell r="J1157">
            <v>45454</v>
          </cell>
          <cell r="K1157" t="str">
            <v>Yes</v>
          </cell>
          <cell r="L1157">
            <v>44307</v>
          </cell>
          <cell r="M1157">
            <v>235</v>
          </cell>
          <cell r="N1157">
            <v>285</v>
          </cell>
          <cell r="O1157">
            <v>5525.79052734375</v>
          </cell>
          <cell r="P1157">
            <v>9188.6138839878149</v>
          </cell>
          <cell r="Q1157">
            <v>5562.216796875</v>
          </cell>
        </row>
        <row r="1158">
          <cell r="A1158" t="str">
            <v>2HKRM4H79GH718213</v>
          </cell>
          <cell r="B1158">
            <v>2016</v>
          </cell>
          <cell r="C1158" t="str">
            <v>HONDA</v>
          </cell>
          <cell r="D1158" t="str">
            <v>CR V AWD</v>
          </cell>
          <cell r="E1158">
            <v>106000</v>
          </cell>
          <cell r="F1158" t="str">
            <v>Grade 2.4</v>
          </cell>
          <cell r="G1158" t="str">
            <v>Red Light</v>
          </cell>
          <cell r="H1158" t="str">
            <v>No</v>
          </cell>
          <cell r="I1158" t="str">
            <v>Yes</v>
          </cell>
          <cell r="J1158">
            <v>45666</v>
          </cell>
          <cell r="K1158" t="str">
            <v>Yes</v>
          </cell>
          <cell r="L1158">
            <v>44307</v>
          </cell>
          <cell r="M1158">
            <v>235</v>
          </cell>
          <cell r="N1158">
            <v>285</v>
          </cell>
          <cell r="O1158">
            <v>4365.8671875</v>
          </cell>
          <cell r="P1158">
            <v>9110.9952061169242</v>
          </cell>
          <cell r="Q1158">
            <v>4356.724609375</v>
          </cell>
        </row>
        <row r="1159">
          <cell r="A1159" t="str">
            <v>3C3CFFFH8DT528443</v>
          </cell>
          <cell r="B1159">
            <v>2013</v>
          </cell>
          <cell r="C1159" t="str">
            <v>FIAT</v>
          </cell>
          <cell r="D1159">
            <v>500</v>
          </cell>
          <cell r="E1159">
            <v>83081</v>
          </cell>
          <cell r="F1159" t="str">
            <v>Grade 3.6</v>
          </cell>
          <cell r="G1159" t="str">
            <v>Inoperable</v>
          </cell>
          <cell r="H1159" t="str">
            <v>No</v>
          </cell>
          <cell r="I1159" t="str">
            <v>Yes</v>
          </cell>
          <cell r="J1159">
            <v>45580</v>
          </cell>
          <cell r="K1159" t="str">
            <v>Yes</v>
          </cell>
          <cell r="L1159">
            <v>44307</v>
          </cell>
          <cell r="M1159">
            <v>235</v>
          </cell>
          <cell r="N1159">
            <v>285</v>
          </cell>
          <cell r="O1159">
            <v>4570.97412109375</v>
          </cell>
          <cell r="P1159">
            <v>9998.8211388338477</v>
          </cell>
          <cell r="Q1159">
            <v>4413.1611328125</v>
          </cell>
        </row>
        <row r="1160">
          <cell r="A1160" t="str">
            <v>3FA6P0HD2HR132269</v>
          </cell>
          <cell r="B1160">
            <v>2017</v>
          </cell>
          <cell r="C1160" t="str">
            <v>FORD</v>
          </cell>
          <cell r="D1160" t="str">
            <v>FUSION FWD 4C</v>
          </cell>
          <cell r="E1160">
            <v>112551</v>
          </cell>
          <cell r="F1160" t="str">
            <v>Grade 3.4</v>
          </cell>
          <cell r="G1160" t="str">
            <v>Red Light</v>
          </cell>
          <cell r="H1160" t="str">
            <v>No</v>
          </cell>
          <cell r="I1160" t="str">
            <v>Yes</v>
          </cell>
          <cell r="J1160">
            <v>45309</v>
          </cell>
          <cell r="K1160" t="str">
            <v>Yes</v>
          </cell>
          <cell r="L1160">
            <v>44307</v>
          </cell>
          <cell r="M1160">
            <v>235</v>
          </cell>
          <cell r="N1160">
            <v>285</v>
          </cell>
          <cell r="O1160">
            <v>9188.9375</v>
          </cell>
          <cell r="P1160">
            <v>9303.0440264960089</v>
          </cell>
          <cell r="Q1160">
            <v>9488.697265625</v>
          </cell>
        </row>
        <row r="1161">
          <cell r="A1161" t="str">
            <v>3FAHP0HG2CR261754</v>
          </cell>
          <cell r="B1161">
            <v>2012</v>
          </cell>
          <cell r="C1161" t="str">
            <v>FORD</v>
          </cell>
          <cell r="D1161" t="str">
            <v>FUSION FWD V6</v>
          </cell>
          <cell r="E1161">
            <v>174845</v>
          </cell>
          <cell r="F1161" t="str">
            <v>Grade 2.7</v>
          </cell>
          <cell r="G1161" t="str">
            <v>Red Light</v>
          </cell>
          <cell r="H1161" t="str">
            <v>No</v>
          </cell>
          <cell r="I1161" t="str">
            <v>Yes</v>
          </cell>
          <cell r="J1161">
            <v>45610</v>
          </cell>
          <cell r="K1161" t="str">
            <v>Yes</v>
          </cell>
          <cell r="L1161">
            <v>44307</v>
          </cell>
          <cell r="M1161">
            <v>235</v>
          </cell>
          <cell r="N1161">
            <v>285</v>
          </cell>
          <cell r="O1161">
            <v>1352.293701171875</v>
          </cell>
          <cell r="P1161">
            <v>9301.2068014746692</v>
          </cell>
          <cell r="Q1161">
            <v>1414.7646484375</v>
          </cell>
        </row>
        <row r="1162">
          <cell r="A1162" t="str">
            <v>3GNCJPSB6HL218208</v>
          </cell>
          <cell r="B1162">
            <v>2017</v>
          </cell>
          <cell r="C1162" t="str">
            <v>CHEVROLET</v>
          </cell>
          <cell r="D1162" t="str">
            <v>TRAX AWD</v>
          </cell>
          <cell r="E1162">
            <v>66628</v>
          </cell>
          <cell r="F1162" t="str">
            <v>Grade 2.8</v>
          </cell>
          <cell r="G1162" t="str">
            <v>Red Light</v>
          </cell>
          <cell r="H1162" t="str">
            <v>No</v>
          </cell>
          <cell r="I1162" t="str">
            <v>Yes</v>
          </cell>
          <cell r="J1162">
            <v>45617</v>
          </cell>
          <cell r="K1162" t="str">
            <v>Yes</v>
          </cell>
          <cell r="L1162">
            <v>44307</v>
          </cell>
          <cell r="M1162">
            <v>235</v>
          </cell>
          <cell r="N1162">
            <v>285</v>
          </cell>
          <cell r="O1162">
            <v>6507.41552734375</v>
          </cell>
          <cell r="P1162">
            <v>10782.37150325368</v>
          </cell>
          <cell r="Q1162">
            <v>6084.47021484375</v>
          </cell>
        </row>
        <row r="1163">
          <cell r="A1163" t="str">
            <v>3VWL17AJ4HM268467</v>
          </cell>
          <cell r="B1163">
            <v>2017</v>
          </cell>
          <cell r="C1163" t="str">
            <v>VOLKSWAGEN</v>
          </cell>
          <cell r="D1163" t="str">
            <v>JETTA</v>
          </cell>
          <cell r="E1163">
            <v>177122</v>
          </cell>
          <cell r="F1163" t="str">
            <v>Grade 2.8</v>
          </cell>
          <cell r="G1163" t="str">
            <v>Red Light</v>
          </cell>
          <cell r="H1163" t="str">
            <v>No</v>
          </cell>
          <cell r="I1163" t="str">
            <v>Yes</v>
          </cell>
          <cell r="J1163">
            <v>45666</v>
          </cell>
          <cell r="K1163" t="str">
            <v>Yes</v>
          </cell>
          <cell r="L1163">
            <v>44307</v>
          </cell>
          <cell r="M1163">
            <v>235</v>
          </cell>
          <cell r="N1163">
            <v>285</v>
          </cell>
          <cell r="O1163">
            <v>1504.9033203125</v>
          </cell>
          <cell r="P1163">
            <v>8964.4310095377477</v>
          </cell>
          <cell r="Q1163">
            <v>1395.367431640625</v>
          </cell>
        </row>
        <row r="1164">
          <cell r="A1164" t="str">
            <v>4S3GTAB62H3753410</v>
          </cell>
          <cell r="B1164">
            <v>2017</v>
          </cell>
          <cell r="C1164" t="str">
            <v>SUBARU</v>
          </cell>
          <cell r="D1164" t="str">
            <v>IMPREZA</v>
          </cell>
          <cell r="E1164">
            <v>30571</v>
          </cell>
          <cell r="F1164" t="str">
            <v>Grade 4.3</v>
          </cell>
          <cell r="G1164" t="str">
            <v>Certified</v>
          </cell>
          <cell r="H1164" t="str">
            <v>Yes</v>
          </cell>
          <cell r="I1164" t="str">
            <v>No</v>
          </cell>
          <cell r="J1164">
            <v>45510</v>
          </cell>
          <cell r="K1164" t="str">
            <v>Yes</v>
          </cell>
          <cell r="L1164">
            <v>44307</v>
          </cell>
          <cell r="M1164">
            <v>235</v>
          </cell>
          <cell r="N1164">
            <v>285</v>
          </cell>
          <cell r="O1164">
            <v>15938.22265625</v>
          </cell>
          <cell r="P1164">
            <v>12410.74331262845</v>
          </cell>
          <cell r="Q1164">
            <v>16009.3681640625</v>
          </cell>
        </row>
        <row r="1165">
          <cell r="A1165" t="str">
            <v>4T1B11HK3JU579797</v>
          </cell>
          <cell r="B1165">
            <v>2018</v>
          </cell>
          <cell r="C1165" t="str">
            <v>TOYOTA</v>
          </cell>
          <cell r="D1165" t="str">
            <v>CAMRY 4C</v>
          </cell>
          <cell r="E1165">
            <v>114559</v>
          </cell>
          <cell r="F1165" t="str">
            <v>Grade 2.9</v>
          </cell>
          <cell r="G1165" t="str">
            <v>Green/Yellow</v>
          </cell>
          <cell r="H1165" t="str">
            <v>Yes</v>
          </cell>
          <cell r="I1165" t="str">
            <v>No</v>
          </cell>
          <cell r="J1165">
            <v>45715</v>
          </cell>
          <cell r="K1165" t="str">
            <v>Yes</v>
          </cell>
          <cell r="L1165">
            <v>44307</v>
          </cell>
          <cell r="M1165">
            <v>235</v>
          </cell>
          <cell r="N1165">
            <v>285</v>
          </cell>
          <cell r="O1165">
            <v>6335.3203125</v>
          </cell>
          <cell r="P1165">
            <v>9574.1271269589506</v>
          </cell>
          <cell r="Q1165">
            <v>6303.5380859375</v>
          </cell>
        </row>
        <row r="1166">
          <cell r="A1166" t="str">
            <v>5LMCJ1C90HUL09684</v>
          </cell>
          <cell r="B1166">
            <v>2017</v>
          </cell>
          <cell r="C1166" t="str">
            <v>LINCOLN</v>
          </cell>
          <cell r="D1166" t="str">
            <v>MKC</v>
          </cell>
          <cell r="E1166">
            <v>116705</v>
          </cell>
          <cell r="F1166" t="str">
            <v>Grade 3.9</v>
          </cell>
          <cell r="G1166" t="str">
            <v>Certified</v>
          </cell>
          <cell r="H1166" t="str">
            <v>Yes</v>
          </cell>
          <cell r="I1166" t="str">
            <v>No</v>
          </cell>
          <cell r="J1166">
            <v>45706</v>
          </cell>
          <cell r="K1166" t="str">
            <v>Yes</v>
          </cell>
          <cell r="L1166">
            <v>44307</v>
          </cell>
          <cell r="M1166">
            <v>235</v>
          </cell>
          <cell r="N1166">
            <v>285</v>
          </cell>
          <cell r="O1166">
            <v>7748.0263671875</v>
          </cell>
          <cell r="P1166">
            <v>10069.576547875529</v>
          </cell>
          <cell r="Q1166">
            <v>7584.53271484375</v>
          </cell>
        </row>
        <row r="1167">
          <cell r="A1167" t="str">
            <v>5N1AT2MV4FC766720</v>
          </cell>
          <cell r="B1167">
            <v>2015</v>
          </cell>
          <cell r="C1167" t="str">
            <v>NISSAN</v>
          </cell>
          <cell r="D1167" t="str">
            <v>ROGUE</v>
          </cell>
          <cell r="E1167">
            <v>135985</v>
          </cell>
          <cell r="F1167" t="str">
            <v>Grade 0.0</v>
          </cell>
          <cell r="G1167" t="str">
            <v>Inoperable</v>
          </cell>
          <cell r="H1167" t="str">
            <v>No</v>
          </cell>
          <cell r="I1167" t="str">
            <v>Yes</v>
          </cell>
          <cell r="J1167">
            <v>45314</v>
          </cell>
          <cell r="K1167" t="str">
            <v>Yes</v>
          </cell>
          <cell r="L1167">
            <v>44307</v>
          </cell>
          <cell r="M1167">
            <v>235</v>
          </cell>
          <cell r="N1167">
            <v>285</v>
          </cell>
          <cell r="O1167">
            <v>1809.8095703125</v>
          </cell>
          <cell r="P1167">
            <v>8787.1076579567543</v>
          </cell>
          <cell r="Q1167">
            <v>1752.955688476562</v>
          </cell>
        </row>
        <row r="1168">
          <cell r="A1168" t="str">
            <v>5NPEB4AC4DH721219</v>
          </cell>
          <cell r="B1168">
            <v>2013</v>
          </cell>
          <cell r="C1168" t="str">
            <v>HYUNDAI</v>
          </cell>
          <cell r="D1168" t="str">
            <v>SONATA</v>
          </cell>
          <cell r="E1168">
            <v>111483</v>
          </cell>
          <cell r="F1168" t="str">
            <v>Grade 3.2</v>
          </cell>
          <cell r="G1168" t="str">
            <v>Green Light</v>
          </cell>
          <cell r="H1168" t="str">
            <v>Yes</v>
          </cell>
          <cell r="I1168" t="str">
            <v>No</v>
          </cell>
          <cell r="J1168">
            <v>45678</v>
          </cell>
          <cell r="K1168" t="str">
            <v>Yes</v>
          </cell>
          <cell r="L1168">
            <v>44307</v>
          </cell>
          <cell r="M1168">
            <v>235</v>
          </cell>
          <cell r="N1168">
            <v>285</v>
          </cell>
          <cell r="O1168">
            <v>3613.564697265625</v>
          </cell>
          <cell r="P1168">
            <v>8687.3470194083311</v>
          </cell>
          <cell r="Q1168">
            <v>3509.15625</v>
          </cell>
        </row>
        <row r="1169">
          <cell r="A1169" t="str">
            <v>5XYKT3A64FG589254</v>
          </cell>
          <cell r="B1169">
            <v>2015</v>
          </cell>
          <cell r="C1169" t="str">
            <v>KIA</v>
          </cell>
          <cell r="D1169" t="str">
            <v>SORENTO</v>
          </cell>
          <cell r="E1169">
            <v>99848</v>
          </cell>
          <cell r="F1169" t="str">
            <v>Grade 1.3</v>
          </cell>
          <cell r="G1169" t="str">
            <v>Red Light</v>
          </cell>
          <cell r="H1169" t="str">
            <v>No</v>
          </cell>
          <cell r="I1169" t="str">
            <v>Yes</v>
          </cell>
          <cell r="J1169">
            <v>45594</v>
          </cell>
          <cell r="K1169" t="str">
            <v>Yes</v>
          </cell>
          <cell r="L1169">
            <v>44307</v>
          </cell>
          <cell r="M1169">
            <v>235</v>
          </cell>
          <cell r="N1169">
            <v>285</v>
          </cell>
          <cell r="O1169">
            <v>1700.63427734375</v>
          </cell>
          <cell r="P1169">
            <v>8746.0489220570653</v>
          </cell>
          <cell r="Q1169">
            <v>1678.0625</v>
          </cell>
        </row>
        <row r="1170">
          <cell r="A1170" t="str">
            <v>5YFBURHE5JP754701</v>
          </cell>
          <cell r="B1170">
            <v>2018</v>
          </cell>
          <cell r="C1170" t="str">
            <v>TOYOTA</v>
          </cell>
          <cell r="D1170" t="str">
            <v>COROLLA</v>
          </cell>
          <cell r="E1170">
            <v>152737</v>
          </cell>
          <cell r="F1170" t="str">
            <v>Grade 2.0</v>
          </cell>
          <cell r="G1170" t="str">
            <v>Green/Yellow</v>
          </cell>
          <cell r="H1170" t="str">
            <v>Yes</v>
          </cell>
          <cell r="I1170" t="str">
            <v>No</v>
          </cell>
          <cell r="J1170">
            <v>45463</v>
          </cell>
          <cell r="K1170" t="str">
            <v>Yes</v>
          </cell>
          <cell r="L1170">
            <v>44307</v>
          </cell>
          <cell r="M1170">
            <v>235</v>
          </cell>
          <cell r="N1170">
            <v>285</v>
          </cell>
          <cell r="O1170">
            <v>3909.191650390625</v>
          </cell>
          <cell r="P1170">
            <v>9454.4925063241153</v>
          </cell>
          <cell r="Q1170">
            <v>4033.81982421875</v>
          </cell>
        </row>
        <row r="1171">
          <cell r="A1171" t="str">
            <v>JN8AF5MV3FT555414</v>
          </cell>
          <cell r="B1171">
            <v>2015</v>
          </cell>
          <cell r="C1171" t="str">
            <v>NISSAN</v>
          </cell>
          <cell r="D1171" t="str">
            <v>JUKE</v>
          </cell>
          <cell r="E1171">
            <v>88723</v>
          </cell>
          <cell r="F1171" t="str">
            <v>Grade 2.5</v>
          </cell>
          <cell r="G1171" t="str">
            <v>Green/Yellow</v>
          </cell>
          <cell r="H1171" t="str">
            <v>Yes</v>
          </cell>
          <cell r="I1171" t="str">
            <v>No</v>
          </cell>
          <cell r="J1171">
            <v>45622</v>
          </cell>
          <cell r="K1171" t="str">
            <v>Yes</v>
          </cell>
          <cell r="L1171">
            <v>44307</v>
          </cell>
          <cell r="M1171">
            <v>235</v>
          </cell>
          <cell r="N1171">
            <v>285</v>
          </cell>
          <cell r="O1171">
            <v>2866.045654296875</v>
          </cell>
          <cell r="P1171">
            <v>8683.1550136872265</v>
          </cell>
          <cell r="Q1171">
            <v>2697.9189453125</v>
          </cell>
        </row>
        <row r="1172">
          <cell r="A1172" t="str">
            <v>KL4CJASB2HB039990</v>
          </cell>
          <cell r="B1172">
            <v>2017</v>
          </cell>
          <cell r="C1172" t="str">
            <v>BUICK</v>
          </cell>
          <cell r="D1172" t="str">
            <v>ENCORE</v>
          </cell>
          <cell r="E1172">
            <v>52558</v>
          </cell>
          <cell r="F1172" t="str">
            <v>Grade 4.1</v>
          </cell>
          <cell r="G1172" t="str">
            <v>Certified</v>
          </cell>
          <cell r="H1172" t="str">
            <v>Yes</v>
          </cell>
          <cell r="I1172" t="str">
            <v>No</v>
          </cell>
          <cell r="J1172">
            <v>45300</v>
          </cell>
          <cell r="K1172" t="str">
            <v>Yes</v>
          </cell>
          <cell r="L1172">
            <v>44307</v>
          </cell>
          <cell r="M1172">
            <v>235</v>
          </cell>
          <cell r="N1172">
            <v>285</v>
          </cell>
          <cell r="O1172">
            <v>13254.552734375</v>
          </cell>
          <cell r="P1172">
            <v>11969.784107299911</v>
          </cell>
          <cell r="Q1172">
            <v>13268.39453125</v>
          </cell>
        </row>
        <row r="1173">
          <cell r="A1173" t="str">
            <v>KMHD74LF9KU840855</v>
          </cell>
          <cell r="B1173">
            <v>2019</v>
          </cell>
          <cell r="C1173" t="str">
            <v>HYUNDAI</v>
          </cell>
          <cell r="D1173" t="str">
            <v>ELANTRA</v>
          </cell>
          <cell r="E1173">
            <v>75024</v>
          </cell>
          <cell r="F1173" t="str">
            <v>Grade 2.9</v>
          </cell>
          <cell r="G1173" t="str">
            <v>Green Light</v>
          </cell>
          <cell r="H1173" t="str">
            <v>Yes</v>
          </cell>
          <cell r="I1173" t="str">
            <v>No</v>
          </cell>
          <cell r="J1173">
            <v>45538</v>
          </cell>
          <cell r="K1173" t="str">
            <v>Yes</v>
          </cell>
          <cell r="L1173">
            <v>44307</v>
          </cell>
          <cell r="M1173">
            <v>235</v>
          </cell>
          <cell r="N1173">
            <v>285</v>
          </cell>
          <cell r="O1173">
            <v>5198.12890625</v>
          </cell>
          <cell r="P1173">
            <v>9082.1268313388355</v>
          </cell>
          <cell r="Q1173">
            <v>5088.087890625</v>
          </cell>
        </row>
        <row r="1174">
          <cell r="A1174" t="str">
            <v>KMHTC6AE1GU259497</v>
          </cell>
          <cell r="B1174">
            <v>2016</v>
          </cell>
          <cell r="C1174" t="str">
            <v>HYUNDAI</v>
          </cell>
          <cell r="D1174" t="str">
            <v>VELOSTER</v>
          </cell>
          <cell r="E1174">
            <v>149576</v>
          </cell>
          <cell r="F1174" t="str">
            <v>Grade 2.5</v>
          </cell>
          <cell r="G1174" t="str">
            <v>Green Light</v>
          </cell>
          <cell r="H1174" t="str">
            <v>Yes</v>
          </cell>
          <cell r="I1174" t="str">
            <v>No</v>
          </cell>
          <cell r="J1174">
            <v>45561</v>
          </cell>
          <cell r="K1174" t="str">
            <v>Yes</v>
          </cell>
          <cell r="L1174">
            <v>44307</v>
          </cell>
          <cell r="M1174">
            <v>235</v>
          </cell>
          <cell r="N1174">
            <v>285</v>
          </cell>
          <cell r="O1174">
            <v>1380.7998046875</v>
          </cell>
          <cell r="P1174">
            <v>8743.9703324256698</v>
          </cell>
          <cell r="Q1174">
            <v>1385.325439453125</v>
          </cell>
        </row>
        <row r="1175">
          <cell r="A1175" t="str">
            <v>KNAGM4A76F5623573</v>
          </cell>
          <cell r="B1175">
            <v>2015</v>
          </cell>
          <cell r="C1175" t="str">
            <v>KIA</v>
          </cell>
          <cell r="D1175" t="str">
            <v>OPTIMA</v>
          </cell>
          <cell r="E1175">
            <v>131638</v>
          </cell>
          <cell r="F1175" t="str">
            <v>Grade 1.0</v>
          </cell>
          <cell r="G1175" t="str">
            <v>Inoperable</v>
          </cell>
          <cell r="H1175" t="str">
            <v>No</v>
          </cell>
          <cell r="I1175" t="str">
            <v>Yes</v>
          </cell>
          <cell r="J1175">
            <v>45715</v>
          </cell>
          <cell r="K1175" t="str">
            <v>Yes</v>
          </cell>
          <cell r="L1175">
            <v>44307</v>
          </cell>
          <cell r="M1175">
            <v>235</v>
          </cell>
          <cell r="N1175">
            <v>285</v>
          </cell>
          <cell r="O1175">
            <v>928.0894775390625</v>
          </cell>
          <cell r="P1175">
            <v>8517.1996414880796</v>
          </cell>
          <cell r="Q1175">
            <v>1093.274536132812</v>
          </cell>
        </row>
        <row r="1176">
          <cell r="A1176" t="str">
            <v>KNDJ23AU6L7705057</v>
          </cell>
          <cell r="B1176">
            <v>2020</v>
          </cell>
          <cell r="C1176" t="str">
            <v>KIA</v>
          </cell>
          <cell r="D1176" t="str">
            <v>SOUL</v>
          </cell>
          <cell r="E1176">
            <v>15019</v>
          </cell>
          <cell r="F1176" t="str">
            <v>Grade 3.6</v>
          </cell>
          <cell r="G1176" t="str">
            <v>Certified</v>
          </cell>
          <cell r="H1176" t="str">
            <v>Yes</v>
          </cell>
          <cell r="I1176" t="str">
            <v>No</v>
          </cell>
          <cell r="J1176">
            <v>45449</v>
          </cell>
          <cell r="K1176" t="str">
            <v>Yes</v>
          </cell>
          <cell r="L1176">
            <v>44307</v>
          </cell>
          <cell r="M1176">
            <v>235</v>
          </cell>
          <cell r="N1176">
            <v>285</v>
          </cell>
          <cell r="O1176">
            <v>17948.388671875</v>
          </cell>
          <cell r="P1176">
            <v>13258.314009078331</v>
          </cell>
          <cell r="Q1176">
            <v>17773.84765625</v>
          </cell>
        </row>
        <row r="1177">
          <cell r="A1177" t="str">
            <v>KNDJP3A53G7239779</v>
          </cell>
          <cell r="B1177">
            <v>2016</v>
          </cell>
          <cell r="C1177" t="str">
            <v>KIA</v>
          </cell>
          <cell r="D1177" t="str">
            <v>SOUL</v>
          </cell>
          <cell r="E1177">
            <v>116043</v>
          </cell>
          <cell r="F1177" t="str">
            <v>Grade 3.0</v>
          </cell>
          <cell r="G1177" t="str">
            <v>Inoperable</v>
          </cell>
          <cell r="H1177" t="str">
            <v>No</v>
          </cell>
          <cell r="I1177" t="str">
            <v>Yes</v>
          </cell>
          <cell r="J1177">
            <v>45449</v>
          </cell>
          <cell r="K1177" t="str">
            <v>Yes</v>
          </cell>
          <cell r="L1177">
            <v>44307</v>
          </cell>
          <cell r="M1177">
            <v>235</v>
          </cell>
          <cell r="N1177">
            <v>285</v>
          </cell>
          <cell r="O1177">
            <v>4780.30078125</v>
          </cell>
          <cell r="P1177">
            <v>8662.8567628769742</v>
          </cell>
          <cell r="Q1177">
            <v>4670.27197265625</v>
          </cell>
        </row>
        <row r="1178">
          <cell r="A1178" t="str">
            <v>KNDPMCAC1H7282987</v>
          </cell>
          <cell r="B1178">
            <v>2017</v>
          </cell>
          <cell r="C1178" t="str">
            <v>KIA</v>
          </cell>
          <cell r="D1178" t="str">
            <v>SPORTAGE</v>
          </cell>
          <cell r="E1178">
            <v>69612</v>
          </cell>
          <cell r="F1178" t="str">
            <v>Grade 4.5</v>
          </cell>
          <cell r="G1178" t="str">
            <v>Certified</v>
          </cell>
          <cell r="H1178" t="str">
            <v>Yes</v>
          </cell>
          <cell r="I1178" t="str">
            <v>No</v>
          </cell>
          <cell r="J1178">
            <v>45440</v>
          </cell>
          <cell r="K1178" t="str">
            <v>Yes</v>
          </cell>
          <cell r="L1178">
            <v>44307</v>
          </cell>
          <cell r="M1178">
            <v>235</v>
          </cell>
          <cell r="N1178">
            <v>285</v>
          </cell>
          <cell r="O1178">
            <v>9340.134765625</v>
          </cell>
          <cell r="P1178">
            <v>10082.33935996867</v>
          </cell>
          <cell r="Q1178">
            <v>9504.462890625</v>
          </cell>
        </row>
        <row r="1179">
          <cell r="A1179" t="str">
            <v>SALVR2BG0HH218320</v>
          </cell>
          <cell r="B1179">
            <v>2017</v>
          </cell>
          <cell r="C1179" t="str">
            <v>LAND ROVER</v>
          </cell>
          <cell r="D1179" t="str">
            <v>RANGE ROVER EVOQUE</v>
          </cell>
          <cell r="E1179">
            <v>96509</v>
          </cell>
          <cell r="F1179" t="str">
            <v>Grade 1.3</v>
          </cell>
          <cell r="G1179" t="str">
            <v>Red Light</v>
          </cell>
          <cell r="H1179" t="str">
            <v>No</v>
          </cell>
          <cell r="I1179" t="str">
            <v>Yes</v>
          </cell>
          <cell r="J1179">
            <v>45566</v>
          </cell>
          <cell r="K1179" t="str">
            <v>Yes</v>
          </cell>
          <cell r="L1179">
            <v>44307</v>
          </cell>
          <cell r="M1179">
            <v>235</v>
          </cell>
          <cell r="N1179">
            <v>285</v>
          </cell>
          <cell r="O1179">
            <v>5242.2548828125</v>
          </cell>
          <cell r="P1179">
            <v>9556.1262351629921</v>
          </cell>
          <cell r="Q1179">
            <v>5193.2509765625</v>
          </cell>
        </row>
        <row r="1180">
          <cell r="A1180" t="str">
            <v>WAUFFAFL1DN006606</v>
          </cell>
          <cell r="B1180">
            <v>2013</v>
          </cell>
          <cell r="C1180" t="str">
            <v>AUDI</v>
          </cell>
          <cell r="D1180" t="str">
            <v>A4</v>
          </cell>
          <cell r="E1180">
            <v>103897</v>
          </cell>
          <cell r="F1180" t="str">
            <v>Grade 1.1</v>
          </cell>
          <cell r="G1180" t="str">
            <v>Inoperable</v>
          </cell>
          <cell r="H1180" t="str">
            <v>No</v>
          </cell>
          <cell r="I1180" t="str">
            <v>Yes</v>
          </cell>
          <cell r="J1180">
            <v>45454</v>
          </cell>
          <cell r="K1180" t="str">
            <v>Yes</v>
          </cell>
          <cell r="L1180">
            <v>44307</v>
          </cell>
          <cell r="M1180">
            <v>235</v>
          </cell>
          <cell r="N1180">
            <v>285</v>
          </cell>
          <cell r="O1180">
            <v>2500.697021484375</v>
          </cell>
          <cell r="P1180">
            <v>8894.3343208778606</v>
          </cell>
          <cell r="Q1180">
            <v>2338.3408203125</v>
          </cell>
        </row>
        <row r="1181">
          <cell r="A1181" t="str">
            <v>WBAFU7C51DDU68846</v>
          </cell>
          <cell r="B1181">
            <v>2013</v>
          </cell>
          <cell r="C1181" t="str">
            <v>BMW</v>
          </cell>
          <cell r="D1181" t="str">
            <v>535I</v>
          </cell>
          <cell r="E1181">
            <v>129925</v>
          </cell>
          <cell r="F1181" t="str">
            <v>Grade 1.3</v>
          </cell>
          <cell r="G1181" t="str">
            <v>Red Light</v>
          </cell>
          <cell r="H1181" t="str">
            <v>No</v>
          </cell>
          <cell r="I1181" t="str">
            <v>Yes</v>
          </cell>
          <cell r="J1181">
            <v>45678</v>
          </cell>
          <cell r="K1181" t="str">
            <v>Yes</v>
          </cell>
          <cell r="L1181">
            <v>44307</v>
          </cell>
          <cell r="M1181">
            <v>235</v>
          </cell>
          <cell r="N1181">
            <v>285</v>
          </cell>
          <cell r="O1181">
            <v>1650.86572265625</v>
          </cell>
          <cell r="P1181">
            <v>9369.0057240837214</v>
          </cell>
          <cell r="Q1181">
            <v>1645.4267578125</v>
          </cell>
        </row>
        <row r="1182">
          <cell r="A1182" t="str">
            <v>WMWZC5C59GWU03191</v>
          </cell>
          <cell r="B1182">
            <v>2016</v>
          </cell>
          <cell r="C1182" t="str">
            <v>MINI</v>
          </cell>
          <cell r="D1182" t="str">
            <v>COUNTRYMAN</v>
          </cell>
          <cell r="E1182">
            <v>88920</v>
          </cell>
          <cell r="F1182" t="str">
            <v>Grade 4.0</v>
          </cell>
          <cell r="G1182" t="str">
            <v>Certified</v>
          </cell>
          <cell r="H1182" t="str">
            <v>Yes</v>
          </cell>
          <cell r="I1182" t="str">
            <v>No</v>
          </cell>
          <cell r="J1182">
            <v>45706</v>
          </cell>
          <cell r="K1182" t="str">
            <v>Yes</v>
          </cell>
          <cell r="L1182">
            <v>44307</v>
          </cell>
          <cell r="M1182">
            <v>235</v>
          </cell>
          <cell r="N1182">
            <v>285</v>
          </cell>
          <cell r="O1182">
            <v>8096.6650390625</v>
          </cell>
          <cell r="P1182">
            <v>9863.7696328461552</v>
          </cell>
          <cell r="Q1182">
            <v>8182.09619140625</v>
          </cell>
        </row>
        <row r="1183">
          <cell r="A1183" t="str">
            <v>WVGBV7AX7DW501335</v>
          </cell>
          <cell r="B1183">
            <v>2013</v>
          </cell>
          <cell r="C1183" t="str">
            <v>VOLKSWAGEN</v>
          </cell>
          <cell r="D1183" t="str">
            <v>TIGUAN</v>
          </cell>
          <cell r="E1183">
            <v>109542</v>
          </cell>
          <cell r="F1183" t="str">
            <v>Grade 2.5</v>
          </cell>
          <cell r="G1183" t="str">
            <v>Green Light</v>
          </cell>
          <cell r="H1183" t="str">
            <v>Yes</v>
          </cell>
          <cell r="I1183" t="str">
            <v>No</v>
          </cell>
          <cell r="J1183">
            <v>45384</v>
          </cell>
          <cell r="K1183" t="str">
            <v>Yes</v>
          </cell>
          <cell r="L1183">
            <v>44307</v>
          </cell>
          <cell r="M1183">
            <v>235</v>
          </cell>
          <cell r="N1183">
            <v>285</v>
          </cell>
          <cell r="O1183">
            <v>1445.913696289062</v>
          </cell>
          <cell r="P1183">
            <v>8915.4553461324485</v>
          </cell>
          <cell r="Q1183">
            <v>1395.367431640625</v>
          </cell>
        </row>
        <row r="1184">
          <cell r="A1184" t="str">
            <v>1C4HJXDN4MW531395</v>
          </cell>
          <cell r="B1184">
            <v>2021</v>
          </cell>
          <cell r="C1184" t="str">
            <v>JEEP</v>
          </cell>
          <cell r="D1184" t="str">
            <v>WRANGLER UNLIMITED</v>
          </cell>
          <cell r="E1184">
            <v>90061</v>
          </cell>
          <cell r="F1184" t="str">
            <v>Grade 3.4</v>
          </cell>
          <cell r="G1184" t="str">
            <v>Green Light</v>
          </cell>
          <cell r="H1184" t="str">
            <v>Yes</v>
          </cell>
          <cell r="I1184" t="str">
            <v>No</v>
          </cell>
          <cell r="J1184">
            <v>45664</v>
          </cell>
          <cell r="K1184" t="str">
            <v>Yes</v>
          </cell>
          <cell r="L1184">
            <v>44310</v>
          </cell>
          <cell r="M1184">
            <v>235</v>
          </cell>
          <cell r="N1184">
            <v>285</v>
          </cell>
          <cell r="O1184">
            <v>16148.689453125</v>
          </cell>
          <cell r="P1184">
            <v>12552.68770053797</v>
          </cell>
          <cell r="Q1184">
            <v>16009.3681640625</v>
          </cell>
        </row>
        <row r="1185">
          <cell r="A1185" t="str">
            <v>1C4NJPBB6CD686360</v>
          </cell>
          <cell r="B1185">
            <v>2012</v>
          </cell>
          <cell r="C1185" t="str">
            <v>JEEP</v>
          </cell>
          <cell r="D1185" t="str">
            <v>PATRIOT FWD 4C</v>
          </cell>
          <cell r="E1185">
            <v>155337</v>
          </cell>
          <cell r="F1185" t="str">
            <v>Grade 2.4</v>
          </cell>
          <cell r="G1185" t="str">
            <v>Red Light</v>
          </cell>
          <cell r="H1185" t="str">
            <v>No</v>
          </cell>
          <cell r="I1185" t="str">
            <v>Yes</v>
          </cell>
          <cell r="J1185">
            <v>45309</v>
          </cell>
          <cell r="K1185" t="str">
            <v>Yes</v>
          </cell>
          <cell r="L1185">
            <v>44310</v>
          </cell>
          <cell r="M1185">
            <v>235</v>
          </cell>
          <cell r="N1185">
            <v>285</v>
          </cell>
          <cell r="O1185">
            <v>1974.248657226562</v>
          </cell>
          <cell r="P1185">
            <v>9166.0058693990959</v>
          </cell>
          <cell r="Q1185">
            <v>1933.448120117188</v>
          </cell>
        </row>
        <row r="1186">
          <cell r="A1186" t="str">
            <v>1C4PJLCS2FW535671</v>
          </cell>
          <cell r="B1186">
            <v>2015</v>
          </cell>
          <cell r="C1186" t="str">
            <v>JEEP</v>
          </cell>
          <cell r="D1186" t="str">
            <v>CHEROKEE</v>
          </cell>
          <cell r="E1186">
            <v>116459</v>
          </cell>
          <cell r="F1186" t="str">
            <v>Grade 1.4</v>
          </cell>
          <cell r="G1186" t="str">
            <v>Red Light</v>
          </cell>
          <cell r="H1186" t="str">
            <v>No</v>
          </cell>
          <cell r="I1186" t="str">
            <v>Yes</v>
          </cell>
          <cell r="J1186">
            <v>45384</v>
          </cell>
          <cell r="K1186" t="str">
            <v>Yes</v>
          </cell>
          <cell r="L1186">
            <v>44310</v>
          </cell>
          <cell r="M1186">
            <v>235</v>
          </cell>
          <cell r="N1186">
            <v>285</v>
          </cell>
          <cell r="O1186">
            <v>2896.660400390625</v>
          </cell>
          <cell r="P1186">
            <v>9156.3652912480375</v>
          </cell>
          <cell r="Q1186">
            <v>2692.84326171875</v>
          </cell>
        </row>
        <row r="1187">
          <cell r="A1187" t="str">
            <v>1C4PJLCSXHW642776</v>
          </cell>
          <cell r="B1187">
            <v>2017</v>
          </cell>
          <cell r="C1187" t="str">
            <v>JEEP</v>
          </cell>
          <cell r="D1187" t="str">
            <v>CHEROKEE</v>
          </cell>
          <cell r="E1187">
            <v>306077</v>
          </cell>
          <cell r="F1187" t="str">
            <v>Grade 2.8</v>
          </cell>
          <cell r="G1187" t="str">
            <v>Red Light</v>
          </cell>
          <cell r="H1187" t="str">
            <v>No</v>
          </cell>
          <cell r="I1187" t="str">
            <v>Yes</v>
          </cell>
          <cell r="J1187">
            <v>45692</v>
          </cell>
          <cell r="K1187" t="str">
            <v>Yes</v>
          </cell>
          <cell r="L1187">
            <v>44310</v>
          </cell>
          <cell r="M1187">
            <v>235</v>
          </cell>
          <cell r="N1187">
            <v>285</v>
          </cell>
          <cell r="O1187">
            <v>2771.30615234375</v>
          </cell>
          <cell r="P1187">
            <v>9241.3973808588053</v>
          </cell>
          <cell r="Q1187">
            <v>2637.05224609375</v>
          </cell>
        </row>
        <row r="1188">
          <cell r="A1188" t="str">
            <v>1C4PJMCS0GW236543</v>
          </cell>
          <cell r="B1188">
            <v>2016</v>
          </cell>
          <cell r="C1188" t="str">
            <v>JEEP</v>
          </cell>
          <cell r="D1188" t="str">
            <v>CHEROKEE 4X4 V6</v>
          </cell>
          <cell r="E1188">
            <v>147600</v>
          </cell>
          <cell r="F1188" t="str">
            <v>Grade 2.2</v>
          </cell>
          <cell r="G1188" t="str">
            <v>Green Light</v>
          </cell>
          <cell r="H1188" t="str">
            <v>Yes</v>
          </cell>
          <cell r="I1188" t="str">
            <v>No</v>
          </cell>
          <cell r="J1188">
            <v>45666</v>
          </cell>
          <cell r="K1188" t="str">
            <v>Yes</v>
          </cell>
          <cell r="L1188">
            <v>44310</v>
          </cell>
          <cell r="M1188">
            <v>235</v>
          </cell>
          <cell r="N1188">
            <v>285</v>
          </cell>
          <cell r="O1188">
            <v>2401.001953125</v>
          </cell>
          <cell r="P1188">
            <v>9137.3335443210544</v>
          </cell>
          <cell r="Q1188">
            <v>2314.35888671875</v>
          </cell>
        </row>
        <row r="1189">
          <cell r="A1189" t="str">
            <v>1C4PJMLB4KD404933</v>
          </cell>
          <cell r="B1189">
            <v>2019</v>
          </cell>
          <cell r="C1189" t="str">
            <v>JEEP</v>
          </cell>
          <cell r="D1189" t="str">
            <v>CHEROKEE</v>
          </cell>
          <cell r="E1189">
            <v>70454</v>
          </cell>
          <cell r="F1189" t="str">
            <v>Grade 2.8</v>
          </cell>
          <cell r="G1189" t="str">
            <v>Green Light</v>
          </cell>
          <cell r="H1189" t="str">
            <v>Yes</v>
          </cell>
          <cell r="I1189" t="str">
            <v>No</v>
          </cell>
          <cell r="J1189">
            <v>45510</v>
          </cell>
          <cell r="K1189" t="str">
            <v>Yes</v>
          </cell>
          <cell r="L1189">
            <v>44310</v>
          </cell>
          <cell r="M1189">
            <v>235</v>
          </cell>
          <cell r="N1189">
            <v>285</v>
          </cell>
          <cell r="O1189">
            <v>8048.044921875</v>
          </cell>
          <cell r="P1189">
            <v>9824.439623911363</v>
          </cell>
          <cell r="Q1189">
            <v>8049.71630859375</v>
          </cell>
        </row>
        <row r="1190">
          <cell r="A1190" t="str">
            <v>1C4RJFAG5EC448324</v>
          </cell>
          <cell r="B1190">
            <v>2014</v>
          </cell>
          <cell r="C1190" t="str">
            <v>JEEP</v>
          </cell>
          <cell r="D1190" t="str">
            <v>GRAND CHEROKEE</v>
          </cell>
          <cell r="E1190">
            <v>130971</v>
          </cell>
          <cell r="F1190" t="str">
            <v>Grade 2.4</v>
          </cell>
          <cell r="G1190" t="str">
            <v>Green Light</v>
          </cell>
          <cell r="H1190" t="str">
            <v>Yes</v>
          </cell>
          <cell r="I1190" t="str">
            <v>No</v>
          </cell>
          <cell r="J1190">
            <v>45608</v>
          </cell>
          <cell r="K1190" t="str">
            <v>Yes</v>
          </cell>
          <cell r="L1190">
            <v>44310</v>
          </cell>
          <cell r="M1190">
            <v>235</v>
          </cell>
          <cell r="N1190">
            <v>285</v>
          </cell>
          <cell r="O1190">
            <v>2172.670166015625</v>
          </cell>
          <cell r="P1190">
            <v>8840.463244475628</v>
          </cell>
          <cell r="Q1190">
            <v>2103.21630859375</v>
          </cell>
        </row>
        <row r="1191">
          <cell r="A1191" t="str">
            <v>1C4RJFCT7DC650641</v>
          </cell>
          <cell r="B1191">
            <v>2013</v>
          </cell>
          <cell r="C1191" t="str">
            <v>JEEP</v>
          </cell>
          <cell r="D1191" t="str">
            <v>GRAND CHEROKEE</v>
          </cell>
          <cell r="E1191">
            <v>110094</v>
          </cell>
          <cell r="F1191" t="str">
            <v>Grade 1.1</v>
          </cell>
          <cell r="G1191" t="str">
            <v>Inoperable</v>
          </cell>
          <cell r="H1191" t="str">
            <v>No</v>
          </cell>
          <cell r="I1191" t="str">
            <v>Yes</v>
          </cell>
          <cell r="J1191">
            <v>45580</v>
          </cell>
          <cell r="K1191" t="str">
            <v>Yes</v>
          </cell>
          <cell r="L1191">
            <v>44310</v>
          </cell>
          <cell r="M1191">
            <v>235</v>
          </cell>
          <cell r="N1191">
            <v>285</v>
          </cell>
          <cell r="O1191">
            <v>2174.26416015625</v>
          </cell>
          <cell r="P1191">
            <v>8868.2987423111263</v>
          </cell>
          <cell r="Q1191">
            <v>2098.140869140625</v>
          </cell>
        </row>
        <row r="1192">
          <cell r="A1192" t="str">
            <v>1C6RR7FT5JS200876</v>
          </cell>
          <cell r="B1192">
            <v>2018</v>
          </cell>
          <cell r="C1192" t="str">
            <v>RAM</v>
          </cell>
          <cell r="D1192">
            <v>1500</v>
          </cell>
          <cell r="E1192">
            <v>57382</v>
          </cell>
          <cell r="F1192" t="str">
            <v>Grade 4.1</v>
          </cell>
          <cell r="G1192" t="str">
            <v>Green/Yellow</v>
          </cell>
          <cell r="H1192" t="str">
            <v>Yes</v>
          </cell>
          <cell r="I1192" t="str">
            <v>No</v>
          </cell>
          <cell r="J1192">
            <v>45692</v>
          </cell>
          <cell r="K1192" t="str">
            <v>Yes</v>
          </cell>
          <cell r="L1192">
            <v>44310</v>
          </cell>
          <cell r="M1192">
            <v>235</v>
          </cell>
          <cell r="N1192">
            <v>285</v>
          </cell>
          <cell r="O1192">
            <v>17517.97265625</v>
          </cell>
          <cell r="P1192">
            <v>13671.43975269226</v>
          </cell>
          <cell r="Q1192">
            <v>17336.91015625</v>
          </cell>
        </row>
        <row r="1193">
          <cell r="A1193" t="str">
            <v>1FA6P0H72G5116293</v>
          </cell>
          <cell r="B1193">
            <v>2016</v>
          </cell>
          <cell r="C1193" t="str">
            <v>FORD</v>
          </cell>
          <cell r="D1193" t="str">
            <v>FUSION FWD 4C</v>
          </cell>
          <cell r="E1193">
            <v>98524</v>
          </cell>
          <cell r="F1193" t="str">
            <v>Grade 4.1</v>
          </cell>
          <cell r="G1193" t="str">
            <v>Red Light</v>
          </cell>
          <cell r="H1193" t="str">
            <v>No</v>
          </cell>
          <cell r="I1193" t="str">
            <v>Yes</v>
          </cell>
          <cell r="J1193">
            <v>45330</v>
          </cell>
          <cell r="K1193" t="str">
            <v>Yes</v>
          </cell>
          <cell r="L1193">
            <v>44310</v>
          </cell>
          <cell r="M1193">
            <v>235</v>
          </cell>
          <cell r="N1193">
            <v>285</v>
          </cell>
          <cell r="O1193">
            <v>9273.3603515625</v>
          </cell>
          <cell r="P1193">
            <v>10154.541029245731</v>
          </cell>
          <cell r="Q1193">
            <v>9481.7255859375</v>
          </cell>
        </row>
        <row r="1194">
          <cell r="A1194" t="str">
            <v>1FADP3J23JL294658</v>
          </cell>
          <cell r="B1194">
            <v>2018</v>
          </cell>
          <cell r="C1194" t="str">
            <v>FORD</v>
          </cell>
          <cell r="D1194" t="str">
            <v>FOCUS</v>
          </cell>
          <cell r="E1194">
            <v>120681</v>
          </cell>
          <cell r="F1194" t="str">
            <v>Grade 1.8</v>
          </cell>
          <cell r="G1194" t="str">
            <v>Inoperable</v>
          </cell>
          <cell r="H1194" t="str">
            <v>No</v>
          </cell>
          <cell r="I1194" t="str">
            <v>Yes</v>
          </cell>
          <cell r="J1194">
            <v>45566</v>
          </cell>
          <cell r="K1194" t="str">
            <v>Yes</v>
          </cell>
          <cell r="L1194">
            <v>44310</v>
          </cell>
          <cell r="M1194">
            <v>235</v>
          </cell>
          <cell r="N1194">
            <v>285</v>
          </cell>
          <cell r="O1194">
            <v>3646.063720703125</v>
          </cell>
          <cell r="P1194">
            <v>9139.3696974675422</v>
          </cell>
          <cell r="Q1194">
            <v>3488.23046875</v>
          </cell>
        </row>
        <row r="1195">
          <cell r="A1195" t="str">
            <v>1FM5K8B84DGB18448</v>
          </cell>
          <cell r="B1195">
            <v>2013</v>
          </cell>
          <cell r="C1195" t="str">
            <v>FORD</v>
          </cell>
          <cell r="D1195" t="str">
            <v>EXPLORER 4X4 V6</v>
          </cell>
          <cell r="E1195">
            <v>133793</v>
          </cell>
          <cell r="F1195" t="str">
            <v>Grade 2.0</v>
          </cell>
          <cell r="G1195" t="str">
            <v>Green/Yellow</v>
          </cell>
          <cell r="H1195" t="str">
            <v>Yes</v>
          </cell>
          <cell r="I1195" t="str">
            <v>No</v>
          </cell>
          <cell r="J1195">
            <v>45596</v>
          </cell>
          <cell r="K1195" t="str">
            <v>Yes</v>
          </cell>
          <cell r="L1195">
            <v>44310</v>
          </cell>
          <cell r="M1195">
            <v>235</v>
          </cell>
          <cell r="N1195">
            <v>285</v>
          </cell>
          <cell r="O1195">
            <v>1905.083984375</v>
          </cell>
          <cell r="P1195">
            <v>9191.0031059465873</v>
          </cell>
          <cell r="Q1195">
            <v>1785.74853515625</v>
          </cell>
        </row>
        <row r="1196">
          <cell r="A1196" t="str">
            <v>1FMCU0G61LUB91139</v>
          </cell>
          <cell r="B1196">
            <v>2020</v>
          </cell>
          <cell r="C1196" t="str">
            <v>FORD</v>
          </cell>
          <cell r="D1196" t="str">
            <v>ESCAPE FWD 3C</v>
          </cell>
          <cell r="E1196">
            <v>26091</v>
          </cell>
          <cell r="F1196" t="str">
            <v>Grade 4.5</v>
          </cell>
          <cell r="G1196" t="str">
            <v>Certified</v>
          </cell>
          <cell r="H1196" t="str">
            <v>Yes</v>
          </cell>
          <cell r="I1196" t="str">
            <v>No</v>
          </cell>
          <cell r="J1196">
            <v>45463</v>
          </cell>
          <cell r="K1196" t="str">
            <v>Yes</v>
          </cell>
          <cell r="L1196">
            <v>44310</v>
          </cell>
          <cell r="M1196">
            <v>235</v>
          </cell>
          <cell r="N1196">
            <v>285</v>
          </cell>
          <cell r="O1196">
            <v>21181.1875</v>
          </cell>
          <cell r="P1196">
            <v>13716.679963988179</v>
          </cell>
          <cell r="Q1196">
            <v>21094.974609375</v>
          </cell>
        </row>
        <row r="1197">
          <cell r="A1197" t="str">
            <v>1FMCU9GD8HUA15635</v>
          </cell>
          <cell r="B1197">
            <v>2017</v>
          </cell>
          <cell r="C1197" t="str">
            <v>FORD</v>
          </cell>
          <cell r="D1197" t="str">
            <v>ESCAPE 4X4 4C</v>
          </cell>
          <cell r="E1197">
            <v>115649</v>
          </cell>
          <cell r="F1197" t="str">
            <v>Grade 3.2</v>
          </cell>
          <cell r="G1197" t="str">
            <v>Red Light</v>
          </cell>
          <cell r="H1197" t="str">
            <v>No</v>
          </cell>
          <cell r="I1197" t="str">
            <v>Yes</v>
          </cell>
          <cell r="J1197">
            <v>45421</v>
          </cell>
          <cell r="K1197" t="str">
            <v>Yes</v>
          </cell>
          <cell r="L1197">
            <v>44310</v>
          </cell>
          <cell r="M1197">
            <v>235</v>
          </cell>
          <cell r="N1197">
            <v>285</v>
          </cell>
          <cell r="O1197">
            <v>9127.28125</v>
          </cell>
          <cell r="P1197">
            <v>9359.6271739882486</v>
          </cell>
          <cell r="Q1197">
            <v>9199.7333984375</v>
          </cell>
        </row>
        <row r="1198">
          <cell r="A1198" t="str">
            <v>1G11B5SL4EF216160</v>
          </cell>
          <cell r="B1198">
            <v>2014</v>
          </cell>
          <cell r="C1198" t="str">
            <v>CHEVROLET</v>
          </cell>
          <cell r="D1198" t="str">
            <v>MALIBU</v>
          </cell>
          <cell r="E1198">
            <v>128094</v>
          </cell>
          <cell r="F1198" t="str">
            <v>Grade 2.3</v>
          </cell>
          <cell r="G1198" t="str">
            <v>Green Light</v>
          </cell>
          <cell r="H1198" t="str">
            <v>Yes</v>
          </cell>
          <cell r="I1198" t="str">
            <v>No</v>
          </cell>
          <cell r="J1198">
            <v>45512</v>
          </cell>
          <cell r="K1198" t="str">
            <v>Yes</v>
          </cell>
          <cell r="L1198">
            <v>44310</v>
          </cell>
          <cell r="M1198">
            <v>235</v>
          </cell>
          <cell r="N1198">
            <v>285</v>
          </cell>
          <cell r="O1198">
            <v>907.92803955078125</v>
          </cell>
          <cell r="P1198">
            <v>9243.8207252760349</v>
          </cell>
          <cell r="Q1198">
            <v>1109.6123046875</v>
          </cell>
        </row>
        <row r="1199">
          <cell r="A1199" t="str">
            <v>1G11C5SA2DF197571</v>
          </cell>
          <cell r="B1199">
            <v>2013</v>
          </cell>
          <cell r="C1199" t="str">
            <v>CHEVROLET</v>
          </cell>
          <cell r="D1199" t="str">
            <v>MALIBU</v>
          </cell>
          <cell r="E1199">
            <v>147314</v>
          </cell>
          <cell r="F1199" t="str">
            <v>Grade 2.1</v>
          </cell>
          <cell r="G1199" t="str">
            <v>Red Light</v>
          </cell>
          <cell r="H1199" t="str">
            <v>No</v>
          </cell>
          <cell r="I1199" t="str">
            <v>Yes</v>
          </cell>
          <cell r="J1199">
            <v>45435</v>
          </cell>
          <cell r="K1199" t="str">
            <v>Yes</v>
          </cell>
          <cell r="L1199">
            <v>44310</v>
          </cell>
          <cell r="M1199">
            <v>235</v>
          </cell>
          <cell r="N1199">
            <v>285</v>
          </cell>
          <cell r="O1199">
            <v>458.72860717773438</v>
          </cell>
          <cell r="P1199">
            <v>9233.5593235868528</v>
          </cell>
          <cell r="Q1199">
            <v>835.9281005859375</v>
          </cell>
        </row>
        <row r="1200">
          <cell r="A1200" t="str">
            <v>1G11C5SL6EF138462</v>
          </cell>
          <cell r="B1200">
            <v>2014</v>
          </cell>
          <cell r="C1200" t="str">
            <v>CHEVROLET</v>
          </cell>
          <cell r="D1200" t="str">
            <v>MALIBU</v>
          </cell>
          <cell r="E1200">
            <v>136557</v>
          </cell>
          <cell r="F1200" t="str">
            <v>Grade 2.9</v>
          </cell>
          <cell r="G1200" t="str">
            <v>Red Light</v>
          </cell>
          <cell r="H1200" t="str">
            <v>No</v>
          </cell>
          <cell r="I1200" t="str">
            <v>Yes</v>
          </cell>
          <cell r="J1200">
            <v>45365</v>
          </cell>
          <cell r="K1200" t="str">
            <v>Yes</v>
          </cell>
          <cell r="L1200">
            <v>44310</v>
          </cell>
          <cell r="M1200">
            <v>235</v>
          </cell>
          <cell r="N1200">
            <v>285</v>
          </cell>
          <cell r="O1200">
            <v>1125.177001953125</v>
          </cell>
          <cell r="P1200">
            <v>9340.4778560560462</v>
          </cell>
          <cell r="Q1200">
            <v>1310.827270507812</v>
          </cell>
        </row>
        <row r="1201">
          <cell r="A1201" t="str">
            <v>1G1BC5SM0H7183358</v>
          </cell>
          <cell r="B1201">
            <v>2017</v>
          </cell>
          <cell r="C1201" t="str">
            <v>CHEVROLET</v>
          </cell>
          <cell r="D1201" t="str">
            <v>CRUZE</v>
          </cell>
          <cell r="E1201">
            <v>56690</v>
          </cell>
          <cell r="F1201" t="str">
            <v>Grade 2.0</v>
          </cell>
          <cell r="G1201" t="str">
            <v>Green Light</v>
          </cell>
          <cell r="H1201" t="str">
            <v>Yes</v>
          </cell>
          <cell r="I1201" t="str">
            <v>No</v>
          </cell>
          <cell r="J1201">
            <v>45608</v>
          </cell>
          <cell r="K1201" t="str">
            <v>Yes</v>
          </cell>
          <cell r="L1201">
            <v>44310</v>
          </cell>
          <cell r="M1201">
            <v>235</v>
          </cell>
          <cell r="N1201">
            <v>285</v>
          </cell>
          <cell r="O1201">
            <v>6822.37060546875</v>
          </cell>
          <cell r="P1201">
            <v>11343.934820071259</v>
          </cell>
          <cell r="Q1201">
            <v>6409.05224609375</v>
          </cell>
        </row>
        <row r="1202">
          <cell r="A1202" t="str">
            <v>1G1JG6SH9H4167735</v>
          </cell>
          <cell r="B1202">
            <v>2017</v>
          </cell>
          <cell r="C1202" t="str">
            <v>CHEVROLET</v>
          </cell>
          <cell r="D1202" t="str">
            <v>SONIC</v>
          </cell>
          <cell r="E1202">
            <v>83824</v>
          </cell>
          <cell r="F1202" t="str">
            <v>Grade 2.1</v>
          </cell>
          <cell r="G1202" t="str">
            <v>Green/Yellow</v>
          </cell>
          <cell r="H1202" t="str">
            <v>Yes</v>
          </cell>
          <cell r="I1202" t="str">
            <v>No</v>
          </cell>
          <cell r="J1202">
            <v>45344</v>
          </cell>
          <cell r="K1202" t="str">
            <v>Yes</v>
          </cell>
          <cell r="L1202">
            <v>44310</v>
          </cell>
          <cell r="M1202">
            <v>235</v>
          </cell>
          <cell r="N1202">
            <v>285</v>
          </cell>
          <cell r="O1202">
            <v>5884.03857421875</v>
          </cell>
          <cell r="P1202">
            <v>9391.6223241089392</v>
          </cell>
          <cell r="Q1202">
            <v>5910.26318359375</v>
          </cell>
        </row>
        <row r="1203">
          <cell r="A1203" t="str">
            <v>1G1PC5SH8C7147905</v>
          </cell>
          <cell r="B1203">
            <v>2012</v>
          </cell>
          <cell r="C1203" t="str">
            <v>CHEVROLET</v>
          </cell>
          <cell r="D1203" t="str">
            <v>CRUZE</v>
          </cell>
          <cell r="E1203">
            <v>90946</v>
          </cell>
          <cell r="F1203" t="str">
            <v>Grade 2.9</v>
          </cell>
          <cell r="G1203" t="str">
            <v>Red Light</v>
          </cell>
          <cell r="H1203" t="str">
            <v>No</v>
          </cell>
          <cell r="I1203" t="str">
            <v>Yes</v>
          </cell>
          <cell r="J1203">
            <v>45622</v>
          </cell>
          <cell r="K1203" t="str">
            <v>Yes</v>
          </cell>
          <cell r="L1203">
            <v>44310</v>
          </cell>
          <cell r="M1203">
            <v>235</v>
          </cell>
          <cell r="N1203">
            <v>285</v>
          </cell>
          <cell r="O1203">
            <v>2783.58935546875</v>
          </cell>
          <cell r="P1203">
            <v>9500.8485271811642</v>
          </cell>
          <cell r="Q1203">
            <v>2713.12353515625</v>
          </cell>
        </row>
        <row r="1204">
          <cell r="A1204" t="str">
            <v>1G1PE5SB4F7121635</v>
          </cell>
          <cell r="B1204">
            <v>2015</v>
          </cell>
          <cell r="C1204" t="str">
            <v>CHEVROLET</v>
          </cell>
          <cell r="D1204" t="str">
            <v>CRUZE</v>
          </cell>
          <cell r="E1204">
            <v>124428</v>
          </cell>
          <cell r="F1204" t="str">
            <v>Grade 2.4</v>
          </cell>
          <cell r="G1204" t="str">
            <v>Red Light</v>
          </cell>
          <cell r="H1204" t="str">
            <v>No</v>
          </cell>
          <cell r="I1204" t="str">
            <v>Yes</v>
          </cell>
          <cell r="J1204">
            <v>45365</v>
          </cell>
          <cell r="K1204" t="str">
            <v>Yes</v>
          </cell>
          <cell r="L1204">
            <v>44310</v>
          </cell>
          <cell r="M1204">
            <v>235</v>
          </cell>
          <cell r="N1204">
            <v>285</v>
          </cell>
          <cell r="O1204">
            <v>3052.015380859375</v>
          </cell>
          <cell r="P1204">
            <v>9173.1545116774105</v>
          </cell>
          <cell r="Q1204">
            <v>2903.33935546875</v>
          </cell>
        </row>
        <row r="1205">
          <cell r="A1205" t="str">
            <v>1G1ZD5E78BF253526</v>
          </cell>
          <cell r="B1205">
            <v>2011</v>
          </cell>
          <cell r="C1205" t="str">
            <v>CHEVROLET</v>
          </cell>
          <cell r="D1205" t="str">
            <v>MALIBU</v>
          </cell>
          <cell r="E1205">
            <v>52409</v>
          </cell>
          <cell r="F1205" t="str">
            <v>Grade 3.6</v>
          </cell>
          <cell r="G1205" t="str">
            <v>Red Light</v>
          </cell>
          <cell r="H1205" t="str">
            <v>No</v>
          </cell>
          <cell r="I1205" t="str">
            <v>Yes</v>
          </cell>
          <cell r="J1205">
            <v>45720</v>
          </cell>
          <cell r="K1205" t="str">
            <v>Yes</v>
          </cell>
          <cell r="L1205">
            <v>44310</v>
          </cell>
          <cell r="M1205">
            <v>235</v>
          </cell>
          <cell r="N1205">
            <v>285</v>
          </cell>
          <cell r="O1205">
            <v>5802.95751953125</v>
          </cell>
          <cell r="P1205">
            <v>12549.17933699332</v>
          </cell>
          <cell r="Q1205">
            <v>5862.546875</v>
          </cell>
        </row>
        <row r="1206">
          <cell r="A1206" t="str">
            <v>1G1ZE5ST6GF329900</v>
          </cell>
          <cell r="B1206">
            <v>2016</v>
          </cell>
          <cell r="C1206" t="str">
            <v>CHEVROLET</v>
          </cell>
          <cell r="D1206" t="str">
            <v>MALIBU</v>
          </cell>
          <cell r="E1206">
            <v>107467</v>
          </cell>
          <cell r="F1206" t="str">
            <v>Grade 1.4</v>
          </cell>
          <cell r="G1206" t="str">
            <v>Inoperable</v>
          </cell>
          <cell r="H1206" t="str">
            <v>No</v>
          </cell>
          <cell r="I1206" t="str">
            <v>Yes</v>
          </cell>
          <cell r="J1206">
            <v>45664</v>
          </cell>
          <cell r="K1206" t="str">
            <v>Yes</v>
          </cell>
          <cell r="L1206">
            <v>44310</v>
          </cell>
          <cell r="M1206">
            <v>235</v>
          </cell>
          <cell r="N1206">
            <v>285</v>
          </cell>
          <cell r="O1206">
            <v>1602.668701171875</v>
          </cell>
          <cell r="P1206">
            <v>9286.1134826892012</v>
          </cell>
          <cell r="Q1206">
            <v>1575.010375976562</v>
          </cell>
        </row>
        <row r="1207">
          <cell r="A1207" t="str">
            <v>1G4GC5EG7AF302744</v>
          </cell>
          <cell r="B1207">
            <v>2010</v>
          </cell>
          <cell r="C1207" t="str">
            <v>BUICK</v>
          </cell>
          <cell r="D1207" t="str">
            <v>LACROSSE</v>
          </cell>
          <cell r="E1207">
            <v>79367</v>
          </cell>
          <cell r="F1207" t="str">
            <v>Grade 2.6</v>
          </cell>
          <cell r="G1207" t="str">
            <v>Green/Yellow</v>
          </cell>
          <cell r="H1207" t="str">
            <v>Yes</v>
          </cell>
          <cell r="I1207" t="str">
            <v>No</v>
          </cell>
          <cell r="J1207">
            <v>45566</v>
          </cell>
          <cell r="K1207" t="str">
            <v>Yes</v>
          </cell>
          <cell r="L1207">
            <v>44310</v>
          </cell>
          <cell r="M1207">
            <v>235</v>
          </cell>
          <cell r="N1207">
            <v>285</v>
          </cell>
          <cell r="O1207">
            <v>2564.7138671875</v>
          </cell>
          <cell r="P1207">
            <v>9263.4060255431559</v>
          </cell>
          <cell r="Q1207">
            <v>2440.115234375</v>
          </cell>
        </row>
        <row r="1208">
          <cell r="A1208" t="str">
            <v>1GKKNKLA7HZ211928</v>
          </cell>
          <cell r="B1208">
            <v>2017</v>
          </cell>
          <cell r="C1208" t="str">
            <v>GMC</v>
          </cell>
          <cell r="D1208" t="str">
            <v>ACADIA</v>
          </cell>
          <cell r="E1208">
            <v>128840</v>
          </cell>
          <cell r="F1208" t="str">
            <v>Grade 0.0</v>
          </cell>
          <cell r="G1208" t="str">
            <v>Inoperable</v>
          </cell>
          <cell r="H1208" t="str">
            <v>No</v>
          </cell>
          <cell r="I1208" t="str">
            <v>Yes</v>
          </cell>
          <cell r="J1208">
            <v>45468</v>
          </cell>
          <cell r="K1208" t="str">
            <v>Yes</v>
          </cell>
          <cell r="L1208">
            <v>44310</v>
          </cell>
          <cell r="M1208">
            <v>235</v>
          </cell>
          <cell r="N1208">
            <v>285</v>
          </cell>
          <cell r="O1208">
            <v>4908.4287109375</v>
          </cell>
          <cell r="P1208">
            <v>10030.361662812291</v>
          </cell>
          <cell r="Q1208">
            <v>4749.298828125</v>
          </cell>
        </row>
        <row r="1209">
          <cell r="A1209" t="str">
            <v>1GKKNNLS5KZ208365</v>
          </cell>
          <cell r="B1209">
            <v>2019</v>
          </cell>
          <cell r="C1209" t="str">
            <v>GMC</v>
          </cell>
          <cell r="D1209" t="str">
            <v>ACADIA</v>
          </cell>
          <cell r="E1209">
            <v>75606</v>
          </cell>
          <cell r="F1209" t="str">
            <v>Grade 4.7</v>
          </cell>
          <cell r="G1209" t="str">
            <v>Certified</v>
          </cell>
          <cell r="H1209" t="str">
            <v>Yes</v>
          </cell>
          <cell r="I1209" t="str">
            <v>No</v>
          </cell>
          <cell r="J1209">
            <v>45370</v>
          </cell>
          <cell r="K1209" t="str">
            <v>Yes</v>
          </cell>
          <cell r="L1209">
            <v>44310</v>
          </cell>
          <cell r="M1209">
            <v>235</v>
          </cell>
          <cell r="N1209">
            <v>285</v>
          </cell>
          <cell r="O1209">
            <v>18672.30078125</v>
          </cell>
          <cell r="P1209">
            <v>11380.547180896159</v>
          </cell>
          <cell r="Q1209">
            <v>19535.35546875</v>
          </cell>
        </row>
        <row r="1210">
          <cell r="A1210" t="str">
            <v>1GKKVTKD5DJ214126</v>
          </cell>
          <cell r="B1210">
            <v>2013</v>
          </cell>
          <cell r="C1210" t="str">
            <v>GMC</v>
          </cell>
          <cell r="D1210" t="str">
            <v>ACADIA</v>
          </cell>
          <cell r="E1210">
            <v>140390</v>
          </cell>
          <cell r="F1210" t="str">
            <v>Grade 1.6</v>
          </cell>
          <cell r="G1210" t="str">
            <v>Red Light</v>
          </cell>
          <cell r="H1210" t="str">
            <v>No</v>
          </cell>
          <cell r="I1210" t="str">
            <v>Yes</v>
          </cell>
          <cell r="J1210">
            <v>45566</v>
          </cell>
          <cell r="K1210" t="str">
            <v>Yes</v>
          </cell>
          <cell r="L1210">
            <v>44310</v>
          </cell>
          <cell r="M1210">
            <v>235</v>
          </cell>
          <cell r="N1210">
            <v>285</v>
          </cell>
          <cell r="O1210">
            <v>2042.547973632812</v>
          </cell>
          <cell r="P1210">
            <v>9961.5791787336129</v>
          </cell>
          <cell r="Q1210">
            <v>2001.450805664062</v>
          </cell>
        </row>
        <row r="1211">
          <cell r="A1211" t="str">
            <v>1HGCS2B88BA004155</v>
          </cell>
          <cell r="B1211">
            <v>2011</v>
          </cell>
          <cell r="C1211" t="str">
            <v>HONDA</v>
          </cell>
          <cell r="D1211" t="str">
            <v>ACCORD</v>
          </cell>
          <cell r="E1211">
            <v>117143</v>
          </cell>
          <cell r="F1211" t="str">
            <v>Grade 2.2</v>
          </cell>
          <cell r="G1211" t="str">
            <v>Green/Yellow</v>
          </cell>
          <cell r="H1211" t="str">
            <v>Yes</v>
          </cell>
          <cell r="I1211" t="str">
            <v>No</v>
          </cell>
          <cell r="J1211">
            <v>45510</v>
          </cell>
          <cell r="K1211" t="str">
            <v>Yes</v>
          </cell>
          <cell r="L1211">
            <v>44310</v>
          </cell>
          <cell r="M1211">
            <v>235</v>
          </cell>
          <cell r="N1211">
            <v>285</v>
          </cell>
          <cell r="O1211">
            <v>2409.291015625</v>
          </cell>
          <cell r="P1211">
            <v>9012.0232585279882</v>
          </cell>
          <cell r="Q1211">
            <v>2314.35888671875</v>
          </cell>
        </row>
        <row r="1212">
          <cell r="A1212" t="str">
            <v>1N4AL3AP2GN372564</v>
          </cell>
          <cell r="B1212">
            <v>2016</v>
          </cell>
          <cell r="C1212" t="str">
            <v>NISSAN</v>
          </cell>
          <cell r="D1212" t="str">
            <v>ALTIMA 4C</v>
          </cell>
          <cell r="E1212">
            <v>93172</v>
          </cell>
          <cell r="F1212" t="str">
            <v>Grade 3.0</v>
          </cell>
          <cell r="G1212" t="str">
            <v>Green Light</v>
          </cell>
          <cell r="H1212" t="str">
            <v>Yes</v>
          </cell>
          <cell r="I1212" t="str">
            <v>No</v>
          </cell>
          <cell r="J1212">
            <v>45344</v>
          </cell>
          <cell r="K1212" t="str">
            <v>Yes</v>
          </cell>
          <cell r="L1212">
            <v>44310</v>
          </cell>
          <cell r="M1212">
            <v>235</v>
          </cell>
          <cell r="N1212">
            <v>285</v>
          </cell>
          <cell r="O1212">
            <v>7000.56298828125</v>
          </cell>
          <cell r="P1212">
            <v>9066.4382951551397</v>
          </cell>
          <cell r="Q1212">
            <v>7060.51123046875</v>
          </cell>
        </row>
        <row r="1213">
          <cell r="A1213" t="str">
            <v>2C4RC1BG8CR258954</v>
          </cell>
          <cell r="B1213">
            <v>2012</v>
          </cell>
          <cell r="C1213" t="str">
            <v>CHRYSLER</v>
          </cell>
          <cell r="D1213" t="str">
            <v>TOWN &amp; COUNTRY</v>
          </cell>
          <cell r="E1213">
            <v>160510</v>
          </cell>
          <cell r="F1213" t="str">
            <v>Grade 1.6</v>
          </cell>
          <cell r="G1213" t="str">
            <v>Inoperable</v>
          </cell>
          <cell r="H1213" t="str">
            <v>No</v>
          </cell>
          <cell r="I1213" t="str">
            <v>Yes</v>
          </cell>
          <cell r="J1213">
            <v>45407</v>
          </cell>
          <cell r="K1213" t="str">
            <v>Yes</v>
          </cell>
          <cell r="L1213">
            <v>44310</v>
          </cell>
          <cell r="M1213">
            <v>235</v>
          </cell>
          <cell r="N1213">
            <v>285</v>
          </cell>
          <cell r="O1213">
            <v>749.35577392578125</v>
          </cell>
          <cell r="P1213">
            <v>8662.7065595077001</v>
          </cell>
          <cell r="Q1213">
            <v>932.59674072265625</v>
          </cell>
        </row>
        <row r="1214">
          <cell r="A1214" t="str">
            <v>2C4RDGBG9ER212973</v>
          </cell>
          <cell r="B1214">
            <v>2014</v>
          </cell>
          <cell r="C1214" t="str">
            <v>DODGE</v>
          </cell>
          <cell r="D1214" t="str">
            <v>GRAND CARAVAN</v>
          </cell>
          <cell r="E1214">
            <v>121474</v>
          </cell>
          <cell r="F1214" t="str">
            <v>Grade 3.7</v>
          </cell>
          <cell r="G1214" t="str">
            <v>Red Light</v>
          </cell>
          <cell r="H1214" t="str">
            <v>No</v>
          </cell>
          <cell r="I1214" t="str">
            <v>Yes</v>
          </cell>
          <cell r="J1214">
            <v>45589</v>
          </cell>
          <cell r="K1214" t="str">
            <v>Yes</v>
          </cell>
          <cell r="L1214">
            <v>44310</v>
          </cell>
          <cell r="M1214">
            <v>235</v>
          </cell>
          <cell r="N1214">
            <v>285</v>
          </cell>
          <cell r="O1214">
            <v>5372.39697265625</v>
          </cell>
          <cell r="P1214">
            <v>9795.8923538582549</v>
          </cell>
          <cell r="Q1214">
            <v>5435.9052734375</v>
          </cell>
        </row>
        <row r="1215">
          <cell r="A1215" t="str">
            <v>2FMPK3J81JBC37008</v>
          </cell>
          <cell r="B1215">
            <v>2018</v>
          </cell>
          <cell r="C1215" t="str">
            <v>FORD</v>
          </cell>
          <cell r="D1215" t="str">
            <v>EDGE</v>
          </cell>
          <cell r="E1215">
            <v>67447</v>
          </cell>
          <cell r="F1215" t="str">
            <v>Grade 3.8</v>
          </cell>
          <cell r="G1215" t="str">
            <v>Red Light</v>
          </cell>
          <cell r="H1215" t="str">
            <v>No</v>
          </cell>
          <cell r="I1215" t="str">
            <v>Yes</v>
          </cell>
          <cell r="J1215">
            <v>45622</v>
          </cell>
          <cell r="K1215" t="str">
            <v>Yes</v>
          </cell>
          <cell r="L1215">
            <v>44310</v>
          </cell>
          <cell r="M1215">
            <v>235</v>
          </cell>
          <cell r="N1215">
            <v>285</v>
          </cell>
          <cell r="O1215">
            <v>12255.505859375</v>
          </cell>
          <cell r="P1215">
            <v>10799.14936178435</v>
          </cell>
          <cell r="Q1215">
            <v>12337.619140625</v>
          </cell>
        </row>
        <row r="1216">
          <cell r="A1216" t="str">
            <v>2G1FD1E32F9232193</v>
          </cell>
          <cell r="B1216">
            <v>2015</v>
          </cell>
          <cell r="C1216" t="str">
            <v>CHEVROLET</v>
          </cell>
          <cell r="D1216" t="str">
            <v>CAMARO</v>
          </cell>
          <cell r="E1216">
            <v>79298</v>
          </cell>
          <cell r="F1216" t="str">
            <v>Grade 4.4</v>
          </cell>
          <cell r="G1216" t="str">
            <v>Certified</v>
          </cell>
          <cell r="H1216" t="str">
            <v>Yes</v>
          </cell>
          <cell r="I1216" t="str">
            <v>No</v>
          </cell>
          <cell r="J1216">
            <v>45664</v>
          </cell>
          <cell r="K1216" t="str">
            <v>Yes</v>
          </cell>
          <cell r="L1216">
            <v>44310</v>
          </cell>
          <cell r="M1216">
            <v>235</v>
          </cell>
          <cell r="N1216">
            <v>285</v>
          </cell>
          <cell r="O1216">
            <v>10171.390625</v>
          </cell>
          <cell r="P1216">
            <v>10660.092018694701</v>
          </cell>
          <cell r="Q1216">
            <v>10209.0009765625</v>
          </cell>
        </row>
        <row r="1217">
          <cell r="A1217" t="str">
            <v>2GKFLTEK8C6274592</v>
          </cell>
          <cell r="B1217">
            <v>2012</v>
          </cell>
          <cell r="C1217" t="str">
            <v>GMC</v>
          </cell>
          <cell r="D1217" t="str">
            <v>TERRAIN</v>
          </cell>
          <cell r="E1217">
            <v>88650</v>
          </cell>
          <cell r="F1217" t="str">
            <v>Grade 2.2</v>
          </cell>
          <cell r="G1217" t="str">
            <v>Green/Yellow</v>
          </cell>
          <cell r="H1217" t="str">
            <v>Yes</v>
          </cell>
          <cell r="I1217" t="str">
            <v>No</v>
          </cell>
          <cell r="J1217">
            <v>45384</v>
          </cell>
          <cell r="K1217" t="str">
            <v>Yes</v>
          </cell>
          <cell r="L1217">
            <v>44310</v>
          </cell>
          <cell r="M1217">
            <v>235</v>
          </cell>
          <cell r="N1217">
            <v>285</v>
          </cell>
          <cell r="O1217">
            <v>2696.27099609375</v>
          </cell>
          <cell r="P1217">
            <v>10152.42053180459</v>
          </cell>
          <cell r="Q1217">
            <v>2488.593017578125</v>
          </cell>
        </row>
        <row r="1218">
          <cell r="A1218" t="str">
            <v>2HGFB2F96EH547901</v>
          </cell>
          <cell r="B1218">
            <v>2014</v>
          </cell>
          <cell r="C1218" t="str">
            <v>HONDA</v>
          </cell>
          <cell r="D1218" t="str">
            <v>CIVIC</v>
          </cell>
          <cell r="E1218">
            <v>113284</v>
          </cell>
          <cell r="F1218" t="str">
            <v>Grade 3.2</v>
          </cell>
          <cell r="G1218" t="str">
            <v>Green Light</v>
          </cell>
          <cell r="H1218" t="str">
            <v>Yes</v>
          </cell>
          <cell r="I1218" t="str">
            <v>No</v>
          </cell>
          <cell r="J1218">
            <v>45454</v>
          </cell>
          <cell r="K1218" t="str">
            <v>Yes</v>
          </cell>
          <cell r="L1218">
            <v>44310</v>
          </cell>
          <cell r="M1218">
            <v>235</v>
          </cell>
          <cell r="N1218">
            <v>285</v>
          </cell>
          <cell r="O1218">
            <v>6606.3037109375</v>
          </cell>
          <cell r="P1218">
            <v>9123.1572516842189</v>
          </cell>
          <cell r="Q1218">
            <v>6627.66259765625</v>
          </cell>
        </row>
        <row r="1219">
          <cell r="A1219" t="str">
            <v>2T1BURHE9GC599773</v>
          </cell>
          <cell r="B1219">
            <v>2016</v>
          </cell>
          <cell r="C1219" t="str">
            <v>TOYOTA</v>
          </cell>
          <cell r="D1219" t="str">
            <v>COROLLA</v>
          </cell>
          <cell r="E1219">
            <v>82599</v>
          </cell>
          <cell r="F1219" t="str">
            <v>Grade 2.4</v>
          </cell>
          <cell r="G1219" t="str">
            <v>Green Light</v>
          </cell>
          <cell r="H1219" t="str">
            <v>Yes</v>
          </cell>
          <cell r="I1219" t="str">
            <v>No</v>
          </cell>
          <cell r="J1219">
            <v>45412</v>
          </cell>
          <cell r="K1219" t="str">
            <v>Yes</v>
          </cell>
          <cell r="L1219">
            <v>44310</v>
          </cell>
          <cell r="M1219">
            <v>235</v>
          </cell>
          <cell r="N1219">
            <v>285</v>
          </cell>
          <cell r="O1219">
            <v>5659.69482421875</v>
          </cell>
          <cell r="P1219">
            <v>9541.8341124331946</v>
          </cell>
          <cell r="Q1219">
            <v>5701.3681640625</v>
          </cell>
        </row>
        <row r="1220">
          <cell r="A1220" t="str">
            <v>3C3CFFCR3DT634196</v>
          </cell>
          <cell r="B1220">
            <v>2013</v>
          </cell>
          <cell r="C1220" t="str">
            <v>FIAT</v>
          </cell>
          <cell r="D1220">
            <v>500</v>
          </cell>
          <cell r="E1220">
            <v>94060</v>
          </cell>
          <cell r="F1220" t="str">
            <v>Grade 1.6</v>
          </cell>
          <cell r="G1220" t="str">
            <v>Inoperable</v>
          </cell>
          <cell r="H1220" t="str">
            <v>No</v>
          </cell>
          <cell r="I1220" t="str">
            <v>Yes</v>
          </cell>
          <cell r="J1220">
            <v>45398</v>
          </cell>
          <cell r="K1220" t="str">
            <v>Yes</v>
          </cell>
          <cell r="L1220">
            <v>44310</v>
          </cell>
          <cell r="M1220">
            <v>235</v>
          </cell>
          <cell r="N1220">
            <v>285</v>
          </cell>
          <cell r="O1220">
            <v>1930.558349609375</v>
          </cell>
          <cell r="P1220">
            <v>9136.3977033454885</v>
          </cell>
          <cell r="Q1220">
            <v>1885.53759765625</v>
          </cell>
        </row>
        <row r="1221">
          <cell r="A1221" t="str">
            <v>3C3CFFKR3HT561337</v>
          </cell>
          <cell r="B1221">
            <v>2017</v>
          </cell>
          <cell r="C1221" t="str">
            <v>FIAT</v>
          </cell>
          <cell r="D1221">
            <v>500</v>
          </cell>
          <cell r="E1221">
            <v>51440</v>
          </cell>
          <cell r="F1221" t="str">
            <v>Grade 2.4</v>
          </cell>
          <cell r="G1221" t="str">
            <v>Green/Yellow</v>
          </cell>
          <cell r="H1221" t="str">
            <v>Yes</v>
          </cell>
          <cell r="I1221" t="str">
            <v>No</v>
          </cell>
          <cell r="J1221">
            <v>45566</v>
          </cell>
          <cell r="K1221" t="str">
            <v>Yes</v>
          </cell>
          <cell r="L1221">
            <v>44310</v>
          </cell>
          <cell r="M1221">
            <v>235</v>
          </cell>
          <cell r="N1221">
            <v>285</v>
          </cell>
          <cell r="O1221">
            <v>4753.00244140625</v>
          </cell>
          <cell r="P1221">
            <v>11192.329462812721</v>
          </cell>
          <cell r="Q1221">
            <v>4550.703125</v>
          </cell>
        </row>
        <row r="1222">
          <cell r="A1222" t="str">
            <v>3C4NJDCB1KT843136</v>
          </cell>
          <cell r="B1222">
            <v>2019</v>
          </cell>
          <cell r="C1222" t="str">
            <v>JEEP</v>
          </cell>
          <cell r="D1222" t="str">
            <v>COMPASS</v>
          </cell>
          <cell r="E1222">
            <v>65791</v>
          </cell>
          <cell r="F1222" t="str">
            <v>Grade 4.1</v>
          </cell>
          <cell r="G1222" t="str">
            <v>Certified</v>
          </cell>
          <cell r="H1222" t="str">
            <v>Yes</v>
          </cell>
          <cell r="I1222" t="str">
            <v>No</v>
          </cell>
          <cell r="J1222">
            <v>45454</v>
          </cell>
          <cell r="K1222" t="str">
            <v>Yes</v>
          </cell>
          <cell r="L1222">
            <v>44310</v>
          </cell>
          <cell r="M1222">
            <v>235</v>
          </cell>
          <cell r="N1222">
            <v>285</v>
          </cell>
          <cell r="O1222">
            <v>12597.9912109375</v>
          </cell>
          <cell r="P1222">
            <v>11628.37089904073</v>
          </cell>
          <cell r="Q1222">
            <v>12626.3740234375</v>
          </cell>
        </row>
        <row r="1223">
          <cell r="A1223" t="str">
            <v>3C4NJDCB7MT586549</v>
          </cell>
          <cell r="B1223">
            <v>2021</v>
          </cell>
          <cell r="C1223" t="str">
            <v>JEEP</v>
          </cell>
          <cell r="D1223" t="str">
            <v>COMPASS</v>
          </cell>
          <cell r="E1223">
            <v>72631</v>
          </cell>
          <cell r="F1223" t="str">
            <v>Grade 3.5</v>
          </cell>
          <cell r="G1223" t="str">
            <v>Green Light</v>
          </cell>
          <cell r="H1223" t="str">
            <v>Yes</v>
          </cell>
          <cell r="I1223" t="str">
            <v>No</v>
          </cell>
          <cell r="J1223">
            <v>45664</v>
          </cell>
          <cell r="K1223" t="str">
            <v>Yes</v>
          </cell>
          <cell r="L1223">
            <v>44310</v>
          </cell>
          <cell r="M1223">
            <v>235</v>
          </cell>
          <cell r="N1223">
            <v>285</v>
          </cell>
          <cell r="O1223">
            <v>14668.5966796875</v>
          </cell>
          <cell r="P1223">
            <v>11831.042132744211</v>
          </cell>
          <cell r="Q1223">
            <v>14677.58203125</v>
          </cell>
        </row>
        <row r="1224">
          <cell r="A1224" t="str">
            <v>3C4PDCAB3ET209859</v>
          </cell>
          <cell r="B1224">
            <v>2014</v>
          </cell>
          <cell r="C1224" t="str">
            <v>DODGE</v>
          </cell>
          <cell r="D1224" t="str">
            <v>JOURNEY</v>
          </cell>
          <cell r="E1224">
            <v>131574</v>
          </cell>
          <cell r="F1224" t="str">
            <v>Grade 1.0</v>
          </cell>
          <cell r="G1224" t="str">
            <v>Inoperable</v>
          </cell>
          <cell r="H1224" t="str">
            <v>No</v>
          </cell>
          <cell r="I1224" t="str">
            <v>Yes</v>
          </cell>
          <cell r="J1224">
            <v>45426</v>
          </cell>
          <cell r="K1224" t="str">
            <v>Yes</v>
          </cell>
          <cell r="L1224">
            <v>44310</v>
          </cell>
          <cell r="M1224">
            <v>235</v>
          </cell>
          <cell r="N1224">
            <v>285</v>
          </cell>
          <cell r="O1224">
            <v>2339.989990234375</v>
          </cell>
          <cell r="P1224">
            <v>8752.2022910083597</v>
          </cell>
          <cell r="Q1224">
            <v>2231.85693359375</v>
          </cell>
        </row>
        <row r="1225">
          <cell r="A1225" t="str">
            <v>3FA6P0HD3HR415764</v>
          </cell>
          <cell r="B1225">
            <v>2017</v>
          </cell>
          <cell r="C1225" t="str">
            <v>FORD</v>
          </cell>
          <cell r="D1225" t="str">
            <v>FUSION</v>
          </cell>
          <cell r="E1225">
            <v>66059</v>
          </cell>
          <cell r="F1225" t="str">
            <v>Grade 3.0</v>
          </cell>
          <cell r="G1225" t="str">
            <v>Red Light</v>
          </cell>
          <cell r="H1225" t="str">
            <v>No</v>
          </cell>
          <cell r="I1225" t="str">
            <v>Yes</v>
          </cell>
          <cell r="J1225">
            <v>45356</v>
          </cell>
          <cell r="K1225" t="str">
            <v>Yes</v>
          </cell>
          <cell r="L1225">
            <v>44310</v>
          </cell>
          <cell r="M1225">
            <v>235</v>
          </cell>
          <cell r="N1225">
            <v>285</v>
          </cell>
          <cell r="O1225">
            <v>12226.5869140625</v>
          </cell>
          <cell r="P1225">
            <v>10577.552972047921</v>
          </cell>
          <cell r="Q1225">
            <v>12337.619140625</v>
          </cell>
        </row>
        <row r="1226">
          <cell r="A1226" t="str">
            <v>3FADP4EJXKM148359</v>
          </cell>
          <cell r="B1226">
            <v>2019</v>
          </cell>
          <cell r="C1226" t="str">
            <v>FORD</v>
          </cell>
          <cell r="D1226" t="str">
            <v>FIESTA</v>
          </cell>
          <cell r="E1226">
            <v>227861</v>
          </cell>
          <cell r="F1226" t="str">
            <v>Grade 2.6</v>
          </cell>
          <cell r="G1226" t="str">
            <v>Red Light</v>
          </cell>
          <cell r="H1226" t="str">
            <v>No</v>
          </cell>
          <cell r="I1226" t="str">
            <v>Yes</v>
          </cell>
          <cell r="J1226">
            <v>45678</v>
          </cell>
          <cell r="K1226" t="str">
            <v>Yes</v>
          </cell>
          <cell r="L1226">
            <v>44310</v>
          </cell>
          <cell r="M1226">
            <v>235</v>
          </cell>
          <cell r="N1226">
            <v>285</v>
          </cell>
          <cell r="O1226">
            <v>4600.2451171875</v>
          </cell>
          <cell r="P1226">
            <v>9386.2627001086985</v>
          </cell>
          <cell r="Q1226">
            <v>4494.11474609375</v>
          </cell>
        </row>
        <row r="1227">
          <cell r="A1227" t="str">
            <v>3GKALPEV8LL205151</v>
          </cell>
          <cell r="B1227">
            <v>2020</v>
          </cell>
          <cell r="C1227" t="str">
            <v>GMC TRUCK</v>
          </cell>
          <cell r="D1227" t="str">
            <v>TERRAIN FWD 4C</v>
          </cell>
          <cell r="E1227">
            <v>46239</v>
          </cell>
          <cell r="F1227" t="str">
            <v>Grade 3.8</v>
          </cell>
          <cell r="G1227" t="str">
            <v>Green Light</v>
          </cell>
          <cell r="H1227" t="str">
            <v>Yes</v>
          </cell>
          <cell r="I1227" t="str">
            <v>No</v>
          </cell>
          <cell r="J1227">
            <v>45484</v>
          </cell>
          <cell r="K1227" t="str">
            <v>Yes</v>
          </cell>
          <cell r="L1227">
            <v>44310</v>
          </cell>
          <cell r="M1227">
            <v>235</v>
          </cell>
          <cell r="N1227">
            <v>285</v>
          </cell>
          <cell r="O1227">
            <v>17727.978515625</v>
          </cell>
          <cell r="P1227">
            <v>13628.520589209829</v>
          </cell>
          <cell r="Q1227">
            <v>17336.91015625</v>
          </cell>
        </row>
        <row r="1228">
          <cell r="A1228" t="str">
            <v>3GNAXUEV4MS137556</v>
          </cell>
          <cell r="B1228">
            <v>2021</v>
          </cell>
          <cell r="C1228" t="str">
            <v>CHEVROLET</v>
          </cell>
          <cell r="D1228" t="str">
            <v>EQUINOX</v>
          </cell>
          <cell r="E1228">
            <v>76640</v>
          </cell>
          <cell r="F1228" t="str">
            <v>Grade 4.5</v>
          </cell>
          <cell r="G1228" t="str">
            <v>Green/Yellow</v>
          </cell>
          <cell r="H1228" t="str">
            <v>Yes</v>
          </cell>
          <cell r="I1228" t="str">
            <v>No</v>
          </cell>
          <cell r="J1228">
            <v>45636</v>
          </cell>
          <cell r="K1228" t="str">
            <v>Yes</v>
          </cell>
          <cell r="L1228">
            <v>44310</v>
          </cell>
          <cell r="M1228">
            <v>235</v>
          </cell>
          <cell r="N1228">
            <v>285</v>
          </cell>
          <cell r="O1228">
            <v>16516.01953125</v>
          </cell>
          <cell r="P1228">
            <v>12490.955625704881</v>
          </cell>
          <cell r="Q1228">
            <v>16808.478515625</v>
          </cell>
        </row>
        <row r="1229">
          <cell r="A1229" t="str">
            <v>3KPF24AD0ME334099</v>
          </cell>
          <cell r="B1229">
            <v>2021</v>
          </cell>
          <cell r="C1229" t="str">
            <v>KIA</v>
          </cell>
          <cell r="D1229" t="str">
            <v>FORTE</v>
          </cell>
          <cell r="E1229">
            <v>139358</v>
          </cell>
          <cell r="F1229" t="str">
            <v>Grade 3.0</v>
          </cell>
          <cell r="G1229" t="str">
            <v>Inoperable</v>
          </cell>
          <cell r="H1229" t="str">
            <v>No</v>
          </cell>
          <cell r="I1229" t="str">
            <v>Yes</v>
          </cell>
          <cell r="J1229">
            <v>45715</v>
          </cell>
          <cell r="K1229" t="str">
            <v>Yes</v>
          </cell>
          <cell r="L1229">
            <v>44310</v>
          </cell>
          <cell r="M1229">
            <v>235</v>
          </cell>
          <cell r="N1229">
            <v>285</v>
          </cell>
          <cell r="O1229">
            <v>7629.390625</v>
          </cell>
          <cell r="P1229">
            <v>11525.11786604219</v>
          </cell>
          <cell r="Q1229">
            <v>7132.66064453125</v>
          </cell>
        </row>
        <row r="1230">
          <cell r="A1230" t="str">
            <v>3KPF24AD2LE170787</v>
          </cell>
          <cell r="B1230">
            <v>2020</v>
          </cell>
          <cell r="C1230" t="str">
            <v>KIA</v>
          </cell>
          <cell r="D1230" t="str">
            <v>FORTE</v>
          </cell>
          <cell r="E1230">
            <v>75331</v>
          </cell>
          <cell r="F1230" t="str">
            <v>Grade 2.7</v>
          </cell>
          <cell r="G1230" t="str">
            <v>Inoperable</v>
          </cell>
          <cell r="H1230" t="str">
            <v>No</v>
          </cell>
          <cell r="I1230" t="str">
            <v>Yes</v>
          </cell>
          <cell r="J1230">
            <v>45470</v>
          </cell>
          <cell r="K1230" t="str">
            <v>Yes</v>
          </cell>
          <cell r="L1230">
            <v>44310</v>
          </cell>
          <cell r="M1230">
            <v>235</v>
          </cell>
          <cell r="N1230">
            <v>285</v>
          </cell>
          <cell r="O1230">
            <v>5575.02587890625</v>
          </cell>
          <cell r="P1230">
            <v>10303.02662997848</v>
          </cell>
          <cell r="Q1230">
            <v>5233.70654296875</v>
          </cell>
        </row>
        <row r="1231">
          <cell r="A1231" t="str">
            <v>3KPF54AD0NE432400</v>
          </cell>
          <cell r="B1231">
            <v>2022</v>
          </cell>
          <cell r="C1231" t="str">
            <v>KIA</v>
          </cell>
          <cell r="D1231" t="str">
            <v>FORTE</v>
          </cell>
          <cell r="E1231">
            <v>44874</v>
          </cell>
          <cell r="F1231" t="str">
            <v>Grade 4.0</v>
          </cell>
          <cell r="G1231" t="str">
            <v>Green Light</v>
          </cell>
          <cell r="H1231" t="str">
            <v>Yes</v>
          </cell>
          <cell r="I1231" t="str">
            <v>No</v>
          </cell>
          <cell r="J1231">
            <v>45678</v>
          </cell>
          <cell r="K1231" t="str">
            <v>Yes</v>
          </cell>
          <cell r="L1231">
            <v>44310</v>
          </cell>
          <cell r="M1231">
            <v>235</v>
          </cell>
          <cell r="N1231">
            <v>285</v>
          </cell>
          <cell r="O1231">
            <v>18430.275390625</v>
          </cell>
          <cell r="P1231">
            <v>14382.319048632129</v>
          </cell>
          <cell r="Q1231">
            <v>18359.009765625</v>
          </cell>
        </row>
        <row r="1232">
          <cell r="A1232" t="str">
            <v>3KPFK4A71HE133229</v>
          </cell>
          <cell r="B1232">
            <v>2017</v>
          </cell>
          <cell r="C1232" t="str">
            <v>KIA</v>
          </cell>
          <cell r="D1232" t="str">
            <v>FORTE</v>
          </cell>
          <cell r="E1232">
            <v>130778</v>
          </cell>
          <cell r="F1232" t="str">
            <v>Grade 1.6</v>
          </cell>
          <cell r="G1232" t="str">
            <v>Inoperable</v>
          </cell>
          <cell r="H1232" t="str">
            <v>No</v>
          </cell>
          <cell r="I1232" t="str">
            <v>Yes</v>
          </cell>
          <cell r="J1232">
            <v>45454</v>
          </cell>
          <cell r="K1232" t="str">
            <v>Yes</v>
          </cell>
          <cell r="L1232">
            <v>44310</v>
          </cell>
          <cell r="M1232">
            <v>235</v>
          </cell>
          <cell r="N1232">
            <v>285</v>
          </cell>
          <cell r="O1232">
            <v>1966.435302734375</v>
          </cell>
          <cell r="P1232">
            <v>8522.7422494440107</v>
          </cell>
          <cell r="Q1232">
            <v>1924.856323242188</v>
          </cell>
        </row>
        <row r="1233">
          <cell r="A1233" t="str">
            <v>3KPFK4A76JE202292</v>
          </cell>
          <cell r="B1233">
            <v>2018</v>
          </cell>
          <cell r="C1233" t="str">
            <v>KIA</v>
          </cell>
          <cell r="D1233" t="str">
            <v>FORTE</v>
          </cell>
          <cell r="E1233">
            <v>88831</v>
          </cell>
          <cell r="F1233" t="str">
            <v>Grade 3.0</v>
          </cell>
          <cell r="G1233" t="str">
            <v>Red Light</v>
          </cell>
          <cell r="H1233" t="str">
            <v>No</v>
          </cell>
          <cell r="I1233" t="str">
            <v>Yes</v>
          </cell>
          <cell r="J1233">
            <v>45323</v>
          </cell>
          <cell r="K1233" t="str">
            <v>Yes</v>
          </cell>
          <cell r="L1233">
            <v>44310</v>
          </cell>
          <cell r="M1233">
            <v>235</v>
          </cell>
          <cell r="N1233">
            <v>285</v>
          </cell>
          <cell r="O1233">
            <v>9139.2470703125</v>
          </cell>
          <cell r="P1233">
            <v>9039.4547763377905</v>
          </cell>
          <cell r="Q1233">
            <v>9013.9208984375</v>
          </cell>
        </row>
        <row r="1234">
          <cell r="A1234" t="str">
            <v>3N1AB7AP9HY215285</v>
          </cell>
          <cell r="B1234">
            <v>2017</v>
          </cell>
          <cell r="C1234" t="str">
            <v>NISSAN</v>
          </cell>
          <cell r="D1234" t="str">
            <v>SENTRA</v>
          </cell>
          <cell r="E1234">
            <v>103190</v>
          </cell>
          <cell r="F1234" t="str">
            <v>Grade 1.5</v>
          </cell>
          <cell r="G1234" t="str">
            <v>Green/Yellow</v>
          </cell>
          <cell r="H1234" t="str">
            <v>Yes</v>
          </cell>
          <cell r="I1234" t="str">
            <v>No</v>
          </cell>
          <cell r="J1234">
            <v>45552</v>
          </cell>
          <cell r="K1234" t="str">
            <v>Yes</v>
          </cell>
          <cell r="L1234">
            <v>44310</v>
          </cell>
          <cell r="M1234">
            <v>235</v>
          </cell>
          <cell r="N1234">
            <v>285</v>
          </cell>
          <cell r="O1234">
            <v>2802.110595703125</v>
          </cell>
          <cell r="P1234">
            <v>8672.5113077763126</v>
          </cell>
          <cell r="Q1234">
            <v>2609.54150390625</v>
          </cell>
        </row>
        <row r="1235">
          <cell r="A1235" t="str">
            <v>3N1AB7APXKY344160</v>
          </cell>
          <cell r="B1235">
            <v>2019</v>
          </cell>
          <cell r="C1235" t="str">
            <v>NISSAN</v>
          </cell>
          <cell r="D1235" t="str">
            <v>SENTRA</v>
          </cell>
          <cell r="E1235">
            <v>99999</v>
          </cell>
          <cell r="F1235" t="str">
            <v>Grade 0.0</v>
          </cell>
          <cell r="G1235" t="str">
            <v>Salvage</v>
          </cell>
          <cell r="H1235" t="str">
            <v>No</v>
          </cell>
          <cell r="I1235" t="str">
            <v>Yes</v>
          </cell>
          <cell r="J1235">
            <v>45666</v>
          </cell>
          <cell r="K1235" t="str">
            <v>Yes</v>
          </cell>
          <cell r="L1235">
            <v>44310</v>
          </cell>
          <cell r="M1235">
            <v>235</v>
          </cell>
          <cell r="N1235">
            <v>285</v>
          </cell>
          <cell r="O1235">
            <v>2614.08837890625</v>
          </cell>
          <cell r="P1235">
            <v>8854.9488998526467</v>
          </cell>
          <cell r="Q1235">
            <v>2498.12890625</v>
          </cell>
        </row>
        <row r="1236">
          <cell r="A1236" t="str">
            <v>3VV2B7AX4KM124667</v>
          </cell>
          <cell r="B1236">
            <v>2019</v>
          </cell>
          <cell r="C1236" t="str">
            <v>VOLKSWAGEN</v>
          </cell>
          <cell r="D1236" t="str">
            <v>TIGUAN AWD</v>
          </cell>
          <cell r="E1236">
            <v>157604</v>
          </cell>
          <cell r="F1236" t="str">
            <v>Grade 2.3</v>
          </cell>
          <cell r="G1236" t="str">
            <v>Red Light</v>
          </cell>
          <cell r="H1236" t="str">
            <v>No</v>
          </cell>
          <cell r="I1236" t="str">
            <v>Yes</v>
          </cell>
          <cell r="J1236">
            <v>45736</v>
          </cell>
          <cell r="K1236" t="str">
            <v>Yes</v>
          </cell>
          <cell r="L1236">
            <v>44310</v>
          </cell>
          <cell r="M1236">
            <v>235</v>
          </cell>
          <cell r="N1236">
            <v>285</v>
          </cell>
          <cell r="O1236">
            <v>3281.716552734375</v>
          </cell>
          <cell r="P1236">
            <v>9008.7857027437785</v>
          </cell>
          <cell r="Q1236">
            <v>3205.46240234375</v>
          </cell>
        </row>
        <row r="1237">
          <cell r="A1237" t="str">
            <v>3VW2K7AJ0FM338956</v>
          </cell>
          <cell r="B1237">
            <v>2015</v>
          </cell>
          <cell r="C1237" t="str">
            <v>VOLKSWAGEN</v>
          </cell>
          <cell r="D1237" t="str">
            <v>JETTA</v>
          </cell>
          <cell r="E1237">
            <v>194679</v>
          </cell>
          <cell r="F1237" t="str">
            <v>Unknown</v>
          </cell>
          <cell r="G1237" t="str">
            <v>Inoperable</v>
          </cell>
          <cell r="H1237" t="str">
            <v>No</v>
          </cell>
          <cell r="I1237" t="str">
            <v>Yes</v>
          </cell>
          <cell r="J1237">
            <v>45540</v>
          </cell>
          <cell r="K1237" t="str">
            <v>Yes</v>
          </cell>
          <cell r="L1237">
            <v>44310</v>
          </cell>
          <cell r="M1237">
            <v>235</v>
          </cell>
          <cell r="N1237">
            <v>285</v>
          </cell>
          <cell r="O1237">
            <v>3168.159423828125</v>
          </cell>
          <cell r="P1237">
            <v>8936.3605561875611</v>
          </cell>
          <cell r="Q1237">
            <v>3044.94580078125</v>
          </cell>
        </row>
        <row r="1238">
          <cell r="A1238" t="str">
            <v>3VWLL7AJXBM034335</v>
          </cell>
          <cell r="B1238">
            <v>2011</v>
          </cell>
          <cell r="C1238" t="str">
            <v>VOLKSWAGEN</v>
          </cell>
          <cell r="D1238" t="str">
            <v>JETTA</v>
          </cell>
          <cell r="E1238">
            <v>140348</v>
          </cell>
          <cell r="F1238" t="str">
            <v>Grade 1.9</v>
          </cell>
          <cell r="G1238" t="str">
            <v>Red Light</v>
          </cell>
          <cell r="H1238" t="str">
            <v>No</v>
          </cell>
          <cell r="I1238" t="str">
            <v>Yes</v>
          </cell>
          <cell r="J1238">
            <v>45342</v>
          </cell>
          <cell r="K1238" t="str">
            <v>Yes</v>
          </cell>
          <cell r="L1238">
            <v>44310</v>
          </cell>
          <cell r="M1238">
            <v>235</v>
          </cell>
          <cell r="N1238">
            <v>285</v>
          </cell>
          <cell r="O1238">
            <v>768.57647705078125</v>
          </cell>
          <cell r="P1238">
            <v>8794.0705847870686</v>
          </cell>
          <cell r="Q1238">
            <v>932.59674072265625</v>
          </cell>
        </row>
        <row r="1239">
          <cell r="A1239" t="str">
            <v>3VWPL7AJ9EM621275</v>
          </cell>
          <cell r="B1239">
            <v>2014</v>
          </cell>
          <cell r="C1239" t="str">
            <v>VOLKSWAGEN</v>
          </cell>
          <cell r="D1239" t="str">
            <v>JETTA SPORTWAGEN</v>
          </cell>
          <cell r="E1239">
            <v>117578</v>
          </cell>
          <cell r="F1239" t="str">
            <v>Grade 2.6</v>
          </cell>
          <cell r="G1239" t="str">
            <v>Green Light</v>
          </cell>
          <cell r="H1239" t="str">
            <v>Yes</v>
          </cell>
          <cell r="I1239" t="str">
            <v>No</v>
          </cell>
          <cell r="J1239">
            <v>45398</v>
          </cell>
          <cell r="K1239" t="str">
            <v>Yes</v>
          </cell>
          <cell r="L1239">
            <v>44310</v>
          </cell>
          <cell r="M1239">
            <v>235</v>
          </cell>
          <cell r="N1239">
            <v>285</v>
          </cell>
          <cell r="O1239">
            <v>1766.054443359375</v>
          </cell>
          <cell r="P1239">
            <v>8923.5901790540229</v>
          </cell>
          <cell r="Q1239">
            <v>1710.525390625</v>
          </cell>
        </row>
        <row r="1240">
          <cell r="A1240" t="str">
            <v>4T1BF1FK7EU796828</v>
          </cell>
          <cell r="B1240">
            <v>2014</v>
          </cell>
          <cell r="C1240" t="str">
            <v>TOYOTA</v>
          </cell>
          <cell r="D1240" t="str">
            <v>CAMRY</v>
          </cell>
          <cell r="E1240">
            <v>53748</v>
          </cell>
          <cell r="F1240" t="str">
            <v>Grade 4.3</v>
          </cell>
          <cell r="G1240" t="str">
            <v>Certified</v>
          </cell>
          <cell r="H1240" t="str">
            <v>Yes</v>
          </cell>
          <cell r="I1240" t="str">
            <v>No</v>
          </cell>
          <cell r="J1240">
            <v>45594</v>
          </cell>
          <cell r="K1240" t="str">
            <v>Yes</v>
          </cell>
          <cell r="L1240">
            <v>44310</v>
          </cell>
          <cell r="M1240">
            <v>235</v>
          </cell>
          <cell r="N1240">
            <v>285</v>
          </cell>
          <cell r="O1240">
            <v>12099.74609375</v>
          </cell>
          <cell r="P1240">
            <v>12480.811549847869</v>
          </cell>
          <cell r="Q1240">
            <v>11980.67578125</v>
          </cell>
        </row>
        <row r="1241">
          <cell r="A1241" t="str">
            <v>5FNRL5H62EB125949</v>
          </cell>
          <cell r="B1241">
            <v>2014</v>
          </cell>
          <cell r="C1241" t="str">
            <v>HONDA</v>
          </cell>
          <cell r="D1241" t="str">
            <v>ODYSSEY</v>
          </cell>
          <cell r="E1241">
            <v>88629</v>
          </cell>
          <cell r="F1241" t="str">
            <v>Grade 4.0</v>
          </cell>
          <cell r="G1241" t="str">
            <v>Certified</v>
          </cell>
          <cell r="H1241" t="str">
            <v>Yes</v>
          </cell>
          <cell r="I1241" t="str">
            <v>No</v>
          </cell>
          <cell r="J1241">
            <v>45454</v>
          </cell>
          <cell r="K1241" t="str">
            <v>Yes</v>
          </cell>
          <cell r="L1241">
            <v>44310</v>
          </cell>
          <cell r="M1241">
            <v>235</v>
          </cell>
          <cell r="N1241">
            <v>285</v>
          </cell>
          <cell r="O1241">
            <v>9253.7177734375</v>
          </cell>
          <cell r="P1241">
            <v>10018.93533767496</v>
          </cell>
          <cell r="Q1241">
            <v>9481.7255859375</v>
          </cell>
        </row>
        <row r="1242">
          <cell r="A1242" t="str">
            <v>5J8TB4H73HL021064</v>
          </cell>
          <cell r="B1242">
            <v>2017</v>
          </cell>
          <cell r="C1242" t="str">
            <v>ACURA</v>
          </cell>
          <cell r="D1242" t="str">
            <v>RDX</v>
          </cell>
          <cell r="E1242">
            <v>59410</v>
          </cell>
          <cell r="F1242" t="str">
            <v>Grade 3.5</v>
          </cell>
          <cell r="G1242" t="str">
            <v>Green Light</v>
          </cell>
          <cell r="H1242" t="str">
            <v>Yes</v>
          </cell>
          <cell r="I1242" t="str">
            <v>No</v>
          </cell>
          <cell r="J1242">
            <v>45566</v>
          </cell>
          <cell r="K1242" t="str">
            <v>Yes</v>
          </cell>
          <cell r="L1242">
            <v>44310</v>
          </cell>
          <cell r="M1242">
            <v>235</v>
          </cell>
          <cell r="N1242">
            <v>285</v>
          </cell>
          <cell r="O1242">
            <v>13411.0625</v>
          </cell>
          <cell r="P1242">
            <v>11349.834381150211</v>
          </cell>
          <cell r="Q1242">
            <v>13338.80859375</v>
          </cell>
        </row>
        <row r="1243">
          <cell r="A1243" t="str">
            <v>5N1AT2MT5EC754993</v>
          </cell>
          <cell r="B1243">
            <v>2014</v>
          </cell>
          <cell r="C1243" t="str">
            <v>NISSAN</v>
          </cell>
          <cell r="D1243" t="str">
            <v>ROGUE FWD</v>
          </cell>
          <cell r="E1243">
            <v>99999</v>
          </cell>
          <cell r="F1243" t="str">
            <v>Grade 1.1</v>
          </cell>
          <cell r="G1243" t="str">
            <v>Inoperable</v>
          </cell>
          <cell r="H1243" t="str">
            <v>No</v>
          </cell>
          <cell r="I1243" t="str">
            <v>Yes</v>
          </cell>
          <cell r="J1243">
            <v>45533</v>
          </cell>
          <cell r="K1243" t="str">
            <v>Yes</v>
          </cell>
          <cell r="L1243">
            <v>44310</v>
          </cell>
          <cell r="M1243">
            <v>235</v>
          </cell>
          <cell r="N1243">
            <v>285</v>
          </cell>
          <cell r="O1243">
            <v>2001.443603515625</v>
          </cell>
          <cell r="P1243">
            <v>8889.2545783381393</v>
          </cell>
          <cell r="Q1243">
            <v>1926.197143554688</v>
          </cell>
        </row>
        <row r="1244">
          <cell r="A1244" t="str">
            <v>5N1AZ2DJ9MC108951</v>
          </cell>
          <cell r="B1244">
            <v>2021</v>
          </cell>
          <cell r="C1244" t="str">
            <v>NISSAN</v>
          </cell>
          <cell r="D1244" t="str">
            <v>MURANO</v>
          </cell>
          <cell r="E1244">
            <v>70077</v>
          </cell>
          <cell r="F1244" t="str">
            <v>Grade 4.4</v>
          </cell>
          <cell r="G1244" t="str">
            <v>Certified</v>
          </cell>
          <cell r="H1244" t="str">
            <v>Yes</v>
          </cell>
          <cell r="I1244" t="str">
            <v>No</v>
          </cell>
          <cell r="J1244">
            <v>45608</v>
          </cell>
          <cell r="K1244" t="str">
            <v>Yes</v>
          </cell>
          <cell r="L1244">
            <v>44310</v>
          </cell>
          <cell r="M1244">
            <v>235</v>
          </cell>
          <cell r="N1244">
            <v>285</v>
          </cell>
          <cell r="O1244">
            <v>13542.619140625</v>
          </cell>
          <cell r="P1244">
            <v>12089.84741725735</v>
          </cell>
          <cell r="Q1244">
            <v>13496.744140625</v>
          </cell>
        </row>
        <row r="1245">
          <cell r="A1245" t="str">
            <v>5NPD84LF3JH402522</v>
          </cell>
          <cell r="B1245">
            <v>2018</v>
          </cell>
          <cell r="C1245" t="str">
            <v>HYUNDAI</v>
          </cell>
          <cell r="D1245" t="str">
            <v>ELANTRA</v>
          </cell>
          <cell r="E1245">
            <v>97735</v>
          </cell>
          <cell r="F1245" t="str">
            <v>Grade 4.5</v>
          </cell>
          <cell r="G1245" t="str">
            <v>Certified</v>
          </cell>
          <cell r="H1245" t="str">
            <v>Yes</v>
          </cell>
          <cell r="I1245" t="str">
            <v>No</v>
          </cell>
          <cell r="J1245">
            <v>45505</v>
          </cell>
          <cell r="K1245" t="str">
            <v>Yes</v>
          </cell>
          <cell r="L1245">
            <v>44310</v>
          </cell>
          <cell r="M1245">
            <v>235</v>
          </cell>
          <cell r="N1245">
            <v>285</v>
          </cell>
          <cell r="O1245">
            <v>9151.3017578125</v>
          </cell>
          <cell r="P1245">
            <v>9640.0930576050268</v>
          </cell>
          <cell r="Q1245">
            <v>9365.9794921875</v>
          </cell>
        </row>
        <row r="1246">
          <cell r="A1246" t="str">
            <v>5NPD84LF4KH497688</v>
          </cell>
          <cell r="B1246">
            <v>2019</v>
          </cell>
          <cell r="C1246" t="str">
            <v>HYUNDAI</v>
          </cell>
          <cell r="D1246" t="str">
            <v>ELANTRA</v>
          </cell>
          <cell r="E1246">
            <v>204867</v>
          </cell>
          <cell r="F1246" t="str">
            <v>Grade 1.0</v>
          </cell>
          <cell r="G1246" t="str">
            <v>Inoperable</v>
          </cell>
          <cell r="H1246" t="str">
            <v>No</v>
          </cell>
          <cell r="I1246" t="str">
            <v>Yes</v>
          </cell>
          <cell r="J1246">
            <v>45344</v>
          </cell>
          <cell r="K1246" t="str">
            <v>Yes</v>
          </cell>
          <cell r="L1246">
            <v>44310</v>
          </cell>
          <cell r="M1246">
            <v>235</v>
          </cell>
          <cell r="N1246">
            <v>285</v>
          </cell>
          <cell r="O1246">
            <v>3623.200439453125</v>
          </cell>
          <cell r="P1246">
            <v>8628.4559358120696</v>
          </cell>
          <cell r="Q1246">
            <v>3515.23095703125</v>
          </cell>
        </row>
        <row r="1247">
          <cell r="A1247" t="str">
            <v>5NPD84LF5HH057455</v>
          </cell>
          <cell r="B1247">
            <v>2017</v>
          </cell>
          <cell r="C1247" t="str">
            <v>HYUNDAI</v>
          </cell>
          <cell r="D1247" t="str">
            <v>ELANTRA</v>
          </cell>
          <cell r="E1247">
            <v>117120</v>
          </cell>
          <cell r="F1247" t="str">
            <v>Grade 1.8</v>
          </cell>
          <cell r="G1247" t="str">
            <v>Inoperable</v>
          </cell>
          <cell r="H1247" t="str">
            <v>No</v>
          </cell>
          <cell r="I1247" t="str">
            <v>Yes</v>
          </cell>
          <cell r="J1247">
            <v>45384</v>
          </cell>
          <cell r="K1247" t="str">
            <v>Yes</v>
          </cell>
          <cell r="L1247">
            <v>44310</v>
          </cell>
          <cell r="M1247">
            <v>235</v>
          </cell>
          <cell r="N1247">
            <v>285</v>
          </cell>
          <cell r="O1247">
            <v>2813.283203125</v>
          </cell>
          <cell r="P1247">
            <v>8571.6413934483644</v>
          </cell>
          <cell r="Q1247">
            <v>2641.29443359375</v>
          </cell>
        </row>
        <row r="1248">
          <cell r="A1248" t="str">
            <v>5NPDH4AEXFH547168</v>
          </cell>
          <cell r="B1248">
            <v>2015</v>
          </cell>
          <cell r="C1248" t="str">
            <v>HYUNDAI</v>
          </cell>
          <cell r="D1248" t="str">
            <v>ELANTRA</v>
          </cell>
          <cell r="E1248">
            <v>71458</v>
          </cell>
          <cell r="F1248" t="str">
            <v>Grade 3.3</v>
          </cell>
          <cell r="G1248" t="str">
            <v>Green Light</v>
          </cell>
          <cell r="H1248" t="str">
            <v>Yes</v>
          </cell>
          <cell r="I1248" t="str">
            <v>No</v>
          </cell>
          <cell r="J1248">
            <v>45372</v>
          </cell>
          <cell r="K1248" t="str">
            <v>Yes</v>
          </cell>
          <cell r="L1248">
            <v>44310</v>
          </cell>
          <cell r="M1248">
            <v>235</v>
          </cell>
          <cell r="N1248">
            <v>285</v>
          </cell>
          <cell r="O1248">
            <v>7571.72265625</v>
          </cell>
          <cell r="P1248">
            <v>8999.2110727023337</v>
          </cell>
          <cell r="Q1248">
            <v>7685.2373046875</v>
          </cell>
        </row>
        <row r="1249">
          <cell r="A1249" t="str">
            <v>5NPE24AF3JH603104</v>
          </cell>
          <cell r="B1249">
            <v>2018</v>
          </cell>
          <cell r="C1249" t="str">
            <v>HYUNDAI</v>
          </cell>
          <cell r="D1249" t="str">
            <v>SONATA</v>
          </cell>
          <cell r="E1249">
            <v>90297</v>
          </cell>
          <cell r="F1249" t="str">
            <v>Grade 4.0</v>
          </cell>
          <cell r="G1249" t="str">
            <v>Certified</v>
          </cell>
          <cell r="H1249" t="str">
            <v>Yes</v>
          </cell>
          <cell r="I1249" t="str">
            <v>No</v>
          </cell>
          <cell r="J1249">
            <v>45328</v>
          </cell>
          <cell r="K1249" t="str">
            <v>Yes</v>
          </cell>
          <cell r="L1249">
            <v>44310</v>
          </cell>
          <cell r="M1249">
            <v>235</v>
          </cell>
          <cell r="N1249">
            <v>285</v>
          </cell>
          <cell r="O1249">
            <v>9078.685546875</v>
          </cell>
          <cell r="P1249">
            <v>9745.9530309351685</v>
          </cell>
          <cell r="Q1249">
            <v>9232.58203125</v>
          </cell>
        </row>
        <row r="1250">
          <cell r="A1250" t="str">
            <v>5NPE24AF6JH728291</v>
          </cell>
          <cell r="B1250">
            <v>2018</v>
          </cell>
          <cell r="C1250" t="str">
            <v>HYUNDAI</v>
          </cell>
          <cell r="D1250" t="str">
            <v>SONATA</v>
          </cell>
          <cell r="E1250">
            <v>102017</v>
          </cell>
          <cell r="F1250" t="str">
            <v>Grade 3.6</v>
          </cell>
          <cell r="G1250" t="str">
            <v>Red Light</v>
          </cell>
          <cell r="H1250" t="str">
            <v>No</v>
          </cell>
          <cell r="I1250" t="str">
            <v>Yes</v>
          </cell>
          <cell r="J1250">
            <v>45365</v>
          </cell>
          <cell r="K1250" t="str">
            <v>Yes</v>
          </cell>
          <cell r="L1250">
            <v>44310</v>
          </cell>
          <cell r="M1250">
            <v>235</v>
          </cell>
          <cell r="N1250">
            <v>285</v>
          </cell>
          <cell r="O1250">
            <v>6935.3642578125</v>
          </cell>
          <cell r="P1250">
            <v>9582.5831392326709</v>
          </cell>
          <cell r="Q1250">
            <v>7002.6953125</v>
          </cell>
        </row>
        <row r="1251">
          <cell r="A1251" t="str">
            <v>5NPE34AF7GH290693</v>
          </cell>
          <cell r="B1251">
            <v>2016</v>
          </cell>
          <cell r="C1251" t="str">
            <v>HYUNDAI</v>
          </cell>
          <cell r="D1251" t="str">
            <v>SONATA</v>
          </cell>
          <cell r="E1251">
            <v>45611</v>
          </cell>
          <cell r="F1251" t="str">
            <v>Grade 2.1</v>
          </cell>
          <cell r="G1251" t="str">
            <v>Red Light</v>
          </cell>
          <cell r="H1251" t="str">
            <v>No</v>
          </cell>
          <cell r="I1251" t="str">
            <v>Yes</v>
          </cell>
          <cell r="J1251">
            <v>45524</v>
          </cell>
          <cell r="K1251" t="str">
            <v>Yes</v>
          </cell>
          <cell r="L1251">
            <v>44310</v>
          </cell>
          <cell r="M1251">
            <v>235</v>
          </cell>
          <cell r="N1251">
            <v>285</v>
          </cell>
          <cell r="O1251">
            <v>4519.92236328125</v>
          </cell>
          <cell r="P1251">
            <v>10978.979181072449</v>
          </cell>
          <cell r="Q1251">
            <v>4384.09033203125</v>
          </cell>
        </row>
        <row r="1252">
          <cell r="A1252" t="str">
            <v>5UXKR0C5XE0H21053</v>
          </cell>
          <cell r="B1252">
            <v>2014</v>
          </cell>
          <cell r="C1252" t="str">
            <v>BMW</v>
          </cell>
          <cell r="D1252" t="str">
            <v>X5</v>
          </cell>
          <cell r="E1252">
            <v>127912</v>
          </cell>
          <cell r="F1252" t="str">
            <v>Grade 3.2</v>
          </cell>
          <cell r="G1252" t="str">
            <v>Green Light</v>
          </cell>
          <cell r="H1252" t="str">
            <v>Yes</v>
          </cell>
          <cell r="I1252" t="str">
            <v>No</v>
          </cell>
          <cell r="J1252">
            <v>45398</v>
          </cell>
          <cell r="K1252" t="str">
            <v>Yes</v>
          </cell>
          <cell r="L1252">
            <v>44310</v>
          </cell>
          <cell r="M1252">
            <v>235</v>
          </cell>
          <cell r="N1252">
            <v>285</v>
          </cell>
          <cell r="O1252">
            <v>6201.3486328125</v>
          </cell>
          <cell r="P1252">
            <v>9245.1822928265046</v>
          </cell>
          <cell r="Q1252">
            <v>6160.89794921875</v>
          </cell>
        </row>
        <row r="1253">
          <cell r="A1253" t="str">
            <v>5XXGM4A79CG026914</v>
          </cell>
          <cell r="B1253">
            <v>2012</v>
          </cell>
          <cell r="C1253" t="str">
            <v>KIA</v>
          </cell>
          <cell r="D1253" t="str">
            <v>OPTIMA</v>
          </cell>
          <cell r="E1253">
            <v>123272</v>
          </cell>
          <cell r="F1253" t="str">
            <v>Grade 2.1</v>
          </cell>
          <cell r="G1253" t="str">
            <v>Green/Yellow</v>
          </cell>
          <cell r="H1253" t="str">
            <v>Yes</v>
          </cell>
          <cell r="I1253" t="str">
            <v>No</v>
          </cell>
          <cell r="J1253">
            <v>45356</v>
          </cell>
          <cell r="K1253" t="str">
            <v>Yes</v>
          </cell>
          <cell r="L1253">
            <v>44310</v>
          </cell>
          <cell r="M1253">
            <v>235</v>
          </cell>
          <cell r="N1253">
            <v>285</v>
          </cell>
          <cell r="O1253">
            <v>1025.654663085938</v>
          </cell>
          <cell r="P1253">
            <v>8547.7021453542784</v>
          </cell>
          <cell r="Q1253">
            <v>1175.75244140625</v>
          </cell>
        </row>
        <row r="1254">
          <cell r="A1254" t="str">
            <v>5XXGT4L37HG149552</v>
          </cell>
          <cell r="B1254">
            <v>2017</v>
          </cell>
          <cell r="C1254" t="str">
            <v>KIA</v>
          </cell>
          <cell r="D1254" t="str">
            <v>OPTIMA</v>
          </cell>
          <cell r="E1254">
            <v>123582</v>
          </cell>
          <cell r="F1254" t="str">
            <v>Grade 1.3</v>
          </cell>
          <cell r="G1254" t="str">
            <v>Green/Yellow</v>
          </cell>
          <cell r="H1254" t="str">
            <v>Yes</v>
          </cell>
          <cell r="I1254" t="str">
            <v>No</v>
          </cell>
          <cell r="J1254">
            <v>45342</v>
          </cell>
          <cell r="K1254" t="str">
            <v>Yes</v>
          </cell>
          <cell r="L1254">
            <v>44310</v>
          </cell>
          <cell r="M1254">
            <v>235</v>
          </cell>
          <cell r="N1254">
            <v>285</v>
          </cell>
          <cell r="O1254">
            <v>2547.181396484375</v>
          </cell>
          <cell r="P1254">
            <v>8556.2828503635556</v>
          </cell>
          <cell r="Q1254">
            <v>2410.47705078125</v>
          </cell>
        </row>
        <row r="1255">
          <cell r="A1255" t="str">
            <v>5XXGU4L32GG083732</v>
          </cell>
          <cell r="B1255">
            <v>2016</v>
          </cell>
          <cell r="C1255" t="str">
            <v>KIA</v>
          </cell>
          <cell r="D1255" t="str">
            <v>OPTIMA</v>
          </cell>
          <cell r="E1255">
            <v>105883</v>
          </cell>
          <cell r="F1255" t="str">
            <v>Grade 3.6</v>
          </cell>
          <cell r="G1255" t="str">
            <v>Green Light</v>
          </cell>
          <cell r="H1255" t="str">
            <v>Yes</v>
          </cell>
          <cell r="I1255" t="str">
            <v>No</v>
          </cell>
          <cell r="J1255">
            <v>45706</v>
          </cell>
          <cell r="K1255" t="str">
            <v>Yes</v>
          </cell>
          <cell r="L1255">
            <v>44310</v>
          </cell>
          <cell r="M1255">
            <v>235</v>
          </cell>
          <cell r="N1255">
            <v>285</v>
          </cell>
          <cell r="O1255">
            <v>4414.76806640625</v>
          </cell>
          <cell r="P1255">
            <v>9601.1687870850419</v>
          </cell>
          <cell r="Q1255">
            <v>4499.12060546875</v>
          </cell>
        </row>
        <row r="1256">
          <cell r="A1256" t="str">
            <v>5XXGU4L35GG055360</v>
          </cell>
          <cell r="B1256">
            <v>2016</v>
          </cell>
          <cell r="C1256" t="str">
            <v>KIA</v>
          </cell>
          <cell r="D1256" t="str">
            <v>OPTIMA</v>
          </cell>
          <cell r="E1256">
            <v>127481</v>
          </cell>
          <cell r="F1256" t="str">
            <v>Grade 1.0</v>
          </cell>
          <cell r="G1256" t="str">
            <v>Inoperable</v>
          </cell>
          <cell r="H1256" t="str">
            <v>No</v>
          </cell>
          <cell r="I1256" t="str">
            <v>Yes</v>
          </cell>
          <cell r="J1256">
            <v>45664</v>
          </cell>
          <cell r="K1256" t="str">
            <v>Yes</v>
          </cell>
          <cell r="L1256">
            <v>44310</v>
          </cell>
          <cell r="M1256">
            <v>235</v>
          </cell>
          <cell r="N1256">
            <v>285</v>
          </cell>
          <cell r="O1256">
            <v>1391.105712890625</v>
          </cell>
          <cell r="P1256">
            <v>8579.3708408190196</v>
          </cell>
          <cell r="Q1256">
            <v>1390.846557617188</v>
          </cell>
        </row>
        <row r="1257">
          <cell r="A1257" t="str">
            <v>5XYKT3A63DG356396</v>
          </cell>
          <cell r="B1257">
            <v>2013</v>
          </cell>
          <cell r="C1257" t="str">
            <v>KIA</v>
          </cell>
          <cell r="D1257" t="str">
            <v>SORENTO FWD 4C</v>
          </cell>
          <cell r="E1257">
            <v>136619</v>
          </cell>
          <cell r="F1257" t="str">
            <v>Grade 2.0</v>
          </cell>
          <cell r="G1257" t="str">
            <v>Inoperable</v>
          </cell>
          <cell r="H1257" t="str">
            <v>No</v>
          </cell>
          <cell r="I1257" t="str">
            <v>Yes</v>
          </cell>
          <cell r="J1257">
            <v>45449</v>
          </cell>
          <cell r="K1257" t="str">
            <v>Yes</v>
          </cell>
          <cell r="L1257">
            <v>44310</v>
          </cell>
          <cell r="M1257">
            <v>235</v>
          </cell>
          <cell r="N1257">
            <v>285</v>
          </cell>
          <cell r="O1257">
            <v>709.0233154296875</v>
          </cell>
          <cell r="P1257">
            <v>8583.4419225195579</v>
          </cell>
          <cell r="Q1257">
            <v>938.1177978515625</v>
          </cell>
        </row>
        <row r="1258">
          <cell r="A1258" t="str">
            <v>5XYKT3A6XFG584429</v>
          </cell>
          <cell r="B1258">
            <v>2015</v>
          </cell>
          <cell r="C1258" t="str">
            <v>KIA</v>
          </cell>
          <cell r="D1258" t="str">
            <v>SORENTO</v>
          </cell>
          <cell r="E1258">
            <v>121315</v>
          </cell>
          <cell r="F1258" t="str">
            <v>Grade 3.1</v>
          </cell>
          <cell r="G1258" t="str">
            <v>Green Light</v>
          </cell>
          <cell r="H1258" t="str">
            <v>Yes</v>
          </cell>
          <cell r="I1258" t="str">
            <v>No</v>
          </cell>
          <cell r="J1258">
            <v>45678</v>
          </cell>
          <cell r="K1258" t="str">
            <v>Yes</v>
          </cell>
          <cell r="L1258">
            <v>44310</v>
          </cell>
          <cell r="M1258">
            <v>235</v>
          </cell>
          <cell r="N1258">
            <v>285</v>
          </cell>
          <cell r="O1258">
            <v>3397.196533203125</v>
          </cell>
          <cell r="P1258">
            <v>8703.7689765873565</v>
          </cell>
          <cell r="Q1258">
            <v>3296.892578125</v>
          </cell>
        </row>
        <row r="1259">
          <cell r="A1259" t="str">
            <v>5XYPGDA31GG057841</v>
          </cell>
          <cell r="B1259">
            <v>2016</v>
          </cell>
          <cell r="C1259" t="str">
            <v>KIA</v>
          </cell>
          <cell r="D1259" t="str">
            <v>SORENTO AWD 4C</v>
          </cell>
          <cell r="E1259">
            <v>188872</v>
          </cell>
          <cell r="F1259" t="str">
            <v>Grade 1.9</v>
          </cell>
          <cell r="G1259" t="str">
            <v>Red Light</v>
          </cell>
          <cell r="H1259" t="str">
            <v>No</v>
          </cell>
          <cell r="I1259" t="str">
            <v>Yes</v>
          </cell>
          <cell r="J1259">
            <v>45463</v>
          </cell>
          <cell r="K1259" t="str">
            <v>Yes</v>
          </cell>
          <cell r="L1259">
            <v>44310</v>
          </cell>
          <cell r="M1259">
            <v>235</v>
          </cell>
          <cell r="N1259">
            <v>285</v>
          </cell>
          <cell r="O1259">
            <v>1139.174072265625</v>
          </cell>
          <cell r="P1259">
            <v>8618.8795867916997</v>
          </cell>
          <cell r="Q1259">
            <v>1286.9091796875</v>
          </cell>
        </row>
        <row r="1260">
          <cell r="A1260" t="str">
            <v>7FARW1H28LE012120</v>
          </cell>
          <cell r="B1260">
            <v>2020</v>
          </cell>
          <cell r="C1260" t="str">
            <v>HONDA</v>
          </cell>
          <cell r="D1260" t="str">
            <v>CR-V</v>
          </cell>
          <cell r="E1260">
            <v>127441</v>
          </cell>
          <cell r="F1260" t="str">
            <v>Grade 2.4</v>
          </cell>
          <cell r="G1260" t="str">
            <v>Green Light</v>
          </cell>
          <cell r="H1260" t="str">
            <v>Yes</v>
          </cell>
          <cell r="I1260" t="str">
            <v>No</v>
          </cell>
          <cell r="J1260">
            <v>45594</v>
          </cell>
          <cell r="K1260" t="str">
            <v>Yes</v>
          </cell>
          <cell r="L1260">
            <v>44310</v>
          </cell>
          <cell r="M1260">
            <v>235</v>
          </cell>
          <cell r="N1260">
            <v>285</v>
          </cell>
          <cell r="O1260">
            <v>7170.35693359375</v>
          </cell>
          <cell r="P1260">
            <v>10442.613271980719</v>
          </cell>
          <cell r="Q1260">
            <v>7047.55908203125</v>
          </cell>
        </row>
        <row r="1261">
          <cell r="A1261" t="str">
            <v>JA4AS3AA8JZ057660</v>
          </cell>
          <cell r="B1261">
            <v>2018</v>
          </cell>
          <cell r="C1261" t="str">
            <v>MITSUBISHI</v>
          </cell>
          <cell r="D1261" t="str">
            <v>ECLIPSE CROSS</v>
          </cell>
          <cell r="E1261">
            <v>83629</v>
          </cell>
          <cell r="F1261" t="str">
            <v>Grade 1.6</v>
          </cell>
          <cell r="G1261" t="str">
            <v>Inoperable</v>
          </cell>
          <cell r="H1261" t="str">
            <v>No</v>
          </cell>
          <cell r="I1261" t="str">
            <v>Yes</v>
          </cell>
          <cell r="J1261">
            <v>45314</v>
          </cell>
          <cell r="K1261" t="str">
            <v>Yes</v>
          </cell>
          <cell r="L1261">
            <v>44310</v>
          </cell>
          <cell r="M1261">
            <v>235</v>
          </cell>
          <cell r="N1261">
            <v>285</v>
          </cell>
          <cell r="O1261">
            <v>2785.299072265625</v>
          </cell>
          <cell r="P1261">
            <v>9356.6195678007261</v>
          </cell>
          <cell r="Q1261">
            <v>2663.95458984375</v>
          </cell>
        </row>
        <row r="1262">
          <cell r="A1262" t="str">
            <v>JF1GJAA65EH024653</v>
          </cell>
          <cell r="B1262">
            <v>2014</v>
          </cell>
          <cell r="C1262" t="str">
            <v>SUBARU</v>
          </cell>
          <cell r="D1262" t="str">
            <v>IMPREZA</v>
          </cell>
          <cell r="E1262">
            <v>157064</v>
          </cell>
          <cell r="F1262" t="str">
            <v>Grade 2.1</v>
          </cell>
          <cell r="G1262" t="str">
            <v>Red Light</v>
          </cell>
          <cell r="H1262" t="str">
            <v>No</v>
          </cell>
          <cell r="I1262" t="str">
            <v>Yes</v>
          </cell>
          <cell r="J1262">
            <v>45400</v>
          </cell>
          <cell r="K1262" t="str">
            <v>Yes</v>
          </cell>
          <cell r="L1262">
            <v>44310</v>
          </cell>
          <cell r="M1262">
            <v>235</v>
          </cell>
          <cell r="N1262">
            <v>285</v>
          </cell>
          <cell r="O1262">
            <v>2025.6328125</v>
          </cell>
          <cell r="P1262">
            <v>8932.8038446111805</v>
          </cell>
          <cell r="Q1262">
            <v>1967.080444335938</v>
          </cell>
        </row>
        <row r="1263">
          <cell r="A1263" t="str">
            <v>JF2SKADC8LH531676</v>
          </cell>
          <cell r="B1263">
            <v>2020</v>
          </cell>
          <cell r="C1263" t="str">
            <v>SUBARU</v>
          </cell>
          <cell r="D1263" t="str">
            <v>FORESTER</v>
          </cell>
          <cell r="E1263">
            <v>36107</v>
          </cell>
          <cell r="F1263" t="str">
            <v>Grade 4.4</v>
          </cell>
          <cell r="G1263" t="str">
            <v>Certified</v>
          </cell>
          <cell r="H1263" t="str">
            <v>Yes</v>
          </cell>
          <cell r="I1263" t="str">
            <v>No</v>
          </cell>
          <cell r="J1263">
            <v>45664</v>
          </cell>
          <cell r="K1263" t="str">
            <v>Yes</v>
          </cell>
          <cell r="L1263">
            <v>44310</v>
          </cell>
          <cell r="M1263">
            <v>235</v>
          </cell>
          <cell r="N1263">
            <v>285</v>
          </cell>
          <cell r="O1263">
            <v>19334.60546875</v>
          </cell>
          <cell r="P1263">
            <v>13586.15924815427</v>
          </cell>
          <cell r="Q1263">
            <v>19317.044921875</v>
          </cell>
        </row>
        <row r="1264">
          <cell r="A1264" t="str">
            <v>JM1CW2DL0C0100437</v>
          </cell>
          <cell r="B1264">
            <v>2012</v>
          </cell>
          <cell r="C1264" t="str">
            <v>MAZDA</v>
          </cell>
          <cell r="D1264" t="str">
            <v>MAZDA5</v>
          </cell>
          <cell r="E1264">
            <v>123897</v>
          </cell>
          <cell r="F1264" t="str">
            <v>Grade 2.4</v>
          </cell>
          <cell r="G1264" t="str">
            <v>Green/Yellow</v>
          </cell>
          <cell r="H1264" t="str">
            <v>Yes</v>
          </cell>
          <cell r="I1264" t="str">
            <v>No</v>
          </cell>
          <cell r="J1264">
            <v>45510</v>
          </cell>
          <cell r="K1264" t="str">
            <v>Yes</v>
          </cell>
          <cell r="L1264">
            <v>44310</v>
          </cell>
          <cell r="M1264">
            <v>235</v>
          </cell>
          <cell r="N1264">
            <v>285</v>
          </cell>
          <cell r="O1264">
            <v>1356.045776367188</v>
          </cell>
          <cell r="P1264">
            <v>9032.9468420261492</v>
          </cell>
          <cell r="Q1264">
            <v>1380.25</v>
          </cell>
        </row>
        <row r="1265">
          <cell r="A1265" t="str">
            <v>JM3KE4CY1F0466233</v>
          </cell>
          <cell r="B1265">
            <v>2015</v>
          </cell>
          <cell r="C1265" t="str">
            <v>MAZDA</v>
          </cell>
          <cell r="D1265" t="str">
            <v>CX 5 AWD 4C</v>
          </cell>
          <cell r="E1265">
            <v>156195</v>
          </cell>
          <cell r="F1265" t="str">
            <v>Grade 2.8</v>
          </cell>
          <cell r="G1265" t="str">
            <v>Red Light</v>
          </cell>
          <cell r="H1265" t="str">
            <v>No</v>
          </cell>
          <cell r="I1265" t="str">
            <v>Yes</v>
          </cell>
          <cell r="J1265">
            <v>45484</v>
          </cell>
          <cell r="K1265" t="str">
            <v>Yes</v>
          </cell>
          <cell r="L1265">
            <v>44310</v>
          </cell>
          <cell r="M1265">
            <v>235</v>
          </cell>
          <cell r="N1265">
            <v>285</v>
          </cell>
          <cell r="O1265">
            <v>1976.491088867188</v>
          </cell>
          <cell r="P1265">
            <v>9082.3059769682695</v>
          </cell>
          <cell r="Q1265">
            <v>1926.197143554688</v>
          </cell>
        </row>
        <row r="1266">
          <cell r="A1266" t="str">
            <v>JN8AS5MV9CW351268</v>
          </cell>
          <cell r="B1266">
            <v>2012</v>
          </cell>
          <cell r="C1266" t="str">
            <v>NISSAN</v>
          </cell>
          <cell r="D1266" t="str">
            <v>ROGUE AWD</v>
          </cell>
          <cell r="E1266">
            <v>180421</v>
          </cell>
          <cell r="F1266" t="str">
            <v>Grade 1.7</v>
          </cell>
          <cell r="G1266" t="str">
            <v>Red Light</v>
          </cell>
          <cell r="H1266" t="str">
            <v>No</v>
          </cell>
          <cell r="I1266" t="str">
            <v>Yes</v>
          </cell>
          <cell r="J1266">
            <v>45701</v>
          </cell>
          <cell r="K1266" t="str">
            <v>Yes</v>
          </cell>
          <cell r="L1266">
            <v>44310</v>
          </cell>
          <cell r="M1266">
            <v>235</v>
          </cell>
          <cell r="N1266">
            <v>285</v>
          </cell>
          <cell r="O1266">
            <v>344.29461669921881</v>
          </cell>
          <cell r="P1266">
            <v>8795.1641456096895</v>
          </cell>
          <cell r="Q1266">
            <v>815.262451171875</v>
          </cell>
        </row>
        <row r="1267">
          <cell r="A1267" t="str">
            <v>JTDBU4EE1C9171588</v>
          </cell>
          <cell r="B1267">
            <v>2012</v>
          </cell>
          <cell r="C1267" t="str">
            <v>TOYOTA</v>
          </cell>
          <cell r="D1267" t="str">
            <v>COROLLA</v>
          </cell>
          <cell r="E1267">
            <v>81719</v>
          </cell>
          <cell r="F1267" t="str">
            <v>Grade 2.0</v>
          </cell>
          <cell r="G1267" t="str">
            <v>Inoperable</v>
          </cell>
          <cell r="H1267" t="str">
            <v>No</v>
          </cell>
          <cell r="I1267" t="str">
            <v>Yes</v>
          </cell>
          <cell r="J1267">
            <v>45468</v>
          </cell>
          <cell r="K1267" t="str">
            <v>Yes</v>
          </cell>
          <cell r="L1267">
            <v>44310</v>
          </cell>
          <cell r="M1267">
            <v>235</v>
          </cell>
          <cell r="N1267">
            <v>285</v>
          </cell>
          <cell r="O1267">
            <v>4587.57568359375</v>
          </cell>
          <cell r="P1267">
            <v>9556.8762449767455</v>
          </cell>
          <cell r="Q1267">
            <v>4584.306640625</v>
          </cell>
        </row>
        <row r="1268">
          <cell r="A1268" t="str">
            <v>JTHBK1GG6D2060076</v>
          </cell>
          <cell r="B1268">
            <v>2013</v>
          </cell>
          <cell r="C1268" t="str">
            <v>LEXUS</v>
          </cell>
          <cell r="D1268" t="str">
            <v>ES 350</v>
          </cell>
          <cell r="E1268">
            <v>118674</v>
          </cell>
          <cell r="F1268" t="str">
            <v>Grade 3.4</v>
          </cell>
          <cell r="G1268" t="str">
            <v>Green Light</v>
          </cell>
          <cell r="H1268" t="str">
            <v>Yes</v>
          </cell>
          <cell r="I1268" t="str">
            <v>No</v>
          </cell>
          <cell r="J1268">
            <v>45622</v>
          </cell>
          <cell r="K1268" t="str">
            <v>Yes</v>
          </cell>
          <cell r="L1268">
            <v>44310</v>
          </cell>
          <cell r="M1268">
            <v>235</v>
          </cell>
          <cell r="N1268">
            <v>285</v>
          </cell>
          <cell r="O1268">
            <v>9066.7607421875</v>
          </cell>
          <cell r="P1268">
            <v>9313.6329381440828</v>
          </cell>
          <cell r="Q1268">
            <v>9190.3740234375</v>
          </cell>
        </row>
        <row r="1269">
          <cell r="A1269" t="str">
            <v>JTMRJREV5JD197156</v>
          </cell>
          <cell r="B1269">
            <v>2018</v>
          </cell>
          <cell r="C1269" t="str">
            <v>TOYOTA</v>
          </cell>
          <cell r="D1269" t="str">
            <v>RAV4 AWD</v>
          </cell>
          <cell r="E1269">
            <v>88425</v>
          </cell>
          <cell r="F1269" t="str">
            <v>Grade 3.2</v>
          </cell>
          <cell r="G1269" t="str">
            <v>Green Light</v>
          </cell>
          <cell r="H1269" t="str">
            <v>Yes</v>
          </cell>
          <cell r="I1269" t="str">
            <v>No</v>
          </cell>
          <cell r="J1269">
            <v>45554</v>
          </cell>
          <cell r="K1269" t="str">
            <v>Yes</v>
          </cell>
          <cell r="L1269">
            <v>44310</v>
          </cell>
          <cell r="M1269">
            <v>235</v>
          </cell>
          <cell r="N1269">
            <v>285</v>
          </cell>
          <cell r="O1269">
            <v>12779.142578125</v>
          </cell>
          <cell r="P1269">
            <v>9732.3663885247643</v>
          </cell>
          <cell r="Q1269">
            <v>13106.5712890625</v>
          </cell>
        </row>
        <row r="1270">
          <cell r="A1270" t="str">
            <v>KL4CJ1SB6JB555937</v>
          </cell>
          <cell r="B1270">
            <v>2018</v>
          </cell>
          <cell r="C1270" t="str">
            <v>BUICK</v>
          </cell>
          <cell r="D1270" t="str">
            <v>ENCORE</v>
          </cell>
          <cell r="E1270">
            <v>104053</v>
          </cell>
          <cell r="F1270" t="str">
            <v>Grade 1.1</v>
          </cell>
          <cell r="G1270" t="str">
            <v>Inoperable</v>
          </cell>
          <cell r="H1270" t="str">
            <v>No</v>
          </cell>
          <cell r="I1270" t="str">
            <v>Yes</v>
          </cell>
          <cell r="J1270">
            <v>45720</v>
          </cell>
          <cell r="K1270" t="str">
            <v>Yes</v>
          </cell>
          <cell r="L1270">
            <v>44310</v>
          </cell>
          <cell r="M1270">
            <v>235</v>
          </cell>
          <cell r="N1270">
            <v>285</v>
          </cell>
          <cell r="O1270">
            <v>2335.592529296875</v>
          </cell>
          <cell r="P1270">
            <v>9124.3800479051988</v>
          </cell>
          <cell r="Q1270">
            <v>2226.78125</v>
          </cell>
        </row>
        <row r="1271">
          <cell r="A1271" t="str">
            <v>KL4CJASB6HB028457</v>
          </cell>
          <cell r="B1271">
            <v>2017</v>
          </cell>
          <cell r="C1271" t="str">
            <v>BUICK</v>
          </cell>
          <cell r="D1271" t="str">
            <v>ENCORE</v>
          </cell>
          <cell r="E1271">
            <v>66736</v>
          </cell>
          <cell r="F1271" t="str">
            <v>Grade 2.3</v>
          </cell>
          <cell r="G1271" t="str">
            <v>Green Light</v>
          </cell>
          <cell r="H1271" t="str">
            <v>Yes</v>
          </cell>
          <cell r="I1271" t="str">
            <v>No</v>
          </cell>
          <cell r="J1271">
            <v>45566</v>
          </cell>
          <cell r="K1271" t="str">
            <v>Yes</v>
          </cell>
          <cell r="L1271">
            <v>44310</v>
          </cell>
          <cell r="M1271">
            <v>235</v>
          </cell>
          <cell r="N1271">
            <v>285</v>
          </cell>
          <cell r="O1271">
            <v>5410.23046875</v>
          </cell>
          <cell r="P1271">
            <v>10162.12948781321</v>
          </cell>
          <cell r="Q1271">
            <v>5263.06396484375</v>
          </cell>
        </row>
        <row r="1272">
          <cell r="A1272" t="str">
            <v>KL4CJASB6KB949567</v>
          </cell>
          <cell r="B1272">
            <v>2019</v>
          </cell>
          <cell r="C1272" t="str">
            <v>BUICK</v>
          </cell>
          <cell r="D1272" t="str">
            <v>ENCORE</v>
          </cell>
          <cell r="E1272">
            <v>69597</v>
          </cell>
          <cell r="F1272" t="str">
            <v>Grade 3.9</v>
          </cell>
          <cell r="G1272" t="str">
            <v>Certified</v>
          </cell>
          <cell r="H1272" t="str">
            <v>Yes</v>
          </cell>
          <cell r="I1272" t="str">
            <v>No</v>
          </cell>
          <cell r="J1272">
            <v>45664</v>
          </cell>
          <cell r="K1272" t="str">
            <v>Yes</v>
          </cell>
          <cell r="L1272">
            <v>44310</v>
          </cell>
          <cell r="M1272">
            <v>235</v>
          </cell>
          <cell r="N1272">
            <v>285</v>
          </cell>
          <cell r="O1272">
            <v>9784.53125</v>
          </cell>
          <cell r="P1272">
            <v>10353.298707339731</v>
          </cell>
          <cell r="Q1272">
            <v>9783.87890625</v>
          </cell>
        </row>
        <row r="1273">
          <cell r="A1273" t="str">
            <v>KL4CJASB9GB722557</v>
          </cell>
          <cell r="B1273">
            <v>2016</v>
          </cell>
          <cell r="C1273" t="str">
            <v>BUICK</v>
          </cell>
          <cell r="D1273" t="str">
            <v>ENCORE FWD</v>
          </cell>
          <cell r="E1273">
            <v>84122</v>
          </cell>
          <cell r="F1273" t="str">
            <v>Grade 4.1</v>
          </cell>
          <cell r="G1273" t="str">
            <v>Red Light</v>
          </cell>
          <cell r="H1273" t="str">
            <v>No</v>
          </cell>
          <cell r="I1273" t="str">
            <v>Yes</v>
          </cell>
          <cell r="J1273">
            <v>45645</v>
          </cell>
          <cell r="K1273" t="str">
            <v>Yes</v>
          </cell>
          <cell r="L1273">
            <v>44310</v>
          </cell>
          <cell r="M1273">
            <v>235</v>
          </cell>
          <cell r="N1273">
            <v>285</v>
          </cell>
          <cell r="O1273">
            <v>8640.9921875</v>
          </cell>
          <cell r="P1273">
            <v>10034.07664708958</v>
          </cell>
          <cell r="Q1273">
            <v>8592.533203125</v>
          </cell>
        </row>
        <row r="1274">
          <cell r="A1274" t="str">
            <v>KL4CJESBXGB647889</v>
          </cell>
          <cell r="B1274">
            <v>2016</v>
          </cell>
          <cell r="C1274" t="str">
            <v>BUICK</v>
          </cell>
          <cell r="D1274" t="str">
            <v>ENCORE</v>
          </cell>
          <cell r="E1274">
            <v>77501</v>
          </cell>
          <cell r="F1274" t="str">
            <v>Grade 1.7</v>
          </cell>
          <cell r="G1274" t="str">
            <v>Green/Yellow</v>
          </cell>
          <cell r="H1274" t="str">
            <v>Yes</v>
          </cell>
          <cell r="I1274" t="str">
            <v>No</v>
          </cell>
          <cell r="J1274">
            <v>45608</v>
          </cell>
          <cell r="K1274" t="str">
            <v>Yes</v>
          </cell>
          <cell r="L1274">
            <v>44310</v>
          </cell>
          <cell r="M1274">
            <v>235</v>
          </cell>
          <cell r="N1274">
            <v>285</v>
          </cell>
          <cell r="O1274">
            <v>3294.74658203125</v>
          </cell>
          <cell r="P1274">
            <v>9237.2303653788022</v>
          </cell>
          <cell r="Q1274">
            <v>3241.23095703125</v>
          </cell>
        </row>
        <row r="1275">
          <cell r="A1275" t="str">
            <v>KL7CJLSM8MB373841</v>
          </cell>
          <cell r="B1275">
            <v>2021</v>
          </cell>
          <cell r="C1275" t="str">
            <v>CHEVROLET</v>
          </cell>
          <cell r="D1275" t="str">
            <v>TRAX FWD</v>
          </cell>
          <cell r="E1275">
            <v>35989</v>
          </cell>
          <cell r="F1275" t="str">
            <v>Grade 2.8</v>
          </cell>
          <cell r="G1275" t="str">
            <v>Green Light</v>
          </cell>
          <cell r="H1275" t="str">
            <v>Yes</v>
          </cell>
          <cell r="I1275" t="str">
            <v>No</v>
          </cell>
          <cell r="J1275">
            <v>45701</v>
          </cell>
          <cell r="K1275" t="str">
            <v>Yes</v>
          </cell>
          <cell r="L1275">
            <v>44310</v>
          </cell>
          <cell r="M1275">
            <v>235</v>
          </cell>
          <cell r="N1275">
            <v>285</v>
          </cell>
          <cell r="O1275">
            <v>12401.4296875</v>
          </cell>
          <cell r="P1275">
            <v>14220.725686421671</v>
          </cell>
          <cell r="Q1275">
            <v>11868.626953125</v>
          </cell>
        </row>
        <row r="1276">
          <cell r="A1276" t="str">
            <v>KM8J33A23HU352180</v>
          </cell>
          <cell r="B1276">
            <v>2017</v>
          </cell>
          <cell r="C1276" t="str">
            <v>HYUNDAI</v>
          </cell>
          <cell r="D1276" t="str">
            <v>TUCSON</v>
          </cell>
          <cell r="E1276">
            <v>88282</v>
          </cell>
          <cell r="F1276" t="str">
            <v>Grade 4.0</v>
          </cell>
          <cell r="G1276" t="str">
            <v>Certified</v>
          </cell>
          <cell r="H1276" t="str">
            <v>Yes</v>
          </cell>
          <cell r="I1276" t="str">
            <v>No</v>
          </cell>
          <cell r="J1276">
            <v>45608</v>
          </cell>
          <cell r="K1276" t="str">
            <v>Yes</v>
          </cell>
          <cell r="L1276">
            <v>44310</v>
          </cell>
          <cell r="M1276">
            <v>235</v>
          </cell>
          <cell r="N1276">
            <v>285</v>
          </cell>
          <cell r="O1276">
            <v>8918.873046875</v>
          </cell>
          <cell r="P1276">
            <v>9733.5403555283101</v>
          </cell>
          <cell r="Q1276">
            <v>8951.8310546875</v>
          </cell>
        </row>
        <row r="1277">
          <cell r="A1277" t="str">
            <v>KM8J3CA48GU207183</v>
          </cell>
          <cell r="B1277">
            <v>2016</v>
          </cell>
          <cell r="C1277" t="str">
            <v>HYUNDAI</v>
          </cell>
          <cell r="D1277" t="str">
            <v>TUCSON AWD 4C</v>
          </cell>
          <cell r="E1277">
            <v>77444</v>
          </cell>
          <cell r="F1277" t="str">
            <v>Grade 2.6</v>
          </cell>
          <cell r="G1277" t="str">
            <v>Green Light</v>
          </cell>
          <cell r="H1277" t="str">
            <v>Yes</v>
          </cell>
          <cell r="I1277" t="str">
            <v>No</v>
          </cell>
          <cell r="J1277">
            <v>45659</v>
          </cell>
          <cell r="K1277" t="str">
            <v>Yes</v>
          </cell>
          <cell r="L1277">
            <v>44310</v>
          </cell>
          <cell r="M1277">
            <v>235</v>
          </cell>
          <cell r="N1277">
            <v>285</v>
          </cell>
          <cell r="O1277">
            <v>3132.28173828125</v>
          </cell>
          <cell r="P1277">
            <v>9010.2642736506132</v>
          </cell>
          <cell r="Q1277">
            <v>3011.75048828125</v>
          </cell>
        </row>
        <row r="1278">
          <cell r="A1278" t="str">
            <v>KM8SM4HF7EU046143</v>
          </cell>
          <cell r="B1278">
            <v>2014</v>
          </cell>
          <cell r="C1278" t="str">
            <v>HYUNDAI</v>
          </cell>
          <cell r="D1278" t="str">
            <v>SANTA FE</v>
          </cell>
          <cell r="E1278">
            <v>113712</v>
          </cell>
          <cell r="F1278" t="str">
            <v>Grade 4.2</v>
          </cell>
          <cell r="G1278" t="str">
            <v>Green Light</v>
          </cell>
          <cell r="H1278" t="str">
            <v>Yes</v>
          </cell>
          <cell r="I1278" t="str">
            <v>No</v>
          </cell>
          <cell r="J1278">
            <v>45356</v>
          </cell>
          <cell r="K1278" t="str">
            <v>Yes</v>
          </cell>
          <cell r="L1278">
            <v>44310</v>
          </cell>
          <cell r="M1278">
            <v>235</v>
          </cell>
          <cell r="N1278">
            <v>285</v>
          </cell>
          <cell r="O1278">
            <v>6165.72265625</v>
          </cell>
          <cell r="P1278">
            <v>9542.9254611558426</v>
          </cell>
          <cell r="Q1278">
            <v>6180.5615234375</v>
          </cell>
        </row>
        <row r="1279">
          <cell r="A1279" t="str">
            <v>KMHRB8A30MU067927</v>
          </cell>
          <cell r="B1279">
            <v>2021</v>
          </cell>
          <cell r="C1279" t="str">
            <v>HYUNDAI</v>
          </cell>
          <cell r="D1279" t="str">
            <v>VENUE</v>
          </cell>
          <cell r="E1279">
            <v>63070</v>
          </cell>
          <cell r="F1279" t="str">
            <v>Grade 4.4</v>
          </cell>
          <cell r="G1279" t="str">
            <v>Certified</v>
          </cell>
          <cell r="H1279" t="str">
            <v>Yes</v>
          </cell>
          <cell r="I1279" t="str">
            <v>No</v>
          </cell>
          <cell r="J1279">
            <v>45456</v>
          </cell>
          <cell r="K1279" t="str">
            <v>Yes</v>
          </cell>
          <cell r="L1279">
            <v>44310</v>
          </cell>
          <cell r="M1279">
            <v>235</v>
          </cell>
          <cell r="N1279">
            <v>285</v>
          </cell>
          <cell r="O1279">
            <v>14133.1572265625</v>
          </cell>
          <cell r="P1279">
            <v>13873.65331898178</v>
          </cell>
          <cell r="Q1279">
            <v>13960.5166015625</v>
          </cell>
        </row>
        <row r="1280">
          <cell r="A1280" t="str">
            <v>KMHTC6AE5GU296987</v>
          </cell>
          <cell r="B1280">
            <v>2016</v>
          </cell>
          <cell r="C1280" t="str">
            <v>HYUNDAI</v>
          </cell>
          <cell r="D1280" t="str">
            <v>VELOSTER</v>
          </cell>
          <cell r="E1280">
            <v>77231</v>
          </cell>
          <cell r="F1280" t="str">
            <v>Grade 2.3</v>
          </cell>
          <cell r="G1280" t="str">
            <v>Green/Yellow</v>
          </cell>
          <cell r="H1280" t="str">
            <v>Yes</v>
          </cell>
          <cell r="I1280" t="str">
            <v>No</v>
          </cell>
          <cell r="J1280">
            <v>45580</v>
          </cell>
          <cell r="K1280" t="str">
            <v>Yes</v>
          </cell>
          <cell r="L1280">
            <v>44310</v>
          </cell>
          <cell r="M1280">
            <v>235</v>
          </cell>
          <cell r="N1280">
            <v>285</v>
          </cell>
          <cell r="O1280">
            <v>3214.324951171875</v>
          </cell>
          <cell r="P1280">
            <v>8903.5670421179093</v>
          </cell>
          <cell r="Q1280">
            <v>3070.48291015625</v>
          </cell>
        </row>
        <row r="1281">
          <cell r="A1281" t="str">
            <v>KNDJN2A28K7916758</v>
          </cell>
          <cell r="B1281">
            <v>2019</v>
          </cell>
          <cell r="C1281" t="str">
            <v>KIA</v>
          </cell>
          <cell r="D1281" t="str">
            <v>SOUL</v>
          </cell>
          <cell r="E1281">
            <v>46227</v>
          </cell>
          <cell r="F1281" t="str">
            <v>Grade 4.4</v>
          </cell>
          <cell r="G1281" t="str">
            <v>Certified</v>
          </cell>
          <cell r="H1281" t="str">
            <v>Yes</v>
          </cell>
          <cell r="I1281" t="str">
            <v>No</v>
          </cell>
          <cell r="J1281">
            <v>45365</v>
          </cell>
          <cell r="K1281" t="str">
            <v>Yes</v>
          </cell>
          <cell r="L1281">
            <v>44310</v>
          </cell>
          <cell r="M1281">
            <v>235</v>
          </cell>
          <cell r="N1281">
            <v>285</v>
          </cell>
          <cell r="O1281">
            <v>10340.0859375</v>
          </cell>
          <cell r="P1281">
            <v>11818.23621373121</v>
          </cell>
          <cell r="Q1281">
            <v>10078.4208984375</v>
          </cell>
        </row>
        <row r="1282">
          <cell r="A1282" t="str">
            <v>KNDPBCAC2F7756464</v>
          </cell>
          <cell r="B1282">
            <v>2015</v>
          </cell>
          <cell r="C1282" t="str">
            <v>KIA</v>
          </cell>
          <cell r="D1282" t="str">
            <v>SPORTAGE</v>
          </cell>
          <cell r="E1282">
            <v>60690</v>
          </cell>
          <cell r="F1282" t="str">
            <v>Grade 4.2</v>
          </cell>
          <cell r="G1282" t="str">
            <v>Certified</v>
          </cell>
          <cell r="H1282" t="str">
            <v>Yes</v>
          </cell>
          <cell r="I1282" t="str">
            <v>No</v>
          </cell>
          <cell r="J1282">
            <v>45594</v>
          </cell>
          <cell r="K1282" t="str">
            <v>Yes</v>
          </cell>
          <cell r="L1282">
            <v>44310</v>
          </cell>
          <cell r="M1282">
            <v>235</v>
          </cell>
          <cell r="N1282">
            <v>285</v>
          </cell>
          <cell r="O1282">
            <v>8282.6767578125</v>
          </cell>
          <cell r="P1282">
            <v>11707.979044750071</v>
          </cell>
          <cell r="Q1282">
            <v>8033.068359375</v>
          </cell>
        </row>
        <row r="1283">
          <cell r="A1283" t="str">
            <v>KNDPM3ACXK7557506</v>
          </cell>
          <cell r="B1283">
            <v>2019</v>
          </cell>
          <cell r="C1283" t="str">
            <v>KIA</v>
          </cell>
          <cell r="D1283" t="str">
            <v>SPORTAGE FWD 4C</v>
          </cell>
          <cell r="E1283">
            <v>80259</v>
          </cell>
          <cell r="F1283" t="str">
            <v>Grade 4.5</v>
          </cell>
          <cell r="G1283" t="str">
            <v>Certified</v>
          </cell>
          <cell r="H1283" t="str">
            <v>Yes</v>
          </cell>
          <cell r="I1283" t="str">
            <v>No</v>
          </cell>
          <cell r="J1283">
            <v>45617</v>
          </cell>
          <cell r="K1283" t="str">
            <v>Yes</v>
          </cell>
          <cell r="L1283">
            <v>44310</v>
          </cell>
          <cell r="M1283">
            <v>235</v>
          </cell>
          <cell r="N1283">
            <v>285</v>
          </cell>
          <cell r="O1283">
            <v>9317.1123046875</v>
          </cell>
          <cell r="P1283">
            <v>9892.071317411921</v>
          </cell>
          <cell r="Q1283">
            <v>9545.10546875</v>
          </cell>
        </row>
        <row r="1284">
          <cell r="A1284" t="str">
            <v>MAJ3S2FE5MC418621</v>
          </cell>
          <cell r="B1284">
            <v>2021</v>
          </cell>
          <cell r="C1284" t="str">
            <v>FORD</v>
          </cell>
          <cell r="D1284" t="str">
            <v>ECOSPORT</v>
          </cell>
          <cell r="E1284">
            <v>62166</v>
          </cell>
          <cell r="F1284" t="str">
            <v>Grade 1.8</v>
          </cell>
          <cell r="G1284" t="str">
            <v>Red Light</v>
          </cell>
          <cell r="H1284" t="str">
            <v>No</v>
          </cell>
          <cell r="I1284" t="str">
            <v>Yes</v>
          </cell>
          <cell r="J1284">
            <v>45636</v>
          </cell>
          <cell r="K1284" t="str">
            <v>Yes</v>
          </cell>
          <cell r="L1284">
            <v>44310</v>
          </cell>
          <cell r="M1284">
            <v>235</v>
          </cell>
          <cell r="N1284">
            <v>285</v>
          </cell>
          <cell r="O1284">
            <v>9809.0966796875</v>
          </cell>
          <cell r="P1284">
            <v>13490.47136591854</v>
          </cell>
          <cell r="Q1284">
            <v>9964.1064453125</v>
          </cell>
        </row>
        <row r="1285">
          <cell r="A1285" t="str">
            <v>ML32FUFJ7MHF02967</v>
          </cell>
          <cell r="B1285">
            <v>2021</v>
          </cell>
          <cell r="C1285" t="str">
            <v>MITSUBISHI</v>
          </cell>
          <cell r="D1285" t="str">
            <v>MIRAGE G4</v>
          </cell>
          <cell r="E1285">
            <v>91212</v>
          </cell>
          <cell r="F1285" t="str">
            <v>Grade 2.9</v>
          </cell>
          <cell r="G1285" t="str">
            <v>Green Light</v>
          </cell>
          <cell r="H1285" t="str">
            <v>Yes</v>
          </cell>
          <cell r="I1285" t="str">
            <v>No</v>
          </cell>
          <cell r="J1285">
            <v>45608</v>
          </cell>
          <cell r="K1285" t="str">
            <v>Yes</v>
          </cell>
          <cell r="L1285">
            <v>44310</v>
          </cell>
          <cell r="M1285">
            <v>235</v>
          </cell>
          <cell r="N1285">
            <v>285</v>
          </cell>
          <cell r="O1285">
            <v>4965.17236328125</v>
          </cell>
          <cell r="P1285">
            <v>11541.12377513697</v>
          </cell>
          <cell r="Q1285">
            <v>4642.0361328125</v>
          </cell>
        </row>
        <row r="1286">
          <cell r="A1286" t="str">
            <v>WA1CMAFP9FA127712</v>
          </cell>
          <cell r="B1286">
            <v>2015</v>
          </cell>
          <cell r="C1286" t="str">
            <v>AUDI</v>
          </cell>
          <cell r="D1286" t="str">
            <v>Q5</v>
          </cell>
          <cell r="E1286">
            <v>67755</v>
          </cell>
          <cell r="F1286" t="str">
            <v>Grade 2.9</v>
          </cell>
          <cell r="G1286" t="str">
            <v>Green Light</v>
          </cell>
          <cell r="H1286" t="str">
            <v>Yes</v>
          </cell>
          <cell r="I1286" t="str">
            <v>No</v>
          </cell>
          <cell r="J1286">
            <v>45636</v>
          </cell>
          <cell r="K1286" t="str">
            <v>Yes</v>
          </cell>
          <cell r="L1286">
            <v>44310</v>
          </cell>
          <cell r="M1286">
            <v>235</v>
          </cell>
          <cell r="N1286">
            <v>285</v>
          </cell>
          <cell r="O1286">
            <v>5145.58642578125</v>
          </cell>
          <cell r="P1286">
            <v>9984.4441832262874</v>
          </cell>
          <cell r="Q1286">
            <v>5025.76025390625</v>
          </cell>
        </row>
        <row r="1287">
          <cell r="A1287" t="str">
            <v>WAUGFAFC5GN084850</v>
          </cell>
          <cell r="B1287">
            <v>2016</v>
          </cell>
          <cell r="C1287" t="str">
            <v>AUDI</v>
          </cell>
          <cell r="D1287" t="str">
            <v>A6</v>
          </cell>
          <cell r="E1287">
            <v>82451</v>
          </cell>
          <cell r="F1287" t="str">
            <v>Grade 2.7</v>
          </cell>
          <cell r="G1287" t="str">
            <v>Red Light</v>
          </cell>
          <cell r="H1287" t="str">
            <v>No</v>
          </cell>
          <cell r="I1287" t="str">
            <v>Yes</v>
          </cell>
          <cell r="J1287">
            <v>45510</v>
          </cell>
          <cell r="K1287" t="str">
            <v>Yes</v>
          </cell>
          <cell r="L1287">
            <v>44310</v>
          </cell>
          <cell r="M1287">
            <v>235</v>
          </cell>
          <cell r="N1287">
            <v>285</v>
          </cell>
          <cell r="O1287">
            <v>4755.89306640625</v>
          </cell>
          <cell r="P1287">
            <v>9439.6045349740816</v>
          </cell>
          <cell r="Q1287">
            <v>4748.45361328125</v>
          </cell>
        </row>
        <row r="1288">
          <cell r="A1288" t="str">
            <v>WBXHT3C37H5F68557</v>
          </cell>
          <cell r="B1288">
            <v>2017</v>
          </cell>
          <cell r="C1288" t="str">
            <v>BMW</v>
          </cell>
          <cell r="D1288" t="str">
            <v>X1</v>
          </cell>
          <cell r="E1288">
            <v>147111</v>
          </cell>
          <cell r="F1288" t="str">
            <v>Grade 2.8</v>
          </cell>
          <cell r="G1288" t="str">
            <v>Red Light</v>
          </cell>
          <cell r="H1288" t="str">
            <v>No</v>
          </cell>
          <cell r="I1288" t="str">
            <v>Yes</v>
          </cell>
          <cell r="J1288">
            <v>45678</v>
          </cell>
          <cell r="K1288" t="str">
            <v>Yes</v>
          </cell>
          <cell r="L1288">
            <v>44310</v>
          </cell>
          <cell r="M1288">
            <v>235</v>
          </cell>
          <cell r="N1288">
            <v>285</v>
          </cell>
          <cell r="O1288">
            <v>2879.905517578125</v>
          </cell>
          <cell r="P1288">
            <v>9450.9768347761528</v>
          </cell>
          <cell r="Q1288">
            <v>2804.68310546875</v>
          </cell>
        </row>
        <row r="1289">
          <cell r="A1289" t="str">
            <v>WDBSK70F19F151485</v>
          </cell>
          <cell r="B1289">
            <v>2009</v>
          </cell>
          <cell r="C1289" t="str">
            <v>MERCEDES-BENZ</v>
          </cell>
          <cell r="D1289" t="str">
            <v>SL 63 AMG</v>
          </cell>
          <cell r="E1289">
            <v>75239</v>
          </cell>
          <cell r="F1289" t="str">
            <v>Grade 2.0</v>
          </cell>
          <cell r="G1289" t="str">
            <v>Red Light</v>
          </cell>
          <cell r="H1289" t="str">
            <v>No</v>
          </cell>
          <cell r="I1289" t="str">
            <v>Yes</v>
          </cell>
          <cell r="J1289">
            <v>45552</v>
          </cell>
          <cell r="K1289" t="str">
            <v>Yes</v>
          </cell>
          <cell r="L1289">
            <v>44310</v>
          </cell>
          <cell r="M1289">
            <v>235</v>
          </cell>
          <cell r="N1289">
            <v>285</v>
          </cell>
          <cell r="O1289">
            <v>4550.8935546875</v>
          </cell>
          <cell r="P1289">
            <v>9894.9891497831559</v>
          </cell>
          <cell r="Q1289">
            <v>4511.9150390625</v>
          </cell>
        </row>
        <row r="1290">
          <cell r="A1290" t="str">
            <v>WVGRV7AX6HW507941</v>
          </cell>
          <cell r="B1290">
            <v>2017</v>
          </cell>
          <cell r="C1290" t="str">
            <v>VOLKSWAGEN</v>
          </cell>
          <cell r="D1290" t="str">
            <v>TIGUAN</v>
          </cell>
          <cell r="E1290">
            <v>77731</v>
          </cell>
          <cell r="F1290" t="str">
            <v>Grade 2.5</v>
          </cell>
          <cell r="G1290" t="str">
            <v>Green Light</v>
          </cell>
          <cell r="H1290" t="str">
            <v>Yes</v>
          </cell>
          <cell r="I1290" t="str">
            <v>No</v>
          </cell>
          <cell r="J1290">
            <v>45510</v>
          </cell>
          <cell r="K1290" t="str">
            <v>Yes</v>
          </cell>
          <cell r="L1290">
            <v>44310</v>
          </cell>
          <cell r="M1290">
            <v>235</v>
          </cell>
          <cell r="N1290">
            <v>285</v>
          </cell>
          <cell r="O1290">
            <v>4086.025146484375</v>
          </cell>
          <cell r="P1290">
            <v>9123.2636061739413</v>
          </cell>
          <cell r="Q1290">
            <v>4002.080078125</v>
          </cell>
        </row>
        <row r="1291">
          <cell r="A1291" t="str">
            <v>ZACCJABT0FPB58945</v>
          </cell>
          <cell r="B1291">
            <v>2015</v>
          </cell>
          <cell r="C1291" t="str">
            <v>JEEP</v>
          </cell>
          <cell r="D1291" t="str">
            <v>RENEGADE</v>
          </cell>
          <cell r="E1291">
            <v>76486</v>
          </cell>
          <cell r="F1291" t="str">
            <v>Grade 4.2</v>
          </cell>
          <cell r="G1291" t="str">
            <v>Certified</v>
          </cell>
          <cell r="H1291" t="str">
            <v>Yes</v>
          </cell>
          <cell r="I1291" t="str">
            <v>No</v>
          </cell>
          <cell r="J1291">
            <v>45300</v>
          </cell>
          <cell r="K1291" t="str">
            <v>Yes</v>
          </cell>
          <cell r="L1291">
            <v>44310</v>
          </cell>
          <cell r="M1291">
            <v>235</v>
          </cell>
          <cell r="N1291">
            <v>285</v>
          </cell>
          <cell r="O1291">
            <v>10122.1494140625</v>
          </cell>
          <cell r="P1291">
            <v>10141.680582460691</v>
          </cell>
          <cell r="Q1291">
            <v>10345.4609375</v>
          </cell>
        </row>
        <row r="1292">
          <cell r="A1292" t="str">
            <v>ZACCJBBB7HPE49802</v>
          </cell>
          <cell r="B1292">
            <v>2017</v>
          </cell>
          <cell r="C1292" t="str">
            <v>JEEP</v>
          </cell>
          <cell r="D1292" t="str">
            <v>RENEGADE</v>
          </cell>
          <cell r="E1292">
            <v>122814</v>
          </cell>
          <cell r="F1292" t="str">
            <v>Grade 2.3</v>
          </cell>
          <cell r="G1292" t="str">
            <v>Green/Yellow</v>
          </cell>
          <cell r="H1292" t="str">
            <v>Yes</v>
          </cell>
          <cell r="I1292" t="str">
            <v>No</v>
          </cell>
          <cell r="J1292">
            <v>45426</v>
          </cell>
          <cell r="K1292" t="str">
            <v>Yes</v>
          </cell>
          <cell r="L1292">
            <v>44310</v>
          </cell>
          <cell r="M1292">
            <v>235</v>
          </cell>
          <cell r="N1292">
            <v>285</v>
          </cell>
          <cell r="O1292">
            <v>4094.371337890625</v>
          </cell>
          <cell r="P1292">
            <v>9100.4217080466933</v>
          </cell>
          <cell r="Q1292">
            <v>4002.080078125</v>
          </cell>
        </row>
        <row r="1293">
          <cell r="A1293" t="str">
            <v>ZACCJBBT0FPB53070</v>
          </cell>
          <cell r="B1293">
            <v>2015</v>
          </cell>
          <cell r="C1293" t="str">
            <v>JEEP</v>
          </cell>
          <cell r="D1293" t="str">
            <v>RENEGADE 4X4 4C</v>
          </cell>
          <cell r="E1293">
            <v>73565</v>
          </cell>
          <cell r="F1293" t="str">
            <v>Grade 3.6</v>
          </cell>
          <cell r="G1293" t="str">
            <v>Certified</v>
          </cell>
          <cell r="H1293" t="str">
            <v>Yes</v>
          </cell>
          <cell r="I1293" t="str">
            <v>No</v>
          </cell>
          <cell r="J1293">
            <v>45449</v>
          </cell>
          <cell r="K1293" t="str">
            <v>Yes</v>
          </cell>
          <cell r="L1293">
            <v>44310</v>
          </cell>
          <cell r="M1293">
            <v>235</v>
          </cell>
          <cell r="N1293">
            <v>285</v>
          </cell>
          <cell r="O1293">
            <v>9715.109375</v>
          </cell>
          <cell r="P1293">
            <v>10254.474464374411</v>
          </cell>
          <cell r="Q1293">
            <v>9783.87890625</v>
          </cell>
        </row>
        <row r="1294">
          <cell r="A1294" t="str">
            <v>1FTEX1EP0JKD95686</v>
          </cell>
          <cell r="B1294">
            <v>2018</v>
          </cell>
          <cell r="C1294" t="str">
            <v>FORD</v>
          </cell>
          <cell r="D1294" t="str">
            <v>F150 4X4 EX</v>
          </cell>
          <cell r="E1294">
            <v>126067</v>
          </cell>
          <cell r="F1294" t="str">
            <v>Grade 3.6</v>
          </cell>
          <cell r="G1294" t="str">
            <v>Green/Yellow</v>
          </cell>
          <cell r="H1294" t="str">
            <v>Yes</v>
          </cell>
          <cell r="I1294" t="str">
            <v>No</v>
          </cell>
          <cell r="J1294">
            <v>45645</v>
          </cell>
          <cell r="K1294" t="str">
            <v>Yes</v>
          </cell>
          <cell r="L1294">
            <v>44430</v>
          </cell>
          <cell r="M1294">
            <v>264</v>
          </cell>
          <cell r="N1294">
            <v>314</v>
          </cell>
          <cell r="O1294">
            <v>8387.3955078125</v>
          </cell>
          <cell r="P1294">
            <v>10110.30526507749</v>
          </cell>
          <cell r="Q1294">
            <v>8255.8642578125</v>
          </cell>
        </row>
        <row r="1295">
          <cell r="A1295" t="str">
            <v>1G1PC5SB9F7201793</v>
          </cell>
          <cell r="B1295">
            <v>2015</v>
          </cell>
          <cell r="C1295" t="str">
            <v>CHEVROLET</v>
          </cell>
          <cell r="D1295" t="str">
            <v>CRUZE</v>
          </cell>
          <cell r="E1295">
            <v>90910</v>
          </cell>
          <cell r="F1295" t="str">
            <v>Grade 1.7</v>
          </cell>
          <cell r="G1295" t="str">
            <v>Red Light</v>
          </cell>
          <cell r="H1295" t="str">
            <v>No</v>
          </cell>
          <cell r="I1295" t="str">
            <v>Yes</v>
          </cell>
          <cell r="J1295">
            <v>45328</v>
          </cell>
          <cell r="K1295" t="str">
            <v>Yes</v>
          </cell>
          <cell r="L1295">
            <v>44430</v>
          </cell>
          <cell r="M1295">
            <v>264</v>
          </cell>
          <cell r="N1295">
            <v>314</v>
          </cell>
          <cell r="O1295">
            <v>3429.275146484375</v>
          </cell>
          <cell r="P1295">
            <v>9410.9987949300612</v>
          </cell>
          <cell r="Q1295">
            <v>3493.63818359375</v>
          </cell>
        </row>
        <row r="1296">
          <cell r="A1296" t="str">
            <v>2T1BURHE7JC052086</v>
          </cell>
          <cell r="B1296">
            <v>2018</v>
          </cell>
          <cell r="C1296" t="str">
            <v>TOYOTA</v>
          </cell>
          <cell r="D1296" t="str">
            <v>COROLLA</v>
          </cell>
          <cell r="E1296">
            <v>76955</v>
          </cell>
          <cell r="F1296" t="str">
            <v>Grade 2.6</v>
          </cell>
          <cell r="G1296" t="str">
            <v>Green/Yellow</v>
          </cell>
          <cell r="H1296" t="str">
            <v>Yes</v>
          </cell>
          <cell r="I1296" t="str">
            <v>No</v>
          </cell>
          <cell r="J1296">
            <v>45706</v>
          </cell>
          <cell r="K1296" t="str">
            <v>Yes</v>
          </cell>
          <cell r="L1296">
            <v>44430</v>
          </cell>
          <cell r="M1296">
            <v>264</v>
          </cell>
          <cell r="N1296">
            <v>314</v>
          </cell>
          <cell r="O1296">
            <v>6485.95751953125</v>
          </cell>
          <cell r="P1296">
            <v>9717.3024295415835</v>
          </cell>
          <cell r="Q1296">
            <v>6533.8681640625</v>
          </cell>
        </row>
        <row r="1297">
          <cell r="A1297" t="str">
            <v>3G1BE6SM9HS531143</v>
          </cell>
          <cell r="B1297">
            <v>2017</v>
          </cell>
          <cell r="C1297" t="str">
            <v>CHEVROLET</v>
          </cell>
          <cell r="D1297" t="str">
            <v>CRUZE</v>
          </cell>
          <cell r="E1297">
            <v>115642</v>
          </cell>
          <cell r="F1297" t="str">
            <v>Grade 2.2</v>
          </cell>
          <cell r="G1297" t="str">
            <v>Green/Yellow</v>
          </cell>
          <cell r="H1297" t="str">
            <v>Yes</v>
          </cell>
          <cell r="I1297" t="str">
            <v>No</v>
          </cell>
          <cell r="J1297">
            <v>45463</v>
          </cell>
          <cell r="K1297" t="str">
            <v>Yes</v>
          </cell>
          <cell r="L1297">
            <v>44430</v>
          </cell>
          <cell r="M1297">
            <v>264</v>
          </cell>
          <cell r="N1297">
            <v>314</v>
          </cell>
          <cell r="O1297">
            <v>3889.6640625</v>
          </cell>
          <cell r="P1297">
            <v>9219.3993841882602</v>
          </cell>
          <cell r="Q1297">
            <v>3803.46435546875</v>
          </cell>
        </row>
        <row r="1298">
          <cell r="A1298" t="str">
            <v>3GYFNAE36DS654370</v>
          </cell>
          <cell r="B1298">
            <v>2013</v>
          </cell>
          <cell r="C1298" t="str">
            <v>CADILLAC</v>
          </cell>
          <cell r="D1298" t="str">
            <v>SRX</v>
          </cell>
          <cell r="E1298">
            <v>94100</v>
          </cell>
          <cell r="F1298" t="str">
            <v>Grade 2.8</v>
          </cell>
          <cell r="G1298" t="str">
            <v>Green Light</v>
          </cell>
          <cell r="H1298" t="str">
            <v>Yes</v>
          </cell>
          <cell r="I1298" t="str">
            <v>No</v>
          </cell>
          <cell r="J1298">
            <v>45342</v>
          </cell>
          <cell r="K1298" t="str">
            <v>Yes</v>
          </cell>
          <cell r="L1298">
            <v>44430</v>
          </cell>
          <cell r="M1298">
            <v>264</v>
          </cell>
          <cell r="N1298">
            <v>314</v>
          </cell>
          <cell r="O1298">
            <v>3293.351318359375</v>
          </cell>
          <cell r="P1298">
            <v>9264.5864382824875</v>
          </cell>
          <cell r="Q1298">
            <v>3250.00439453125</v>
          </cell>
        </row>
        <row r="1299">
          <cell r="A1299" t="str">
            <v>4T1BF1FK1CU186551</v>
          </cell>
          <cell r="B1299">
            <v>2012</v>
          </cell>
          <cell r="C1299" t="str">
            <v>TOYOTA</v>
          </cell>
          <cell r="D1299" t="str">
            <v>CAMRY</v>
          </cell>
          <cell r="E1299">
            <v>118958</v>
          </cell>
          <cell r="F1299" t="str">
            <v>Grade 3.9</v>
          </cell>
          <cell r="G1299" t="str">
            <v>Certified</v>
          </cell>
          <cell r="H1299" t="str">
            <v>Yes</v>
          </cell>
          <cell r="I1299" t="str">
            <v>No</v>
          </cell>
          <cell r="J1299">
            <v>45622</v>
          </cell>
          <cell r="K1299" t="str">
            <v>Yes</v>
          </cell>
          <cell r="L1299">
            <v>44430</v>
          </cell>
          <cell r="M1299">
            <v>264</v>
          </cell>
          <cell r="N1299">
            <v>314</v>
          </cell>
          <cell r="O1299">
            <v>6357.34228515625</v>
          </cell>
          <cell r="P1299">
            <v>10219.816916269259</v>
          </cell>
          <cell r="Q1299">
            <v>6123.6171875</v>
          </cell>
        </row>
        <row r="1300">
          <cell r="A1300" t="str">
            <v>4T4BF3EK9BR103756</v>
          </cell>
          <cell r="B1300">
            <v>2011</v>
          </cell>
          <cell r="C1300" t="str">
            <v>TOYOTA</v>
          </cell>
          <cell r="D1300" t="str">
            <v>CAMRY</v>
          </cell>
          <cell r="E1300">
            <v>114761</v>
          </cell>
          <cell r="F1300" t="str">
            <v>Grade 3.6</v>
          </cell>
          <cell r="G1300" t="str">
            <v>Green Light</v>
          </cell>
          <cell r="H1300" t="str">
            <v>Yes</v>
          </cell>
          <cell r="I1300" t="str">
            <v>No</v>
          </cell>
          <cell r="J1300">
            <v>45426</v>
          </cell>
          <cell r="K1300" t="str">
            <v>Yes</v>
          </cell>
          <cell r="L1300">
            <v>44430</v>
          </cell>
          <cell r="M1300">
            <v>264</v>
          </cell>
          <cell r="N1300">
            <v>314</v>
          </cell>
          <cell r="O1300">
            <v>5941.00830078125</v>
          </cell>
          <cell r="P1300">
            <v>10198.114494817941</v>
          </cell>
          <cell r="Q1300">
            <v>5848.7314453125</v>
          </cell>
        </row>
        <row r="1301">
          <cell r="A1301" t="str">
            <v>KL4CJ2SB4HB221762</v>
          </cell>
          <cell r="B1301">
            <v>2017</v>
          </cell>
          <cell r="C1301" t="str">
            <v>BUICK</v>
          </cell>
          <cell r="D1301" t="str">
            <v>ENCORE</v>
          </cell>
          <cell r="E1301">
            <v>98175</v>
          </cell>
          <cell r="F1301" t="str">
            <v>Grade 2.3</v>
          </cell>
          <cell r="G1301" t="str">
            <v>Red Light</v>
          </cell>
          <cell r="H1301" t="str">
            <v>No</v>
          </cell>
          <cell r="I1301" t="str">
            <v>Yes</v>
          </cell>
          <cell r="J1301">
            <v>45664</v>
          </cell>
          <cell r="K1301" t="str">
            <v>Yes</v>
          </cell>
          <cell r="L1301">
            <v>44430</v>
          </cell>
          <cell r="M1301">
            <v>264</v>
          </cell>
          <cell r="N1301">
            <v>314</v>
          </cell>
          <cell r="O1301">
            <v>3532.489990234375</v>
          </cell>
          <cell r="P1301">
            <v>9209.9676328458518</v>
          </cell>
          <cell r="Q1301">
            <v>3454.8212890625</v>
          </cell>
        </row>
        <row r="1302">
          <cell r="A1302" t="str">
            <v>WVGBV7AXXGW590497</v>
          </cell>
          <cell r="B1302">
            <v>2016</v>
          </cell>
          <cell r="C1302" t="str">
            <v>VOLKSWAGEN</v>
          </cell>
          <cell r="D1302" t="str">
            <v>TIGUAN AWD</v>
          </cell>
          <cell r="E1302">
            <v>161186</v>
          </cell>
          <cell r="F1302" t="str">
            <v>Grade 2.4</v>
          </cell>
          <cell r="G1302" t="str">
            <v>Red Light</v>
          </cell>
          <cell r="H1302" t="str">
            <v>No</v>
          </cell>
          <cell r="I1302" t="str">
            <v>Yes</v>
          </cell>
          <cell r="J1302">
            <v>45722</v>
          </cell>
          <cell r="K1302" t="str">
            <v>Yes</v>
          </cell>
          <cell r="L1302">
            <v>44430</v>
          </cell>
          <cell r="M1302">
            <v>264</v>
          </cell>
          <cell r="N1302">
            <v>314</v>
          </cell>
          <cell r="O1302">
            <v>930.572265625</v>
          </cell>
          <cell r="P1302">
            <v>8806.3539249291716</v>
          </cell>
          <cell r="Q1302">
            <v>1088.946655273438</v>
          </cell>
        </row>
        <row r="1303">
          <cell r="A1303" t="str">
            <v>ZACCJBDT3FPB79289</v>
          </cell>
          <cell r="B1303">
            <v>2015</v>
          </cell>
          <cell r="C1303" t="str">
            <v>JEEP</v>
          </cell>
          <cell r="D1303" t="str">
            <v>RENEGADE</v>
          </cell>
          <cell r="E1303">
            <v>116142</v>
          </cell>
          <cell r="F1303" t="str">
            <v>Grade 1.7</v>
          </cell>
          <cell r="G1303" t="str">
            <v>Red Light</v>
          </cell>
          <cell r="H1303" t="str">
            <v>No</v>
          </cell>
          <cell r="I1303" t="str">
            <v>Yes</v>
          </cell>
          <cell r="J1303">
            <v>45566</v>
          </cell>
          <cell r="K1303" t="str">
            <v>Yes</v>
          </cell>
          <cell r="L1303">
            <v>44430</v>
          </cell>
          <cell r="M1303">
            <v>264</v>
          </cell>
          <cell r="N1303">
            <v>314</v>
          </cell>
          <cell r="O1303">
            <v>2333.068603515625</v>
          </cell>
          <cell r="P1303">
            <v>9072.2755364481745</v>
          </cell>
          <cell r="Q1303">
            <v>2226.78125</v>
          </cell>
        </row>
        <row r="1304">
          <cell r="A1304" t="str">
            <v>1C3BC2FB4BN520099</v>
          </cell>
          <cell r="B1304">
            <v>2011</v>
          </cell>
          <cell r="C1304" t="str">
            <v>CHRYSLER</v>
          </cell>
          <cell r="D1304">
            <v>200</v>
          </cell>
          <cell r="E1304">
            <v>87083</v>
          </cell>
          <cell r="F1304" t="str">
            <v>Grade 3.9</v>
          </cell>
          <cell r="G1304" t="str">
            <v>Red Light</v>
          </cell>
          <cell r="H1304" t="str">
            <v>No</v>
          </cell>
          <cell r="I1304" t="str">
            <v>Yes</v>
          </cell>
          <cell r="J1304">
            <v>45706</v>
          </cell>
          <cell r="K1304" t="str">
            <v>Yes</v>
          </cell>
          <cell r="L1304">
            <v>44444</v>
          </cell>
          <cell r="M1304">
            <v>264</v>
          </cell>
          <cell r="N1304">
            <v>314</v>
          </cell>
          <cell r="O1304">
            <v>4410.650390625</v>
          </cell>
          <cell r="P1304">
            <v>9759.002354708131</v>
          </cell>
          <cell r="Q1304">
            <v>4510.85498046875</v>
          </cell>
        </row>
        <row r="1305">
          <cell r="A1305" t="str">
            <v>1C3CCCCG9FN514315</v>
          </cell>
          <cell r="B1305">
            <v>2015</v>
          </cell>
          <cell r="C1305" t="str">
            <v>CHRYSLER</v>
          </cell>
          <cell r="D1305">
            <v>200</v>
          </cell>
          <cell r="E1305">
            <v>139370</v>
          </cell>
          <cell r="F1305" t="str">
            <v>Grade 3.2</v>
          </cell>
          <cell r="G1305" t="str">
            <v>Green Light</v>
          </cell>
          <cell r="H1305" t="str">
            <v>Yes</v>
          </cell>
          <cell r="I1305" t="str">
            <v>No</v>
          </cell>
          <cell r="J1305">
            <v>45454</v>
          </cell>
          <cell r="K1305" t="str">
            <v>Yes</v>
          </cell>
          <cell r="L1305">
            <v>44444</v>
          </cell>
          <cell r="M1305">
            <v>264</v>
          </cell>
          <cell r="N1305">
            <v>314</v>
          </cell>
          <cell r="O1305">
            <v>4725.96728515625</v>
          </cell>
          <cell r="P1305">
            <v>8973.0802403049347</v>
          </cell>
          <cell r="Q1305">
            <v>4646.1630859375</v>
          </cell>
        </row>
        <row r="1306">
          <cell r="A1306" t="str">
            <v>1C4NJCBA3GD560012</v>
          </cell>
          <cell r="B1306">
            <v>2016</v>
          </cell>
          <cell r="C1306" t="str">
            <v>JEEP</v>
          </cell>
          <cell r="D1306" t="str">
            <v>COMPASS FWD 4C</v>
          </cell>
          <cell r="E1306">
            <v>94561</v>
          </cell>
          <cell r="F1306" t="str">
            <v>Grade 2.5</v>
          </cell>
          <cell r="G1306" t="str">
            <v>Red Light</v>
          </cell>
          <cell r="H1306" t="str">
            <v>No</v>
          </cell>
          <cell r="I1306" t="str">
            <v>Yes</v>
          </cell>
          <cell r="J1306">
            <v>45666</v>
          </cell>
          <cell r="K1306" t="str">
            <v>Yes</v>
          </cell>
          <cell r="L1306">
            <v>44444</v>
          </cell>
          <cell r="M1306">
            <v>264</v>
          </cell>
          <cell r="N1306">
            <v>314</v>
          </cell>
          <cell r="O1306">
            <v>3932.7861328125</v>
          </cell>
          <cell r="P1306">
            <v>9407.1489841642015</v>
          </cell>
          <cell r="Q1306">
            <v>4007.1611328125</v>
          </cell>
        </row>
        <row r="1307">
          <cell r="A1307" t="str">
            <v>1C4NJRBB7FD215687</v>
          </cell>
          <cell r="B1307">
            <v>2015</v>
          </cell>
          <cell r="C1307" t="str">
            <v>JEEP</v>
          </cell>
          <cell r="D1307" t="str">
            <v>PATRIOT 4X4 4C</v>
          </cell>
          <cell r="E1307">
            <v>123561</v>
          </cell>
          <cell r="F1307" t="str">
            <v>Grade 2.4</v>
          </cell>
          <cell r="G1307" t="str">
            <v>Red Light</v>
          </cell>
          <cell r="H1307" t="str">
            <v>No</v>
          </cell>
          <cell r="I1307" t="str">
            <v>Yes</v>
          </cell>
          <cell r="J1307">
            <v>45617</v>
          </cell>
          <cell r="K1307" t="str">
            <v>Yes</v>
          </cell>
          <cell r="L1307">
            <v>44444</v>
          </cell>
          <cell r="M1307">
            <v>264</v>
          </cell>
          <cell r="N1307">
            <v>314</v>
          </cell>
          <cell r="O1307">
            <v>2839.744873046875</v>
          </cell>
          <cell r="P1307">
            <v>9196.4892335764544</v>
          </cell>
          <cell r="Q1307">
            <v>2671.37451171875</v>
          </cell>
        </row>
        <row r="1308">
          <cell r="A1308" t="str">
            <v>1C4PJMCS2GW246295</v>
          </cell>
          <cell r="B1308">
            <v>2016</v>
          </cell>
          <cell r="C1308" t="str">
            <v>JEEP</v>
          </cell>
          <cell r="D1308" t="str">
            <v>CHEROKEE 4X4 V6</v>
          </cell>
          <cell r="E1308">
            <v>93342</v>
          </cell>
          <cell r="F1308" t="str">
            <v>Grade 3.2</v>
          </cell>
          <cell r="G1308" t="str">
            <v>Green Light</v>
          </cell>
          <cell r="H1308" t="str">
            <v>Yes</v>
          </cell>
          <cell r="I1308" t="str">
            <v>No</v>
          </cell>
          <cell r="J1308">
            <v>45708</v>
          </cell>
          <cell r="K1308" t="str">
            <v>Yes</v>
          </cell>
          <cell r="L1308">
            <v>44444</v>
          </cell>
          <cell r="M1308">
            <v>264</v>
          </cell>
          <cell r="N1308">
            <v>314</v>
          </cell>
          <cell r="O1308">
            <v>8427.7275390625</v>
          </cell>
          <cell r="P1308">
            <v>9435.8445085197345</v>
          </cell>
          <cell r="Q1308">
            <v>8476.7822265625</v>
          </cell>
        </row>
        <row r="1309">
          <cell r="A1309" t="str">
            <v>1FADP3E23JL230162</v>
          </cell>
          <cell r="B1309">
            <v>2018</v>
          </cell>
          <cell r="C1309" t="str">
            <v>FORD</v>
          </cell>
          <cell r="D1309" t="str">
            <v>FOCUS</v>
          </cell>
          <cell r="E1309">
            <v>84189</v>
          </cell>
          <cell r="F1309" t="str">
            <v>Grade 0.0</v>
          </cell>
          <cell r="G1309" t="str">
            <v>Inoperable</v>
          </cell>
          <cell r="H1309" t="str">
            <v>No</v>
          </cell>
          <cell r="I1309" t="str">
            <v>Yes</v>
          </cell>
          <cell r="J1309">
            <v>45370</v>
          </cell>
          <cell r="K1309" t="str">
            <v>Yes</v>
          </cell>
          <cell r="L1309">
            <v>44444</v>
          </cell>
          <cell r="M1309">
            <v>264</v>
          </cell>
          <cell r="N1309">
            <v>314</v>
          </cell>
          <cell r="O1309">
            <v>5467.51513671875</v>
          </cell>
          <cell r="P1309">
            <v>9353.3873296940874</v>
          </cell>
          <cell r="Q1309">
            <v>5436.36328125</v>
          </cell>
        </row>
        <row r="1310">
          <cell r="A1310" t="str">
            <v>1FADP5AU3EL505344</v>
          </cell>
          <cell r="B1310">
            <v>2014</v>
          </cell>
          <cell r="C1310" t="str">
            <v>FORD</v>
          </cell>
          <cell r="D1310" t="str">
            <v>C MAX</v>
          </cell>
          <cell r="E1310">
            <v>101382</v>
          </cell>
          <cell r="F1310" t="str">
            <v>Grade 1.7</v>
          </cell>
          <cell r="G1310" t="str">
            <v>Green/Yellow</v>
          </cell>
          <cell r="H1310" t="str">
            <v>Yes</v>
          </cell>
          <cell r="I1310" t="str">
            <v>No</v>
          </cell>
          <cell r="J1310">
            <v>45484</v>
          </cell>
          <cell r="K1310" t="str">
            <v>Yes</v>
          </cell>
          <cell r="L1310">
            <v>44444</v>
          </cell>
          <cell r="M1310">
            <v>264</v>
          </cell>
          <cell r="N1310">
            <v>314</v>
          </cell>
          <cell r="O1310">
            <v>2767.049560546875</v>
          </cell>
          <cell r="P1310">
            <v>9195.0245138772516</v>
          </cell>
          <cell r="Q1310">
            <v>2608.53466796875</v>
          </cell>
        </row>
        <row r="1311">
          <cell r="A1311" t="str">
            <v>1FMCU9GX3EUA34177</v>
          </cell>
          <cell r="B1311">
            <v>2014</v>
          </cell>
          <cell r="C1311" t="str">
            <v>FORD</v>
          </cell>
          <cell r="D1311" t="str">
            <v>ESCAPE</v>
          </cell>
          <cell r="E1311">
            <v>113358</v>
          </cell>
          <cell r="F1311" t="str">
            <v>Grade 1.9</v>
          </cell>
          <cell r="G1311" t="str">
            <v>Red Light</v>
          </cell>
          <cell r="H1311" t="str">
            <v>No</v>
          </cell>
          <cell r="I1311" t="str">
            <v>Yes</v>
          </cell>
          <cell r="J1311">
            <v>45566</v>
          </cell>
          <cell r="K1311" t="str">
            <v>Yes</v>
          </cell>
          <cell r="L1311">
            <v>44444</v>
          </cell>
          <cell r="M1311">
            <v>264</v>
          </cell>
          <cell r="N1311">
            <v>314</v>
          </cell>
          <cell r="O1311">
            <v>1182.58447265625</v>
          </cell>
          <cell r="P1311">
            <v>9154.1602744730626</v>
          </cell>
          <cell r="Q1311">
            <v>1276.312622070312</v>
          </cell>
        </row>
        <row r="1312">
          <cell r="A1312" t="str">
            <v>1N4AL3AP2EC184622</v>
          </cell>
          <cell r="B1312">
            <v>2014</v>
          </cell>
          <cell r="C1312" t="str">
            <v>NISSAN</v>
          </cell>
          <cell r="D1312" t="str">
            <v>ALTIMA 4C</v>
          </cell>
          <cell r="E1312">
            <v>163823</v>
          </cell>
          <cell r="F1312" t="str">
            <v>Grade 2.0</v>
          </cell>
          <cell r="G1312" t="str">
            <v>Inoperable</v>
          </cell>
          <cell r="H1312" t="str">
            <v>No</v>
          </cell>
          <cell r="I1312" t="str">
            <v>Yes</v>
          </cell>
          <cell r="J1312">
            <v>45400</v>
          </cell>
          <cell r="K1312" t="str">
            <v>Yes</v>
          </cell>
          <cell r="L1312">
            <v>44444</v>
          </cell>
          <cell r="M1312">
            <v>264</v>
          </cell>
          <cell r="N1312">
            <v>314</v>
          </cell>
          <cell r="O1312">
            <v>1363.818115234375</v>
          </cell>
          <cell r="P1312">
            <v>8768.7764403362253</v>
          </cell>
          <cell r="Q1312">
            <v>1385.325439453125</v>
          </cell>
        </row>
        <row r="1313">
          <cell r="A1313" t="str">
            <v>1N4AL3AP3GC196166</v>
          </cell>
          <cell r="B1313">
            <v>2016</v>
          </cell>
          <cell r="C1313" t="str">
            <v>NISSAN</v>
          </cell>
          <cell r="D1313" t="str">
            <v>ALTIMA 4C</v>
          </cell>
          <cell r="E1313">
            <v>186201</v>
          </cell>
          <cell r="F1313" t="str">
            <v>Grade 3.7</v>
          </cell>
          <cell r="G1313" t="str">
            <v>Red Light</v>
          </cell>
          <cell r="H1313" t="str">
            <v>No</v>
          </cell>
          <cell r="I1313" t="str">
            <v>Yes</v>
          </cell>
          <cell r="J1313">
            <v>45365</v>
          </cell>
          <cell r="K1313" t="str">
            <v>Yes</v>
          </cell>
          <cell r="L1313">
            <v>44444</v>
          </cell>
          <cell r="M1313">
            <v>264</v>
          </cell>
          <cell r="N1313">
            <v>314</v>
          </cell>
          <cell r="O1313">
            <v>3802.0810546875</v>
          </cell>
          <cell r="P1313">
            <v>9668.285950531339</v>
          </cell>
          <cell r="Q1313">
            <v>3841.0654296875</v>
          </cell>
        </row>
        <row r="1314">
          <cell r="A1314" t="str">
            <v>1N4AL3AP4FC470943</v>
          </cell>
          <cell r="B1314">
            <v>2015</v>
          </cell>
          <cell r="C1314" t="str">
            <v>NISSAN</v>
          </cell>
          <cell r="D1314" t="str">
            <v>ALTIMA 4C</v>
          </cell>
          <cell r="E1314">
            <v>114199</v>
          </cell>
          <cell r="F1314" t="str">
            <v>Grade 2.6</v>
          </cell>
          <cell r="G1314" t="str">
            <v>Red Light</v>
          </cell>
          <cell r="H1314" t="str">
            <v>No</v>
          </cell>
          <cell r="I1314" t="str">
            <v>Yes</v>
          </cell>
          <cell r="J1314">
            <v>45435</v>
          </cell>
          <cell r="K1314" t="str">
            <v>Yes</v>
          </cell>
          <cell r="L1314">
            <v>44444</v>
          </cell>
          <cell r="M1314">
            <v>264</v>
          </cell>
          <cell r="N1314">
            <v>314</v>
          </cell>
          <cell r="O1314">
            <v>2164.700439453125</v>
          </cell>
          <cell r="P1314">
            <v>8895.7581314427207</v>
          </cell>
          <cell r="Q1314">
            <v>2079.332763671875</v>
          </cell>
        </row>
        <row r="1315">
          <cell r="A1315" t="str">
            <v>2C4RDGCG7DR536517</v>
          </cell>
          <cell r="B1315">
            <v>2013</v>
          </cell>
          <cell r="C1315" t="str">
            <v>DODGE</v>
          </cell>
          <cell r="D1315" t="str">
            <v>GRAND CARAVAN</v>
          </cell>
          <cell r="E1315">
            <v>73128</v>
          </cell>
          <cell r="F1315" t="str">
            <v>Grade 2.0</v>
          </cell>
          <cell r="G1315" t="str">
            <v>Inoperable</v>
          </cell>
          <cell r="H1315" t="str">
            <v>No</v>
          </cell>
          <cell r="I1315" t="str">
            <v>Yes</v>
          </cell>
          <cell r="J1315">
            <v>45370</v>
          </cell>
          <cell r="K1315" t="str">
            <v>Yes</v>
          </cell>
          <cell r="L1315">
            <v>44444</v>
          </cell>
          <cell r="M1315">
            <v>264</v>
          </cell>
          <cell r="N1315">
            <v>314</v>
          </cell>
          <cell r="O1315">
            <v>4260.482421875</v>
          </cell>
          <cell r="P1315">
            <v>9126.0799392047556</v>
          </cell>
          <cell r="Q1315">
            <v>4183.2197265625</v>
          </cell>
        </row>
        <row r="1316">
          <cell r="A1316" t="str">
            <v>2G1FB3D30E9183755</v>
          </cell>
          <cell r="B1316">
            <v>2014</v>
          </cell>
          <cell r="C1316" t="str">
            <v>CHEVROLET</v>
          </cell>
          <cell r="D1316" t="str">
            <v>CAMARO</v>
          </cell>
          <cell r="E1316">
            <v>51889</v>
          </cell>
          <cell r="F1316" t="str">
            <v>Grade 3.5</v>
          </cell>
          <cell r="G1316" t="str">
            <v>Green/Yellow</v>
          </cell>
          <cell r="H1316" t="str">
            <v>Yes</v>
          </cell>
          <cell r="I1316" t="str">
            <v>No</v>
          </cell>
          <cell r="J1316">
            <v>45566</v>
          </cell>
          <cell r="K1316" t="str">
            <v>Yes</v>
          </cell>
          <cell r="L1316">
            <v>44444</v>
          </cell>
          <cell r="M1316">
            <v>264</v>
          </cell>
          <cell r="N1316">
            <v>314</v>
          </cell>
          <cell r="O1316">
            <v>10818.6728515625</v>
          </cell>
          <cell r="P1316">
            <v>12082.91427387912</v>
          </cell>
          <cell r="Q1316">
            <v>10579.4189453125</v>
          </cell>
        </row>
        <row r="1317">
          <cell r="A1317" t="str">
            <v>2GNAXKEV6L6103717</v>
          </cell>
          <cell r="B1317">
            <v>2020</v>
          </cell>
          <cell r="C1317" t="str">
            <v>CHEVROLET</v>
          </cell>
          <cell r="D1317" t="str">
            <v>EQUINOX FWD 4C</v>
          </cell>
          <cell r="E1317">
            <v>103400</v>
          </cell>
          <cell r="F1317" t="str">
            <v>Grade 3.4</v>
          </cell>
          <cell r="G1317" t="str">
            <v>Green Light</v>
          </cell>
          <cell r="H1317" t="str">
            <v>Yes</v>
          </cell>
          <cell r="I1317" t="str">
            <v>No</v>
          </cell>
          <cell r="J1317">
            <v>45575</v>
          </cell>
          <cell r="K1317" t="str">
            <v>Yes</v>
          </cell>
          <cell r="L1317">
            <v>44444</v>
          </cell>
          <cell r="M1317">
            <v>264</v>
          </cell>
          <cell r="N1317">
            <v>314</v>
          </cell>
          <cell r="O1317">
            <v>11022.92578125</v>
          </cell>
          <cell r="P1317">
            <v>10932.85469798741</v>
          </cell>
          <cell r="Q1317">
            <v>11070.955078125</v>
          </cell>
        </row>
        <row r="1318">
          <cell r="A1318" t="str">
            <v>3FADP4GXXFM160289</v>
          </cell>
          <cell r="B1318">
            <v>2015</v>
          </cell>
          <cell r="C1318" t="str">
            <v>FORD</v>
          </cell>
          <cell r="D1318" t="str">
            <v>FIESTA</v>
          </cell>
          <cell r="E1318">
            <v>76206</v>
          </cell>
          <cell r="F1318" t="str">
            <v>Grade 3.2</v>
          </cell>
          <cell r="G1318" t="str">
            <v>Green Light</v>
          </cell>
          <cell r="H1318" t="str">
            <v>Yes</v>
          </cell>
          <cell r="I1318" t="str">
            <v>No</v>
          </cell>
          <cell r="J1318">
            <v>45482</v>
          </cell>
          <cell r="K1318" t="str">
            <v>Yes</v>
          </cell>
          <cell r="L1318">
            <v>44444</v>
          </cell>
          <cell r="M1318">
            <v>264</v>
          </cell>
          <cell r="N1318">
            <v>314</v>
          </cell>
          <cell r="O1318">
            <v>9338.5068359375</v>
          </cell>
          <cell r="P1318">
            <v>9477.3185660980162</v>
          </cell>
          <cell r="Q1318">
            <v>9524.3310546875</v>
          </cell>
        </row>
        <row r="1319">
          <cell r="A1319" t="str">
            <v>3GNCJLSB4HL287620</v>
          </cell>
          <cell r="B1319">
            <v>2017</v>
          </cell>
          <cell r="C1319" t="str">
            <v>CHEVROLET</v>
          </cell>
          <cell r="D1319" t="str">
            <v>TRAX</v>
          </cell>
          <cell r="E1319">
            <v>77086</v>
          </cell>
          <cell r="F1319" t="str">
            <v>Grade 2.3</v>
          </cell>
          <cell r="G1319" t="str">
            <v>Red Light</v>
          </cell>
          <cell r="H1319" t="str">
            <v>No</v>
          </cell>
          <cell r="I1319" t="str">
            <v>Yes</v>
          </cell>
          <cell r="J1319">
            <v>45426</v>
          </cell>
          <cell r="K1319" t="str">
            <v>Yes</v>
          </cell>
          <cell r="L1319">
            <v>44444</v>
          </cell>
          <cell r="M1319">
            <v>264</v>
          </cell>
          <cell r="N1319">
            <v>314</v>
          </cell>
          <cell r="O1319">
            <v>4547.50830078125</v>
          </cell>
          <cell r="P1319">
            <v>9521.7702921188684</v>
          </cell>
          <cell r="Q1319">
            <v>4584.306640625</v>
          </cell>
        </row>
        <row r="1320">
          <cell r="A1320" t="str">
            <v>3KPFK4A70HE133514</v>
          </cell>
          <cell r="B1320">
            <v>2017</v>
          </cell>
          <cell r="C1320" t="str">
            <v>KIA</v>
          </cell>
          <cell r="D1320" t="str">
            <v>FORTE</v>
          </cell>
          <cell r="E1320">
            <v>122667</v>
          </cell>
          <cell r="F1320" t="str">
            <v>Grade 2.0</v>
          </cell>
          <cell r="G1320" t="str">
            <v>Inoperable</v>
          </cell>
          <cell r="H1320" t="str">
            <v>No</v>
          </cell>
          <cell r="I1320" t="str">
            <v>Yes</v>
          </cell>
          <cell r="J1320">
            <v>45526</v>
          </cell>
          <cell r="K1320" t="str">
            <v>Yes</v>
          </cell>
          <cell r="L1320">
            <v>44444</v>
          </cell>
          <cell r="M1320">
            <v>264</v>
          </cell>
          <cell r="N1320">
            <v>314</v>
          </cell>
          <cell r="O1320">
            <v>2692.586181640625</v>
          </cell>
          <cell r="P1320">
            <v>8568.2679176146921</v>
          </cell>
          <cell r="Q1320">
            <v>2551.73291015625</v>
          </cell>
        </row>
        <row r="1321">
          <cell r="A1321" t="str">
            <v>3LNHL2JC6CR814927</v>
          </cell>
          <cell r="B1321">
            <v>2012</v>
          </cell>
          <cell r="C1321" t="str">
            <v>LINCOLN</v>
          </cell>
          <cell r="D1321" t="str">
            <v>MKZ</v>
          </cell>
          <cell r="E1321">
            <v>80529</v>
          </cell>
          <cell r="F1321" t="str">
            <v>Grade 2.1</v>
          </cell>
          <cell r="G1321" t="str">
            <v>Green/Yellow</v>
          </cell>
          <cell r="H1321" t="str">
            <v>Yes</v>
          </cell>
          <cell r="I1321" t="str">
            <v>No</v>
          </cell>
          <cell r="J1321">
            <v>45314</v>
          </cell>
          <cell r="K1321" t="str">
            <v>Yes</v>
          </cell>
          <cell r="L1321">
            <v>44444</v>
          </cell>
          <cell r="M1321">
            <v>264</v>
          </cell>
          <cell r="N1321">
            <v>314</v>
          </cell>
          <cell r="O1321">
            <v>3596.874755859375</v>
          </cell>
          <cell r="P1321">
            <v>8940.2583248623723</v>
          </cell>
          <cell r="Q1321">
            <v>3488.23046875</v>
          </cell>
        </row>
        <row r="1322">
          <cell r="A1322" t="str">
            <v>3N1AB7AP6GY259405</v>
          </cell>
          <cell r="B1322">
            <v>2016</v>
          </cell>
          <cell r="C1322" t="str">
            <v>NISSAN</v>
          </cell>
          <cell r="D1322" t="str">
            <v>SENTRA</v>
          </cell>
          <cell r="E1322">
            <v>116539</v>
          </cell>
          <cell r="F1322" t="str">
            <v>Grade 1.3</v>
          </cell>
          <cell r="G1322" t="str">
            <v>Green/Yellow</v>
          </cell>
          <cell r="H1322" t="str">
            <v>No</v>
          </cell>
          <cell r="I1322" t="str">
            <v>Yes</v>
          </cell>
          <cell r="J1322">
            <v>45664</v>
          </cell>
          <cell r="K1322" t="str">
            <v>Yes</v>
          </cell>
          <cell r="L1322">
            <v>44444</v>
          </cell>
          <cell r="M1322">
            <v>264</v>
          </cell>
          <cell r="N1322">
            <v>314</v>
          </cell>
          <cell r="O1322">
            <v>1934.408325195312</v>
          </cell>
          <cell r="P1322">
            <v>8672.5113077763126</v>
          </cell>
          <cell r="Q1322">
            <v>1890.613037109375</v>
          </cell>
        </row>
        <row r="1323">
          <cell r="A1323" t="str">
            <v>3VV3B7AX7MM105375</v>
          </cell>
          <cell r="B1323">
            <v>2021</v>
          </cell>
          <cell r="C1323" t="str">
            <v>VOLKSWAGEN</v>
          </cell>
          <cell r="D1323" t="str">
            <v>TIGUAN</v>
          </cell>
          <cell r="E1323">
            <v>62901</v>
          </cell>
          <cell r="F1323" t="str">
            <v>Grade 4.1</v>
          </cell>
          <cell r="G1323" t="str">
            <v>Certified</v>
          </cell>
          <cell r="H1323" t="str">
            <v>Yes</v>
          </cell>
          <cell r="I1323" t="str">
            <v>No</v>
          </cell>
          <cell r="J1323">
            <v>45356</v>
          </cell>
          <cell r="K1323" t="str">
            <v>Yes</v>
          </cell>
          <cell r="L1323">
            <v>44444</v>
          </cell>
          <cell r="M1323">
            <v>264</v>
          </cell>
          <cell r="N1323">
            <v>314</v>
          </cell>
          <cell r="O1323">
            <v>15750.005859375</v>
          </cell>
          <cell r="P1323">
            <v>13810.0176302869</v>
          </cell>
          <cell r="Q1323">
            <v>15827.3701171875</v>
          </cell>
        </row>
        <row r="1324">
          <cell r="A1324" t="str">
            <v>4S3BNBL6XF3073888</v>
          </cell>
          <cell r="B1324">
            <v>2015</v>
          </cell>
          <cell r="C1324" t="str">
            <v>SUBARU</v>
          </cell>
          <cell r="D1324" t="str">
            <v>LEGACY</v>
          </cell>
          <cell r="E1324">
            <v>125116</v>
          </cell>
          <cell r="F1324" t="str">
            <v>Grade 1.8</v>
          </cell>
          <cell r="G1324" t="str">
            <v>Green/Yellow</v>
          </cell>
          <cell r="H1324" t="str">
            <v>Yes</v>
          </cell>
          <cell r="I1324" t="str">
            <v>No</v>
          </cell>
          <cell r="J1324">
            <v>45370</v>
          </cell>
          <cell r="K1324" t="str">
            <v>Yes</v>
          </cell>
          <cell r="L1324">
            <v>44444</v>
          </cell>
          <cell r="M1324">
            <v>264</v>
          </cell>
          <cell r="N1324">
            <v>314</v>
          </cell>
          <cell r="O1324">
            <v>2591.278076171875</v>
          </cell>
          <cell r="P1324">
            <v>8972.7160905996752</v>
          </cell>
          <cell r="Q1324">
            <v>2395.5732421875</v>
          </cell>
        </row>
        <row r="1325">
          <cell r="A1325" t="str">
            <v>4T1BF1FK5FU093861</v>
          </cell>
          <cell r="B1325">
            <v>2015</v>
          </cell>
          <cell r="C1325" t="str">
            <v>TOYOTA</v>
          </cell>
          <cell r="D1325" t="str">
            <v>CAMRY 4C</v>
          </cell>
          <cell r="E1325">
            <v>114451</v>
          </cell>
          <cell r="F1325" t="str">
            <v>Grade 4.6</v>
          </cell>
          <cell r="G1325" t="str">
            <v>Certified</v>
          </cell>
          <cell r="H1325" t="str">
            <v>Yes</v>
          </cell>
          <cell r="I1325" t="str">
            <v>No</v>
          </cell>
          <cell r="J1325">
            <v>45386</v>
          </cell>
          <cell r="K1325" t="str">
            <v>Yes</v>
          </cell>
          <cell r="L1325">
            <v>44444</v>
          </cell>
          <cell r="M1325">
            <v>264</v>
          </cell>
          <cell r="N1325">
            <v>314</v>
          </cell>
          <cell r="O1325">
            <v>9922.6240234375</v>
          </cell>
          <cell r="P1325">
            <v>10228.645154801239</v>
          </cell>
          <cell r="Q1325">
            <v>9994.708984375</v>
          </cell>
        </row>
        <row r="1326">
          <cell r="A1326" t="str">
            <v>5N1AR2MM7GC621453</v>
          </cell>
          <cell r="B1326">
            <v>2016</v>
          </cell>
          <cell r="C1326" t="str">
            <v>NISSAN</v>
          </cell>
          <cell r="D1326" t="str">
            <v>PATHFINDER</v>
          </cell>
          <cell r="E1326">
            <v>97577</v>
          </cell>
          <cell r="F1326" t="str">
            <v>Grade 1.3</v>
          </cell>
          <cell r="G1326" t="str">
            <v>Red Light</v>
          </cell>
          <cell r="H1326" t="str">
            <v>No</v>
          </cell>
          <cell r="I1326" t="str">
            <v>Yes</v>
          </cell>
          <cell r="J1326">
            <v>45384</v>
          </cell>
          <cell r="K1326" t="str">
            <v>Yes</v>
          </cell>
          <cell r="L1326">
            <v>44444</v>
          </cell>
          <cell r="M1326">
            <v>264</v>
          </cell>
          <cell r="N1326">
            <v>314</v>
          </cell>
          <cell r="O1326">
            <v>2782.667236328125</v>
          </cell>
          <cell r="P1326">
            <v>9064.6232746384158</v>
          </cell>
          <cell r="Q1326">
            <v>2601.28369140625</v>
          </cell>
        </row>
        <row r="1327">
          <cell r="A1327" t="str">
            <v>5NPD84LF8HH145996</v>
          </cell>
          <cell r="B1327">
            <v>2017</v>
          </cell>
          <cell r="C1327" t="str">
            <v>HYUNDAI</v>
          </cell>
          <cell r="D1327" t="str">
            <v>ELANTRA</v>
          </cell>
          <cell r="E1327">
            <v>83776</v>
          </cell>
          <cell r="F1327" t="str">
            <v>Grade 2.8</v>
          </cell>
          <cell r="G1327" t="str">
            <v>Green/Yellow</v>
          </cell>
          <cell r="H1327" t="str">
            <v>Yes</v>
          </cell>
          <cell r="I1327" t="str">
            <v>No</v>
          </cell>
          <cell r="J1327">
            <v>45337</v>
          </cell>
          <cell r="K1327" t="str">
            <v>Yes</v>
          </cell>
          <cell r="L1327">
            <v>44444</v>
          </cell>
          <cell r="M1327">
            <v>264</v>
          </cell>
          <cell r="N1327">
            <v>314</v>
          </cell>
          <cell r="O1327">
            <v>4476.6689453125</v>
          </cell>
          <cell r="P1327">
            <v>8825.7042001731734</v>
          </cell>
          <cell r="Q1327">
            <v>4377.65087890625</v>
          </cell>
        </row>
        <row r="1328">
          <cell r="A1328" t="str">
            <v>5XYRG4LC2MG028737</v>
          </cell>
          <cell r="B1328">
            <v>2021</v>
          </cell>
          <cell r="C1328" t="str">
            <v>KIA</v>
          </cell>
          <cell r="D1328" t="str">
            <v>SORENTO</v>
          </cell>
          <cell r="E1328">
            <v>64984</v>
          </cell>
          <cell r="F1328" t="str">
            <v>Grade 3.8</v>
          </cell>
          <cell r="G1328" t="str">
            <v>Green Light</v>
          </cell>
          <cell r="H1328" t="str">
            <v>Yes</v>
          </cell>
          <cell r="I1328" t="str">
            <v>No</v>
          </cell>
          <cell r="J1328">
            <v>45622</v>
          </cell>
          <cell r="K1328" t="str">
            <v>Yes</v>
          </cell>
          <cell r="L1328">
            <v>44444</v>
          </cell>
          <cell r="M1328">
            <v>264</v>
          </cell>
          <cell r="N1328">
            <v>314</v>
          </cell>
          <cell r="O1328">
            <v>11859.4453125</v>
          </cell>
          <cell r="P1328">
            <v>14064.971776486531</v>
          </cell>
          <cell r="Q1328">
            <v>11422.5673828125</v>
          </cell>
        </row>
        <row r="1329">
          <cell r="A1329" t="str">
            <v>JN8AT2MV9HW024906</v>
          </cell>
          <cell r="B1329">
            <v>2017</v>
          </cell>
          <cell r="C1329" t="str">
            <v>NISSAN</v>
          </cell>
          <cell r="D1329" t="str">
            <v>ROGUE AWD 4C</v>
          </cell>
          <cell r="E1329">
            <v>136084</v>
          </cell>
          <cell r="F1329" t="str">
            <v>Grade 1.3</v>
          </cell>
          <cell r="G1329" t="str">
            <v>Red Light</v>
          </cell>
          <cell r="H1329" t="str">
            <v>No</v>
          </cell>
          <cell r="I1329" t="str">
            <v>Yes</v>
          </cell>
          <cell r="J1329">
            <v>45351</v>
          </cell>
          <cell r="K1329" t="str">
            <v>Yes</v>
          </cell>
          <cell r="L1329">
            <v>44444</v>
          </cell>
          <cell r="M1329">
            <v>264</v>
          </cell>
          <cell r="N1329">
            <v>314</v>
          </cell>
          <cell r="O1329">
            <v>2328.882080078125</v>
          </cell>
          <cell r="P1329">
            <v>8776.3849382808567</v>
          </cell>
          <cell r="Q1329">
            <v>2176.38525390625</v>
          </cell>
        </row>
        <row r="1330">
          <cell r="A1330" t="str">
            <v>JTHKD5BH4B2029231</v>
          </cell>
          <cell r="B1330">
            <v>2011</v>
          </cell>
          <cell r="C1330" t="str">
            <v>LEXUS</v>
          </cell>
          <cell r="D1330" t="str">
            <v>CT 200H</v>
          </cell>
          <cell r="E1330">
            <v>88424</v>
          </cell>
          <cell r="F1330" t="str">
            <v>Grade 4.2</v>
          </cell>
          <cell r="G1330" t="str">
            <v>Green Light</v>
          </cell>
          <cell r="H1330" t="str">
            <v>Yes</v>
          </cell>
          <cell r="I1330" t="str">
            <v>No</v>
          </cell>
          <cell r="J1330">
            <v>45692</v>
          </cell>
          <cell r="K1330" t="str">
            <v>Yes</v>
          </cell>
          <cell r="L1330">
            <v>44444</v>
          </cell>
          <cell r="M1330">
            <v>264</v>
          </cell>
          <cell r="N1330">
            <v>314</v>
          </cell>
          <cell r="O1330">
            <v>8469.7109375</v>
          </cell>
          <cell r="P1330">
            <v>10354.819173596659</v>
          </cell>
          <cell r="Q1330">
            <v>8354.6943359375</v>
          </cell>
        </row>
        <row r="1331">
          <cell r="A1331" t="str">
            <v>KL4CJ2SB1HB039825</v>
          </cell>
          <cell r="B1331">
            <v>2017</v>
          </cell>
          <cell r="C1331" t="str">
            <v>BUICK</v>
          </cell>
          <cell r="D1331" t="str">
            <v>ENCORE</v>
          </cell>
          <cell r="E1331">
            <v>64307</v>
          </cell>
          <cell r="F1331" t="str">
            <v>Grade 4.4</v>
          </cell>
          <cell r="G1331" t="str">
            <v>Certified</v>
          </cell>
          <cell r="H1331" t="str">
            <v>Yes</v>
          </cell>
          <cell r="I1331" t="str">
            <v>No</v>
          </cell>
          <cell r="J1331">
            <v>45356</v>
          </cell>
          <cell r="K1331" t="str">
            <v>Yes</v>
          </cell>
          <cell r="L1331">
            <v>44444</v>
          </cell>
          <cell r="M1331">
            <v>264</v>
          </cell>
          <cell r="N1331">
            <v>314</v>
          </cell>
          <cell r="O1331">
            <v>11977.5078125</v>
          </cell>
          <cell r="P1331">
            <v>11726.932951437801</v>
          </cell>
          <cell r="Q1331">
            <v>11604.8349609375</v>
          </cell>
        </row>
        <row r="1332">
          <cell r="A1332" t="str">
            <v>KL4CJASB9HB231469</v>
          </cell>
          <cell r="B1332">
            <v>2017</v>
          </cell>
          <cell r="C1332" t="str">
            <v>BUICK</v>
          </cell>
          <cell r="D1332" t="str">
            <v>ENCORE</v>
          </cell>
          <cell r="E1332">
            <v>26143</v>
          </cell>
          <cell r="F1332" t="str">
            <v>Grade 3.8</v>
          </cell>
          <cell r="G1332" t="str">
            <v>Certified</v>
          </cell>
          <cell r="H1332" t="str">
            <v>Yes</v>
          </cell>
          <cell r="I1332" t="str">
            <v>No</v>
          </cell>
          <cell r="J1332">
            <v>45510</v>
          </cell>
          <cell r="K1332" t="str">
            <v>Yes</v>
          </cell>
          <cell r="L1332">
            <v>44444</v>
          </cell>
          <cell r="M1332">
            <v>264</v>
          </cell>
          <cell r="N1332">
            <v>314</v>
          </cell>
          <cell r="O1332">
            <v>11925.6123046875</v>
          </cell>
          <cell r="P1332">
            <v>12027.733038734499</v>
          </cell>
          <cell r="Q1332">
            <v>11578.48046875</v>
          </cell>
        </row>
        <row r="1333">
          <cell r="A1333" t="str">
            <v>KM8JUCAG0EU870770</v>
          </cell>
          <cell r="B1333">
            <v>2014</v>
          </cell>
          <cell r="C1333" t="str">
            <v>HYUNDAI</v>
          </cell>
          <cell r="D1333" t="str">
            <v>TUCSON AWD 4C</v>
          </cell>
          <cell r="E1333">
            <v>119707</v>
          </cell>
          <cell r="F1333" t="str">
            <v>Grade 3.3</v>
          </cell>
          <cell r="G1333" t="str">
            <v>Green/Yellow</v>
          </cell>
          <cell r="H1333" t="str">
            <v>Yes</v>
          </cell>
          <cell r="I1333" t="str">
            <v>No</v>
          </cell>
          <cell r="J1333">
            <v>45365</v>
          </cell>
          <cell r="K1333" t="str">
            <v>Yes</v>
          </cell>
          <cell r="L1333">
            <v>44444</v>
          </cell>
          <cell r="M1333">
            <v>264</v>
          </cell>
          <cell r="N1333">
            <v>314</v>
          </cell>
          <cell r="O1333">
            <v>4714.17138671875</v>
          </cell>
          <cell r="P1333">
            <v>8740.1291091384428</v>
          </cell>
          <cell r="Q1333">
            <v>4667.08935546875</v>
          </cell>
        </row>
        <row r="1334">
          <cell r="A1334" t="str">
            <v>KNAGN4AD6F5090126</v>
          </cell>
          <cell r="B1334">
            <v>2015</v>
          </cell>
          <cell r="C1334" t="str">
            <v>KIA</v>
          </cell>
          <cell r="D1334" t="str">
            <v>OPTIMA HYBRID</v>
          </cell>
          <cell r="E1334">
            <v>120369</v>
          </cell>
          <cell r="F1334" t="str">
            <v>Grade 1.3</v>
          </cell>
          <cell r="G1334" t="str">
            <v>Inoperable</v>
          </cell>
          <cell r="H1334" t="str">
            <v>No</v>
          </cell>
          <cell r="I1334" t="str">
            <v>Yes</v>
          </cell>
          <cell r="J1334">
            <v>45384</v>
          </cell>
          <cell r="K1334" t="str">
            <v>Yes</v>
          </cell>
          <cell r="L1334">
            <v>44444</v>
          </cell>
          <cell r="M1334">
            <v>264</v>
          </cell>
          <cell r="N1334">
            <v>314</v>
          </cell>
          <cell r="O1334">
            <v>1592.170776367188</v>
          </cell>
          <cell r="P1334">
            <v>8591.6636447881338</v>
          </cell>
          <cell r="Q1334">
            <v>1551.09228515625</v>
          </cell>
        </row>
        <row r="1335">
          <cell r="A1335" t="str">
            <v>KNDJN2A21K7651889</v>
          </cell>
          <cell r="B1335">
            <v>2019</v>
          </cell>
          <cell r="C1335" t="str">
            <v>KIA</v>
          </cell>
          <cell r="D1335" t="str">
            <v>SOUL</v>
          </cell>
          <cell r="E1335">
            <v>123777</v>
          </cell>
          <cell r="F1335" t="str">
            <v>Grade 2.6</v>
          </cell>
          <cell r="G1335" t="str">
            <v>Red Light</v>
          </cell>
          <cell r="H1335" t="str">
            <v>No</v>
          </cell>
          <cell r="I1335" t="str">
            <v>Yes</v>
          </cell>
          <cell r="J1335">
            <v>45435</v>
          </cell>
          <cell r="K1335" t="str">
            <v>Yes</v>
          </cell>
          <cell r="L1335">
            <v>44444</v>
          </cell>
          <cell r="M1335">
            <v>264</v>
          </cell>
          <cell r="N1335">
            <v>314</v>
          </cell>
          <cell r="O1335">
            <v>3592.18017578125</v>
          </cell>
          <cell r="P1335">
            <v>8770.154172288625</v>
          </cell>
          <cell r="Q1335">
            <v>3459.5888671875</v>
          </cell>
        </row>
        <row r="1336">
          <cell r="A1336" t="str">
            <v>WBA3B3C56DJ810682</v>
          </cell>
          <cell r="B1336">
            <v>2013</v>
          </cell>
          <cell r="C1336" t="str">
            <v>BMW</v>
          </cell>
          <cell r="D1336" t="str">
            <v>328I</v>
          </cell>
          <cell r="E1336">
            <v>74713</v>
          </cell>
          <cell r="F1336" t="str">
            <v>Grade 1.8</v>
          </cell>
          <cell r="G1336" t="str">
            <v>Green/Yellow</v>
          </cell>
          <cell r="H1336" t="str">
            <v>Yes</v>
          </cell>
          <cell r="I1336" t="str">
            <v>No</v>
          </cell>
          <cell r="J1336">
            <v>45664</v>
          </cell>
          <cell r="K1336" t="str">
            <v>Yes</v>
          </cell>
          <cell r="L1336">
            <v>44444</v>
          </cell>
          <cell r="M1336">
            <v>264</v>
          </cell>
          <cell r="N1336">
            <v>314</v>
          </cell>
          <cell r="O1336">
            <v>3731.157958984375</v>
          </cell>
          <cell r="P1336">
            <v>9585.9794152052255</v>
          </cell>
          <cell r="Q1336">
            <v>3745.45263671875</v>
          </cell>
        </row>
        <row r="1337">
          <cell r="A1337" t="str">
            <v>WMWLU5C5XJ2G02769</v>
          </cell>
          <cell r="B1337">
            <v>2018</v>
          </cell>
          <cell r="C1337" t="str">
            <v>MINI</v>
          </cell>
          <cell r="D1337" t="str">
            <v>CLUBMAN</v>
          </cell>
          <cell r="E1337">
            <v>102675</v>
          </cell>
          <cell r="F1337" t="str">
            <v>Grade 4.1</v>
          </cell>
          <cell r="G1337" t="str">
            <v>Certified</v>
          </cell>
          <cell r="H1337" t="str">
            <v>Yes</v>
          </cell>
          <cell r="I1337" t="str">
            <v>No</v>
          </cell>
          <cell r="J1337">
            <v>45412</v>
          </cell>
          <cell r="K1337" t="str">
            <v>Yes</v>
          </cell>
          <cell r="L1337">
            <v>44444</v>
          </cell>
          <cell r="M1337">
            <v>264</v>
          </cell>
          <cell r="N1337">
            <v>314</v>
          </cell>
          <cell r="O1337">
            <v>9568.9931640625</v>
          </cell>
          <cell r="P1337">
            <v>9744.7845199095646</v>
          </cell>
          <cell r="Q1337">
            <v>9592.1640625</v>
          </cell>
        </row>
        <row r="1338">
          <cell r="A1338" t="str">
            <v>WVGBV7AX4HW506370</v>
          </cell>
          <cell r="B1338">
            <v>2017</v>
          </cell>
          <cell r="C1338" t="str">
            <v>VOLKSWAGEN</v>
          </cell>
          <cell r="D1338" t="str">
            <v>TIGUAN</v>
          </cell>
          <cell r="E1338">
            <v>83652</v>
          </cell>
          <cell r="F1338" t="str">
            <v>Grade 1.6</v>
          </cell>
          <cell r="G1338" t="str">
            <v>Red Light</v>
          </cell>
          <cell r="H1338" t="str">
            <v>No</v>
          </cell>
          <cell r="I1338" t="str">
            <v>Yes</v>
          </cell>
          <cell r="J1338">
            <v>45482</v>
          </cell>
          <cell r="K1338" t="str">
            <v>Yes</v>
          </cell>
          <cell r="L1338">
            <v>44444</v>
          </cell>
          <cell r="M1338">
            <v>264</v>
          </cell>
          <cell r="N1338">
            <v>314</v>
          </cell>
          <cell r="O1338">
            <v>2710.697021484375</v>
          </cell>
          <cell r="P1338">
            <v>9020.4733492636842</v>
          </cell>
          <cell r="Q1338">
            <v>2511.72216796875</v>
          </cell>
        </row>
        <row r="1339">
          <cell r="A1339" t="str">
            <v>1C3CCCBB5GN125761</v>
          </cell>
          <cell r="B1339">
            <v>2016</v>
          </cell>
          <cell r="C1339" t="str">
            <v>CHRYSLER</v>
          </cell>
          <cell r="D1339" t="str">
            <v>200 FWD 4C</v>
          </cell>
          <cell r="E1339">
            <v>82924</v>
          </cell>
          <cell r="F1339" t="str">
            <v>Grade 2.9</v>
          </cell>
          <cell r="G1339" t="str">
            <v>Red Light</v>
          </cell>
          <cell r="H1339" t="str">
            <v>No</v>
          </cell>
          <cell r="I1339" t="str">
            <v>Yes</v>
          </cell>
          <cell r="J1339">
            <v>45589</v>
          </cell>
          <cell r="K1339" t="str">
            <v>Yes</v>
          </cell>
          <cell r="L1339">
            <v>44451</v>
          </cell>
          <cell r="M1339">
            <v>264</v>
          </cell>
          <cell r="N1339">
            <v>314</v>
          </cell>
          <cell r="O1339">
            <v>3912.339599609375</v>
          </cell>
          <cell r="P1339">
            <v>9318.0460661373399</v>
          </cell>
          <cell r="Q1339">
            <v>3866.30078125</v>
          </cell>
        </row>
        <row r="1340">
          <cell r="A1340" t="str">
            <v>1C3CCCDG4FN673838</v>
          </cell>
          <cell r="B1340">
            <v>2015</v>
          </cell>
          <cell r="C1340" t="str">
            <v>CHRYSLER</v>
          </cell>
          <cell r="D1340">
            <v>200</v>
          </cell>
          <cell r="E1340">
            <v>105284</v>
          </cell>
          <cell r="F1340" t="str">
            <v>Grade 2.0</v>
          </cell>
          <cell r="G1340" t="str">
            <v>Red Light</v>
          </cell>
          <cell r="H1340" t="str">
            <v>No</v>
          </cell>
          <cell r="I1340" t="str">
            <v>Yes</v>
          </cell>
          <cell r="J1340">
            <v>45412</v>
          </cell>
          <cell r="K1340" t="str">
            <v>Yes</v>
          </cell>
          <cell r="L1340">
            <v>44451</v>
          </cell>
          <cell r="M1340">
            <v>264</v>
          </cell>
          <cell r="N1340">
            <v>314</v>
          </cell>
          <cell r="O1340">
            <v>2535.1904296875</v>
          </cell>
          <cell r="P1340">
            <v>8784.6100110655825</v>
          </cell>
          <cell r="Q1340">
            <v>2343.41650390625</v>
          </cell>
        </row>
        <row r="1341">
          <cell r="A1341" t="str">
            <v>1C3CDFBB3GD717308</v>
          </cell>
          <cell r="B1341">
            <v>2016</v>
          </cell>
          <cell r="C1341" t="str">
            <v>DODGE</v>
          </cell>
          <cell r="D1341" t="str">
            <v>DART</v>
          </cell>
          <cell r="E1341">
            <v>198770</v>
          </cell>
          <cell r="F1341" t="str">
            <v>Grade 2.2</v>
          </cell>
          <cell r="G1341" t="str">
            <v>Red Light</v>
          </cell>
          <cell r="H1341" t="str">
            <v>No</v>
          </cell>
          <cell r="I1341" t="str">
            <v>Yes</v>
          </cell>
          <cell r="J1341">
            <v>45309</v>
          </cell>
          <cell r="K1341" t="str">
            <v>Yes</v>
          </cell>
          <cell r="L1341">
            <v>44451</v>
          </cell>
          <cell r="M1341">
            <v>264</v>
          </cell>
          <cell r="N1341">
            <v>314</v>
          </cell>
          <cell r="O1341">
            <v>2903.7216796875</v>
          </cell>
          <cell r="P1341">
            <v>8775.856850885164</v>
          </cell>
          <cell r="Q1341">
            <v>2697.9189453125</v>
          </cell>
        </row>
        <row r="1342">
          <cell r="A1342" t="str">
            <v>1C4NJCEA9GD769427</v>
          </cell>
          <cell r="B1342">
            <v>2016</v>
          </cell>
          <cell r="C1342" t="str">
            <v>JEEP</v>
          </cell>
          <cell r="D1342" t="str">
            <v>COMPASS FWD 4C</v>
          </cell>
          <cell r="E1342">
            <v>160037</v>
          </cell>
          <cell r="F1342" t="str">
            <v>Grade 1.0</v>
          </cell>
          <cell r="G1342" t="str">
            <v>Inoperable</v>
          </cell>
          <cell r="H1342" t="str">
            <v>No</v>
          </cell>
          <cell r="I1342" t="str">
            <v>Yes</v>
          </cell>
          <cell r="J1342">
            <v>45687</v>
          </cell>
          <cell r="K1342" t="str">
            <v>Yes</v>
          </cell>
          <cell r="L1342">
            <v>44451</v>
          </cell>
          <cell r="M1342">
            <v>264</v>
          </cell>
          <cell r="N1342">
            <v>314</v>
          </cell>
          <cell r="O1342">
            <v>1937.118408203125</v>
          </cell>
          <cell r="P1342">
            <v>9137.3335443210544</v>
          </cell>
          <cell r="Q1342">
            <v>1885.53759765625</v>
          </cell>
        </row>
        <row r="1343">
          <cell r="A1343" t="str">
            <v>1C4NJCEB5HD198853</v>
          </cell>
          <cell r="B1343">
            <v>2017</v>
          </cell>
          <cell r="C1343" t="str">
            <v>JEEP</v>
          </cell>
          <cell r="D1343" t="str">
            <v>COMPASS FWD 4C</v>
          </cell>
          <cell r="E1343">
            <v>103890</v>
          </cell>
          <cell r="F1343" t="str">
            <v>Grade 2.3</v>
          </cell>
          <cell r="G1343" t="str">
            <v>Green Light</v>
          </cell>
          <cell r="H1343" t="str">
            <v>Yes</v>
          </cell>
          <cell r="I1343" t="str">
            <v>No</v>
          </cell>
          <cell r="J1343">
            <v>45344</v>
          </cell>
          <cell r="K1343" t="str">
            <v>Yes</v>
          </cell>
          <cell r="L1343">
            <v>44451</v>
          </cell>
          <cell r="M1343">
            <v>264</v>
          </cell>
          <cell r="N1343">
            <v>314</v>
          </cell>
          <cell r="O1343">
            <v>4695.19775390625</v>
          </cell>
          <cell r="P1343">
            <v>9192.5570959503202</v>
          </cell>
          <cell r="Q1343">
            <v>4646.1630859375</v>
          </cell>
        </row>
        <row r="1344">
          <cell r="A1344" t="str">
            <v>1C4NJRFB0GD725228</v>
          </cell>
          <cell r="B1344">
            <v>2016</v>
          </cell>
          <cell r="C1344" t="str">
            <v>JEEP</v>
          </cell>
          <cell r="D1344" t="str">
            <v>PATRIOT 4X4 4C</v>
          </cell>
          <cell r="E1344">
            <v>139325</v>
          </cell>
          <cell r="F1344" t="str">
            <v>Grade 1.6</v>
          </cell>
          <cell r="G1344" t="str">
            <v>Red Light</v>
          </cell>
          <cell r="H1344" t="str">
            <v>No</v>
          </cell>
          <cell r="I1344" t="str">
            <v>Yes</v>
          </cell>
          <cell r="J1344">
            <v>45645</v>
          </cell>
          <cell r="K1344" t="str">
            <v>Yes</v>
          </cell>
          <cell r="L1344">
            <v>44451</v>
          </cell>
          <cell r="M1344">
            <v>264</v>
          </cell>
          <cell r="N1344">
            <v>314</v>
          </cell>
          <cell r="O1344">
            <v>2196.023193359375</v>
          </cell>
          <cell r="P1344">
            <v>9224.559686926641</v>
          </cell>
          <cell r="Q1344">
            <v>2105.391845703125</v>
          </cell>
        </row>
        <row r="1345">
          <cell r="A1345" t="str">
            <v>1C4RDHAG7GC412737</v>
          </cell>
          <cell r="B1345">
            <v>2016</v>
          </cell>
          <cell r="C1345" t="str">
            <v>DODGE</v>
          </cell>
          <cell r="D1345" t="str">
            <v>DURANGO</v>
          </cell>
          <cell r="E1345">
            <v>201228</v>
          </cell>
          <cell r="F1345" t="str">
            <v>Grade 3.7</v>
          </cell>
          <cell r="G1345" t="str">
            <v>Red Light</v>
          </cell>
          <cell r="H1345" t="str">
            <v>No</v>
          </cell>
          <cell r="I1345" t="str">
            <v>Yes</v>
          </cell>
          <cell r="J1345">
            <v>45510</v>
          </cell>
          <cell r="K1345" t="str">
            <v>Yes</v>
          </cell>
          <cell r="L1345">
            <v>44451</v>
          </cell>
          <cell r="M1345">
            <v>264</v>
          </cell>
          <cell r="N1345">
            <v>314</v>
          </cell>
          <cell r="O1345">
            <v>5340.60595703125</v>
          </cell>
          <cell r="P1345">
            <v>9884.1147565746069</v>
          </cell>
          <cell r="Q1345">
            <v>5427.90234375</v>
          </cell>
        </row>
        <row r="1346">
          <cell r="A1346" t="str">
            <v>1C4RJFAG6DC587215</v>
          </cell>
          <cell r="B1346">
            <v>2013</v>
          </cell>
          <cell r="C1346" t="str">
            <v>JEEP</v>
          </cell>
          <cell r="D1346" t="str">
            <v>GR CHERO 4X4 V6</v>
          </cell>
          <cell r="E1346">
            <v>196278</v>
          </cell>
          <cell r="F1346" t="str">
            <v>Grade 2.6</v>
          </cell>
          <cell r="G1346" t="str">
            <v>Red Light</v>
          </cell>
          <cell r="H1346" t="str">
            <v>No</v>
          </cell>
          <cell r="I1346" t="str">
            <v>Yes</v>
          </cell>
          <cell r="J1346">
            <v>45680</v>
          </cell>
          <cell r="K1346" t="str">
            <v>Yes</v>
          </cell>
          <cell r="L1346">
            <v>44451</v>
          </cell>
          <cell r="M1346">
            <v>264</v>
          </cell>
          <cell r="N1346">
            <v>314</v>
          </cell>
          <cell r="O1346">
            <v>1335.350341796875</v>
          </cell>
          <cell r="P1346">
            <v>9219.4667864989478</v>
          </cell>
          <cell r="Q1346">
            <v>1332.838745117188</v>
          </cell>
        </row>
        <row r="1347">
          <cell r="A1347" t="str">
            <v>1C6RR7NG3GS285407</v>
          </cell>
          <cell r="B1347">
            <v>2016</v>
          </cell>
          <cell r="C1347" t="str">
            <v>RAM</v>
          </cell>
          <cell r="D1347">
            <v>1500</v>
          </cell>
          <cell r="E1347">
            <v>89376</v>
          </cell>
          <cell r="F1347" t="str">
            <v>Grade 4.2</v>
          </cell>
          <cell r="G1347" t="str">
            <v>Certified</v>
          </cell>
          <cell r="H1347" t="str">
            <v>Yes</v>
          </cell>
          <cell r="I1347" t="str">
            <v>No</v>
          </cell>
          <cell r="J1347">
            <v>45664</v>
          </cell>
          <cell r="K1347" t="str">
            <v>Yes</v>
          </cell>
          <cell r="L1347">
            <v>44451</v>
          </cell>
          <cell r="M1347">
            <v>264</v>
          </cell>
          <cell r="N1347">
            <v>314</v>
          </cell>
          <cell r="O1347">
            <v>14907.6142578125</v>
          </cell>
          <cell r="P1347">
            <v>11522.30309185525</v>
          </cell>
          <cell r="Q1347">
            <v>15236.4453125</v>
          </cell>
        </row>
        <row r="1348">
          <cell r="A1348" t="str">
            <v>1G11C5SA6GF125731</v>
          </cell>
          <cell r="B1348">
            <v>2016</v>
          </cell>
          <cell r="C1348" t="str">
            <v>CHEVROLET</v>
          </cell>
          <cell r="D1348" t="str">
            <v>MALIBU LIMITED</v>
          </cell>
          <cell r="E1348">
            <v>136577</v>
          </cell>
          <cell r="F1348" t="str">
            <v>Grade 2.2</v>
          </cell>
          <cell r="G1348" t="str">
            <v>Green/Yellow</v>
          </cell>
          <cell r="H1348" t="str">
            <v>Yes</v>
          </cell>
          <cell r="I1348" t="str">
            <v>No</v>
          </cell>
          <cell r="J1348">
            <v>45715</v>
          </cell>
          <cell r="K1348" t="str">
            <v>Yes</v>
          </cell>
          <cell r="L1348">
            <v>44451</v>
          </cell>
          <cell r="M1348">
            <v>264</v>
          </cell>
          <cell r="N1348">
            <v>314</v>
          </cell>
          <cell r="O1348">
            <v>2310.936279296875</v>
          </cell>
          <cell r="P1348">
            <v>9358.3311322248992</v>
          </cell>
          <cell r="Q1348">
            <v>2233.980712890625</v>
          </cell>
        </row>
        <row r="1349">
          <cell r="A1349" t="str">
            <v>1G11F5SL6FF261171</v>
          </cell>
          <cell r="B1349">
            <v>2015</v>
          </cell>
          <cell r="C1349" t="str">
            <v>CHEVROLET</v>
          </cell>
          <cell r="D1349" t="str">
            <v>MALIBU</v>
          </cell>
          <cell r="E1349">
            <v>58830</v>
          </cell>
          <cell r="F1349" t="str">
            <v>Grade 2.9</v>
          </cell>
          <cell r="G1349" t="str">
            <v>Red Light</v>
          </cell>
          <cell r="H1349" t="str">
            <v>No</v>
          </cell>
          <cell r="I1349" t="str">
            <v>Yes</v>
          </cell>
          <cell r="J1349">
            <v>45496</v>
          </cell>
          <cell r="K1349" t="str">
            <v>Yes</v>
          </cell>
          <cell r="L1349">
            <v>44451</v>
          </cell>
          <cell r="M1349">
            <v>264</v>
          </cell>
          <cell r="N1349">
            <v>314</v>
          </cell>
          <cell r="O1349">
            <v>4634.90478515625</v>
          </cell>
          <cell r="P1349">
            <v>11436.294312615801</v>
          </cell>
          <cell r="Q1349">
            <v>4379.19921875</v>
          </cell>
        </row>
        <row r="1350">
          <cell r="A1350" t="str">
            <v>1G1BE5SM0J7200000</v>
          </cell>
          <cell r="B1350">
            <v>2018</v>
          </cell>
          <cell r="C1350" t="str">
            <v>CHEVROLET</v>
          </cell>
          <cell r="D1350" t="str">
            <v>CRUZE</v>
          </cell>
          <cell r="E1350">
            <v>57905</v>
          </cell>
          <cell r="F1350" t="str">
            <v>Grade 4.2</v>
          </cell>
          <cell r="G1350" t="str">
            <v>Green Light</v>
          </cell>
          <cell r="H1350" t="str">
            <v>Yes</v>
          </cell>
          <cell r="I1350" t="str">
            <v>No</v>
          </cell>
          <cell r="J1350">
            <v>45608</v>
          </cell>
          <cell r="K1350" t="str">
            <v>Yes</v>
          </cell>
          <cell r="L1350">
            <v>44451</v>
          </cell>
          <cell r="M1350">
            <v>264</v>
          </cell>
          <cell r="N1350">
            <v>314</v>
          </cell>
          <cell r="O1350">
            <v>14077.7646484375</v>
          </cell>
          <cell r="P1350">
            <v>12415.842686678739</v>
          </cell>
          <cell r="Q1350">
            <v>14068.7763671875</v>
          </cell>
        </row>
        <row r="1351">
          <cell r="A1351" t="str">
            <v>1G1BE5SM3H7154074</v>
          </cell>
          <cell r="B1351">
            <v>2017</v>
          </cell>
          <cell r="C1351" t="str">
            <v>CHEVROLET</v>
          </cell>
          <cell r="D1351" t="str">
            <v>CRUZE</v>
          </cell>
          <cell r="E1351">
            <v>102837</v>
          </cell>
          <cell r="F1351" t="str">
            <v>Grade 2.2</v>
          </cell>
          <cell r="G1351" t="str">
            <v>Red Light</v>
          </cell>
          <cell r="H1351" t="str">
            <v>No</v>
          </cell>
          <cell r="I1351" t="str">
            <v>Yes</v>
          </cell>
          <cell r="J1351">
            <v>45706</v>
          </cell>
          <cell r="K1351" t="str">
            <v>Yes</v>
          </cell>
          <cell r="L1351">
            <v>44451</v>
          </cell>
          <cell r="M1351">
            <v>264</v>
          </cell>
          <cell r="N1351">
            <v>314</v>
          </cell>
          <cell r="O1351">
            <v>4056.3154296875</v>
          </cell>
          <cell r="P1351">
            <v>9245.7668132292984</v>
          </cell>
          <cell r="Q1351">
            <v>4002.080078125</v>
          </cell>
        </row>
        <row r="1352">
          <cell r="A1352" t="str">
            <v>1G1JC6SB4E4108093</v>
          </cell>
          <cell r="B1352">
            <v>2014</v>
          </cell>
          <cell r="C1352" t="str">
            <v>CHEVROLET</v>
          </cell>
          <cell r="D1352" t="str">
            <v>SONIC</v>
          </cell>
          <cell r="E1352">
            <v>77344</v>
          </cell>
          <cell r="F1352" t="str">
            <v>Grade 2.8</v>
          </cell>
          <cell r="G1352" t="str">
            <v>Green Light</v>
          </cell>
          <cell r="H1352" t="str">
            <v>Yes</v>
          </cell>
          <cell r="I1352" t="str">
            <v>No</v>
          </cell>
          <cell r="J1352">
            <v>45594</v>
          </cell>
          <cell r="K1352" t="str">
            <v>Yes</v>
          </cell>
          <cell r="L1352">
            <v>44451</v>
          </cell>
          <cell r="M1352">
            <v>264</v>
          </cell>
          <cell r="N1352">
            <v>314</v>
          </cell>
          <cell r="O1352">
            <v>3944.859130859375</v>
          </cell>
          <cell r="P1352">
            <v>9461.8860915038567</v>
          </cell>
          <cell r="Q1352">
            <v>4058.1806640625</v>
          </cell>
        </row>
        <row r="1353">
          <cell r="A1353" t="str">
            <v>1G1JE6SBXE4182791</v>
          </cell>
          <cell r="B1353">
            <v>2014</v>
          </cell>
          <cell r="C1353" t="str">
            <v>CHEVROLET</v>
          </cell>
          <cell r="D1353" t="str">
            <v>SONIC</v>
          </cell>
          <cell r="E1353">
            <v>108929</v>
          </cell>
          <cell r="F1353" t="str">
            <v>Grade 1.4</v>
          </cell>
          <cell r="G1353" t="str">
            <v>Red Light</v>
          </cell>
          <cell r="H1353" t="str">
            <v>No</v>
          </cell>
          <cell r="I1353" t="str">
            <v>Yes</v>
          </cell>
          <cell r="J1353">
            <v>45566</v>
          </cell>
          <cell r="K1353" t="str">
            <v>Yes</v>
          </cell>
          <cell r="L1353">
            <v>44451</v>
          </cell>
          <cell r="M1353">
            <v>264</v>
          </cell>
          <cell r="N1353">
            <v>314</v>
          </cell>
          <cell r="O1353">
            <v>2227.8251953125</v>
          </cell>
          <cell r="P1353">
            <v>9194.7121481791564</v>
          </cell>
          <cell r="Q1353">
            <v>2105.391845703125</v>
          </cell>
        </row>
        <row r="1354">
          <cell r="A1354" t="str">
            <v>1G1JF5SB8L4119290</v>
          </cell>
          <cell r="B1354">
            <v>2020</v>
          </cell>
          <cell r="C1354" t="str">
            <v>CHEVROLET</v>
          </cell>
          <cell r="D1354" t="str">
            <v>SONIC</v>
          </cell>
          <cell r="E1354">
            <v>79713</v>
          </cell>
          <cell r="F1354" t="str">
            <v>Grade 2.9</v>
          </cell>
          <cell r="G1354" t="str">
            <v>Green Light</v>
          </cell>
          <cell r="H1354" t="str">
            <v>Yes</v>
          </cell>
          <cell r="I1354" t="str">
            <v>No</v>
          </cell>
          <cell r="J1354">
            <v>45482</v>
          </cell>
          <cell r="K1354" t="str">
            <v>Yes</v>
          </cell>
          <cell r="L1354">
            <v>44451</v>
          </cell>
          <cell r="M1354">
            <v>264</v>
          </cell>
          <cell r="N1354">
            <v>314</v>
          </cell>
          <cell r="O1354">
            <v>7305.7275390625</v>
          </cell>
          <cell r="P1354">
            <v>10813.21878455035</v>
          </cell>
          <cell r="Q1354">
            <v>6935.06494140625</v>
          </cell>
        </row>
        <row r="1355">
          <cell r="A1355" t="str">
            <v>1G1PC5SB2F7291059</v>
          </cell>
          <cell r="B1355">
            <v>2015</v>
          </cell>
          <cell r="C1355" t="str">
            <v>CHEVROLET</v>
          </cell>
          <cell r="D1355" t="str">
            <v>CRUZE</v>
          </cell>
          <cell r="E1355">
            <v>89479</v>
          </cell>
          <cell r="F1355" t="str">
            <v>Grade 2.4</v>
          </cell>
          <cell r="G1355" t="str">
            <v>Inoperable</v>
          </cell>
          <cell r="H1355" t="str">
            <v>No</v>
          </cell>
          <cell r="I1355" t="str">
            <v>Yes</v>
          </cell>
          <cell r="J1355">
            <v>45300</v>
          </cell>
          <cell r="K1355" t="str">
            <v>Yes</v>
          </cell>
          <cell r="L1355">
            <v>44451</v>
          </cell>
          <cell r="M1355">
            <v>264</v>
          </cell>
          <cell r="N1355">
            <v>314</v>
          </cell>
          <cell r="O1355">
            <v>4115.2431640625</v>
          </cell>
          <cell r="P1355">
            <v>9397.9018918331585</v>
          </cell>
          <cell r="Q1355">
            <v>4056.57470703125</v>
          </cell>
        </row>
        <row r="1356">
          <cell r="A1356" t="str">
            <v>1G1PE5SB3G7129808</v>
          </cell>
          <cell r="B1356">
            <v>2016</v>
          </cell>
          <cell r="C1356" t="str">
            <v>CHEVROLET</v>
          </cell>
          <cell r="D1356" t="str">
            <v>CRUZE LIMITED</v>
          </cell>
          <cell r="E1356">
            <v>92337</v>
          </cell>
          <cell r="F1356" t="str">
            <v>Grade 3.3</v>
          </cell>
          <cell r="G1356" t="str">
            <v>Green Light</v>
          </cell>
          <cell r="H1356" t="str">
            <v>Yes</v>
          </cell>
          <cell r="I1356" t="str">
            <v>No</v>
          </cell>
          <cell r="J1356">
            <v>45370</v>
          </cell>
          <cell r="K1356" t="str">
            <v>Yes</v>
          </cell>
          <cell r="L1356">
            <v>44451</v>
          </cell>
          <cell r="M1356">
            <v>264</v>
          </cell>
          <cell r="N1356">
            <v>314</v>
          </cell>
          <cell r="O1356">
            <v>9009.0439453125</v>
          </cell>
          <cell r="P1356">
            <v>9519.6257259911672</v>
          </cell>
          <cell r="Q1356">
            <v>9220.84765625</v>
          </cell>
        </row>
        <row r="1357">
          <cell r="A1357" t="str">
            <v>1G1PJ5SCXC7192354</v>
          </cell>
          <cell r="B1357">
            <v>2012</v>
          </cell>
          <cell r="C1357" t="str">
            <v>CHEVROLET</v>
          </cell>
          <cell r="D1357" t="str">
            <v>CRUZE</v>
          </cell>
          <cell r="E1357">
            <v>82347</v>
          </cell>
          <cell r="F1357" t="str">
            <v>Grade 2.3</v>
          </cell>
          <cell r="G1357" t="str">
            <v>Inoperable</v>
          </cell>
          <cell r="H1357" t="str">
            <v>No</v>
          </cell>
          <cell r="I1357" t="str">
            <v>Yes</v>
          </cell>
          <cell r="J1357">
            <v>45664</v>
          </cell>
          <cell r="K1357" t="str">
            <v>Yes</v>
          </cell>
          <cell r="L1357">
            <v>44451</v>
          </cell>
          <cell r="M1357">
            <v>264</v>
          </cell>
          <cell r="N1357">
            <v>314</v>
          </cell>
          <cell r="O1357">
            <v>3015.509033203125</v>
          </cell>
          <cell r="P1357">
            <v>9436.1512761796803</v>
          </cell>
          <cell r="Q1357">
            <v>2989.50341796875</v>
          </cell>
        </row>
        <row r="1358">
          <cell r="A1358" t="str">
            <v>1G4GA5G32FF155787</v>
          </cell>
          <cell r="B1358">
            <v>2015</v>
          </cell>
          <cell r="C1358" t="str">
            <v>BUICK</v>
          </cell>
          <cell r="D1358" t="str">
            <v>LACROSSE</v>
          </cell>
          <cell r="E1358">
            <v>115896</v>
          </cell>
          <cell r="F1358" t="str">
            <v>Grade 4.0</v>
          </cell>
          <cell r="G1358" t="str">
            <v>Certified</v>
          </cell>
          <cell r="H1358" t="str">
            <v>Yes</v>
          </cell>
          <cell r="I1358" t="str">
            <v>No</v>
          </cell>
          <cell r="J1358">
            <v>45664</v>
          </cell>
          <cell r="K1358" t="str">
            <v>Yes</v>
          </cell>
          <cell r="L1358">
            <v>44451</v>
          </cell>
          <cell r="M1358">
            <v>264</v>
          </cell>
          <cell r="N1358">
            <v>314</v>
          </cell>
          <cell r="O1358">
            <v>5837.302734375</v>
          </cell>
          <cell r="P1358">
            <v>9851.2938623216032</v>
          </cell>
          <cell r="Q1358">
            <v>5916.62841796875</v>
          </cell>
        </row>
        <row r="1359">
          <cell r="A1359" t="str">
            <v>1G4GB5GR0FF194122</v>
          </cell>
          <cell r="B1359">
            <v>2015</v>
          </cell>
          <cell r="C1359" t="str">
            <v>BUICK</v>
          </cell>
          <cell r="D1359" t="str">
            <v>LACROSSE</v>
          </cell>
          <cell r="E1359">
            <v>63598</v>
          </cell>
          <cell r="F1359" t="str">
            <v>Grade 3.5</v>
          </cell>
          <cell r="G1359" t="str">
            <v>Green/Yellow</v>
          </cell>
          <cell r="H1359" t="str">
            <v>Yes</v>
          </cell>
          <cell r="I1359" t="str">
            <v>No</v>
          </cell>
          <cell r="J1359">
            <v>45342</v>
          </cell>
          <cell r="K1359" t="str">
            <v>Yes</v>
          </cell>
          <cell r="L1359">
            <v>44451</v>
          </cell>
          <cell r="M1359">
            <v>264</v>
          </cell>
          <cell r="N1359">
            <v>314</v>
          </cell>
          <cell r="O1359">
            <v>9074.26953125</v>
          </cell>
          <cell r="P1359">
            <v>10925.03720298026</v>
          </cell>
          <cell r="Q1359">
            <v>9032.2666015625</v>
          </cell>
        </row>
        <row r="1360">
          <cell r="A1360" t="str">
            <v>1G6AJ5SX3F0121061</v>
          </cell>
          <cell r="B1360">
            <v>2015</v>
          </cell>
          <cell r="C1360" t="str">
            <v>CADILLAC</v>
          </cell>
          <cell r="D1360" t="str">
            <v>ATS</v>
          </cell>
          <cell r="E1360">
            <v>82759</v>
          </cell>
          <cell r="F1360" t="str">
            <v>Grade 2.4</v>
          </cell>
          <cell r="G1360" t="str">
            <v>Inoperable</v>
          </cell>
          <cell r="H1360" t="str">
            <v>No</v>
          </cell>
          <cell r="I1360" t="str">
            <v>Yes</v>
          </cell>
          <cell r="J1360">
            <v>45734</v>
          </cell>
          <cell r="K1360" t="str">
            <v>Yes</v>
          </cell>
          <cell r="L1360">
            <v>44451</v>
          </cell>
          <cell r="M1360">
            <v>264</v>
          </cell>
          <cell r="N1360">
            <v>314</v>
          </cell>
          <cell r="O1360">
            <v>4750.92724609375</v>
          </cell>
          <cell r="P1360">
            <v>9353.8253306152692</v>
          </cell>
          <cell r="Q1360">
            <v>4646.1630859375</v>
          </cell>
        </row>
        <row r="1361">
          <cell r="A1361" t="str">
            <v>1GCVKPEC5EZ300423</v>
          </cell>
          <cell r="B1361">
            <v>2014</v>
          </cell>
          <cell r="C1361" t="str">
            <v>CHEVROLET</v>
          </cell>
          <cell r="D1361" t="str">
            <v>1500 SLV 4X4 DB</v>
          </cell>
          <cell r="E1361">
            <v>189139</v>
          </cell>
          <cell r="F1361" t="str">
            <v>Grade 2.1</v>
          </cell>
          <cell r="G1361" t="str">
            <v>Red Light</v>
          </cell>
          <cell r="H1361" t="str">
            <v>No</v>
          </cell>
          <cell r="I1361" t="str">
            <v>Yes</v>
          </cell>
          <cell r="J1361">
            <v>45421</v>
          </cell>
          <cell r="K1361" t="str">
            <v>Yes</v>
          </cell>
          <cell r="L1361">
            <v>44451</v>
          </cell>
          <cell r="M1361">
            <v>264</v>
          </cell>
          <cell r="N1361">
            <v>314</v>
          </cell>
          <cell r="O1361">
            <v>1972.926391601562</v>
          </cell>
          <cell r="P1361">
            <v>9294.9745531640274</v>
          </cell>
          <cell r="Q1361">
            <v>1960.711547851562</v>
          </cell>
        </row>
        <row r="1362">
          <cell r="A1362" t="str">
            <v>1J4AA2D14AL172803</v>
          </cell>
          <cell r="B1362">
            <v>2010</v>
          </cell>
          <cell r="C1362" t="str">
            <v>JEEP</v>
          </cell>
          <cell r="D1362" t="str">
            <v>WRANGLER</v>
          </cell>
          <cell r="E1362">
            <v>77048</v>
          </cell>
          <cell r="F1362" t="str">
            <v>Grade 2.5</v>
          </cell>
          <cell r="G1362" t="str">
            <v>Green/Yellow</v>
          </cell>
          <cell r="H1362" t="str">
            <v>Yes</v>
          </cell>
          <cell r="I1362" t="str">
            <v>No</v>
          </cell>
          <cell r="J1362">
            <v>45594</v>
          </cell>
          <cell r="K1362" t="str">
            <v>Yes</v>
          </cell>
          <cell r="L1362">
            <v>44451</v>
          </cell>
          <cell r="M1362">
            <v>264</v>
          </cell>
          <cell r="N1362">
            <v>314</v>
          </cell>
          <cell r="O1362">
            <v>3810.63623046875</v>
          </cell>
          <cell r="P1362">
            <v>9657.1649662232649</v>
          </cell>
          <cell r="Q1362">
            <v>3906.46630859375</v>
          </cell>
        </row>
        <row r="1363">
          <cell r="A1363" t="str">
            <v>1N4AA5AP2CC860209</v>
          </cell>
          <cell r="B1363">
            <v>2012</v>
          </cell>
          <cell r="C1363" t="str">
            <v>NISSAN</v>
          </cell>
          <cell r="D1363" t="str">
            <v>MAXIMA</v>
          </cell>
          <cell r="E1363">
            <v>153858</v>
          </cell>
          <cell r="F1363" t="str">
            <v>Grade 2.0</v>
          </cell>
          <cell r="G1363" t="str">
            <v>Inoperable</v>
          </cell>
          <cell r="H1363" t="str">
            <v>No</v>
          </cell>
          <cell r="I1363" t="str">
            <v>Yes</v>
          </cell>
          <cell r="J1363">
            <v>45302</v>
          </cell>
          <cell r="K1363" t="str">
            <v>Yes</v>
          </cell>
          <cell r="L1363">
            <v>44451</v>
          </cell>
          <cell r="M1363">
            <v>264</v>
          </cell>
          <cell r="N1363">
            <v>314</v>
          </cell>
          <cell r="O1363">
            <v>1007.454162597656</v>
          </cell>
          <cell r="P1363">
            <v>8805.6449313983467</v>
          </cell>
          <cell r="Q1363">
            <v>1174.935546875</v>
          </cell>
        </row>
        <row r="1364">
          <cell r="A1364" t="str">
            <v>1N4AL3AP0EN340936</v>
          </cell>
          <cell r="B1364">
            <v>2014</v>
          </cell>
          <cell r="C1364" t="str">
            <v>NISSAN</v>
          </cell>
          <cell r="D1364" t="str">
            <v>ALTIMA 4C</v>
          </cell>
          <cell r="E1364">
            <v>176170</v>
          </cell>
          <cell r="F1364" t="str">
            <v>Grade 3.3</v>
          </cell>
          <cell r="G1364" t="str">
            <v>Red Light</v>
          </cell>
          <cell r="H1364" t="str">
            <v>No</v>
          </cell>
          <cell r="I1364" t="str">
            <v>Yes</v>
          </cell>
          <cell r="J1364">
            <v>45589</v>
          </cell>
          <cell r="K1364" t="str">
            <v>Yes</v>
          </cell>
          <cell r="L1364">
            <v>44451</v>
          </cell>
          <cell r="M1364">
            <v>264</v>
          </cell>
          <cell r="N1364">
            <v>314</v>
          </cell>
          <cell r="O1364">
            <v>2590.61328125</v>
          </cell>
          <cell r="P1364">
            <v>8888.0032658938781</v>
          </cell>
          <cell r="Q1364">
            <v>2395.5732421875</v>
          </cell>
        </row>
        <row r="1365">
          <cell r="A1365" t="str">
            <v>1N4AL3AP2JC243324</v>
          </cell>
          <cell r="B1365">
            <v>2018</v>
          </cell>
          <cell r="C1365" t="str">
            <v>NISSAN</v>
          </cell>
          <cell r="D1365" t="str">
            <v>ALTIMA 4C</v>
          </cell>
          <cell r="E1365">
            <v>120493</v>
          </cell>
          <cell r="F1365" t="str">
            <v>Grade 2.8</v>
          </cell>
          <cell r="G1365" t="str">
            <v>Red Light</v>
          </cell>
          <cell r="H1365" t="str">
            <v>No</v>
          </cell>
          <cell r="I1365" t="str">
            <v>Yes</v>
          </cell>
          <cell r="J1365">
            <v>45561</v>
          </cell>
          <cell r="K1365" t="str">
            <v>Yes</v>
          </cell>
          <cell r="L1365">
            <v>44451</v>
          </cell>
          <cell r="M1365">
            <v>264</v>
          </cell>
          <cell r="N1365">
            <v>314</v>
          </cell>
          <cell r="O1365">
            <v>3077.054443359375</v>
          </cell>
          <cell r="P1365">
            <v>8990.6797664237783</v>
          </cell>
          <cell r="Q1365">
            <v>2948.25927734375</v>
          </cell>
        </row>
        <row r="1366">
          <cell r="A1366" t="str">
            <v>1N4AL3AP3GN367700</v>
          </cell>
          <cell r="B1366">
            <v>2016</v>
          </cell>
          <cell r="C1366" t="str">
            <v>NISSAN</v>
          </cell>
          <cell r="D1366" t="str">
            <v>ALTIMA 4C</v>
          </cell>
          <cell r="E1366">
            <v>141477</v>
          </cell>
          <cell r="F1366" t="str">
            <v>Grade 2.5</v>
          </cell>
          <cell r="G1366" t="str">
            <v>Red Light</v>
          </cell>
          <cell r="H1366" t="str">
            <v>No</v>
          </cell>
          <cell r="I1366" t="str">
            <v>Yes</v>
          </cell>
          <cell r="J1366">
            <v>45631</v>
          </cell>
          <cell r="K1366" t="str">
            <v>Yes</v>
          </cell>
          <cell r="L1366">
            <v>44451</v>
          </cell>
          <cell r="M1366">
            <v>264</v>
          </cell>
          <cell r="N1366">
            <v>314</v>
          </cell>
          <cell r="O1366">
            <v>1672.55029296875</v>
          </cell>
          <cell r="P1366">
            <v>8916.0737192440647</v>
          </cell>
          <cell r="Q1366">
            <v>1601.173217773438</v>
          </cell>
        </row>
        <row r="1367">
          <cell r="A1367" t="str">
            <v>1N4BL4BV0LC244532</v>
          </cell>
          <cell r="B1367">
            <v>2020</v>
          </cell>
          <cell r="C1367" t="str">
            <v>NISSAN</v>
          </cell>
          <cell r="D1367" t="str">
            <v>ALTIMA FWD 4C</v>
          </cell>
          <cell r="E1367">
            <v>101449</v>
          </cell>
          <cell r="F1367" t="str">
            <v>Grade 3.7</v>
          </cell>
          <cell r="G1367" t="str">
            <v>Green/Yellow</v>
          </cell>
          <cell r="H1367" t="str">
            <v>Yes</v>
          </cell>
          <cell r="I1367" t="str">
            <v>No</v>
          </cell>
          <cell r="J1367">
            <v>45596</v>
          </cell>
          <cell r="K1367" t="str">
            <v>Yes</v>
          </cell>
          <cell r="L1367">
            <v>44451</v>
          </cell>
          <cell r="M1367">
            <v>264</v>
          </cell>
          <cell r="N1367">
            <v>314</v>
          </cell>
          <cell r="O1367">
            <v>7312.93798828125</v>
          </cell>
          <cell r="P1367">
            <v>11157.217545955789</v>
          </cell>
          <cell r="Q1367">
            <v>6935.06494140625</v>
          </cell>
        </row>
        <row r="1368">
          <cell r="A1368" t="str">
            <v>1VWAT7A34FC049137</v>
          </cell>
          <cell r="B1368">
            <v>2015</v>
          </cell>
          <cell r="C1368" t="str">
            <v>VOLKSWAGEN</v>
          </cell>
          <cell r="D1368" t="str">
            <v>PASSAT</v>
          </cell>
          <cell r="E1368">
            <v>101872</v>
          </cell>
          <cell r="F1368" t="str">
            <v>Grade 2.5</v>
          </cell>
          <cell r="G1368" t="str">
            <v>Red Light</v>
          </cell>
          <cell r="H1368" t="str">
            <v>No</v>
          </cell>
          <cell r="I1368" t="str">
            <v>Yes</v>
          </cell>
          <cell r="J1368">
            <v>45664</v>
          </cell>
          <cell r="K1368" t="str">
            <v>Yes</v>
          </cell>
          <cell r="L1368">
            <v>44451</v>
          </cell>
          <cell r="M1368">
            <v>264</v>
          </cell>
          <cell r="N1368">
            <v>314</v>
          </cell>
          <cell r="O1368">
            <v>1437.047973632812</v>
          </cell>
          <cell r="P1368">
            <v>8778.4655708637147</v>
          </cell>
          <cell r="Q1368">
            <v>1400.44287109375</v>
          </cell>
        </row>
        <row r="1369">
          <cell r="A1369" t="str">
            <v>1ZVBP8AM7C5208790</v>
          </cell>
          <cell r="B1369">
            <v>2012</v>
          </cell>
          <cell r="C1369" t="str">
            <v>FORD</v>
          </cell>
          <cell r="D1369" t="str">
            <v>MUSTANG</v>
          </cell>
          <cell r="E1369">
            <v>126137</v>
          </cell>
          <cell r="F1369" t="str">
            <v>Grade 1.3</v>
          </cell>
          <cell r="G1369" t="str">
            <v>Red Light</v>
          </cell>
          <cell r="H1369" t="str">
            <v>No</v>
          </cell>
          <cell r="I1369" t="str">
            <v>Yes</v>
          </cell>
          <cell r="J1369">
            <v>45608</v>
          </cell>
          <cell r="K1369" t="str">
            <v>Yes</v>
          </cell>
          <cell r="L1369">
            <v>44451</v>
          </cell>
          <cell r="M1369">
            <v>264</v>
          </cell>
          <cell r="N1369">
            <v>314</v>
          </cell>
          <cell r="O1369">
            <v>2868.077880859375</v>
          </cell>
          <cell r="P1369">
            <v>9449.221005336256</v>
          </cell>
          <cell r="Q1369">
            <v>2804.68310546875</v>
          </cell>
        </row>
        <row r="1370">
          <cell r="A1370" t="str">
            <v>1ZVBP8CF1B5136000</v>
          </cell>
          <cell r="B1370">
            <v>2011</v>
          </cell>
          <cell r="C1370" t="str">
            <v>FORD</v>
          </cell>
          <cell r="D1370" t="str">
            <v>MUSTANG</v>
          </cell>
          <cell r="E1370">
            <v>68059</v>
          </cell>
          <cell r="F1370" t="str">
            <v>Grade 2.9</v>
          </cell>
          <cell r="G1370" t="str">
            <v>Green Light</v>
          </cell>
          <cell r="H1370" t="str">
            <v>Yes</v>
          </cell>
          <cell r="I1370" t="str">
            <v>No</v>
          </cell>
          <cell r="J1370">
            <v>45608</v>
          </cell>
          <cell r="K1370" t="str">
            <v>Yes</v>
          </cell>
          <cell r="L1370">
            <v>44451</v>
          </cell>
          <cell r="M1370">
            <v>264</v>
          </cell>
          <cell r="N1370">
            <v>314</v>
          </cell>
          <cell r="O1370">
            <v>5205.3046875</v>
          </cell>
          <cell r="P1370">
            <v>10577.97276814432</v>
          </cell>
          <cell r="Q1370">
            <v>4865.36376953125</v>
          </cell>
        </row>
        <row r="1371">
          <cell r="A1371" t="str">
            <v>2FMPK3J9XJBB27907</v>
          </cell>
          <cell r="B1371">
            <v>2018</v>
          </cell>
          <cell r="C1371" t="str">
            <v>FORD</v>
          </cell>
          <cell r="D1371" t="str">
            <v>EDGE FWD SUV</v>
          </cell>
          <cell r="E1371">
            <v>133346</v>
          </cell>
          <cell r="F1371" t="str">
            <v>Grade 3.7</v>
          </cell>
          <cell r="G1371" t="str">
            <v>Green Light</v>
          </cell>
          <cell r="H1371" t="str">
            <v>Yes</v>
          </cell>
          <cell r="I1371" t="str">
            <v>No</v>
          </cell>
          <cell r="J1371">
            <v>45645</v>
          </cell>
          <cell r="K1371" t="str">
            <v>Yes</v>
          </cell>
          <cell r="L1371">
            <v>44451</v>
          </cell>
          <cell r="M1371">
            <v>264</v>
          </cell>
          <cell r="N1371">
            <v>314</v>
          </cell>
          <cell r="O1371">
            <v>7890.71142578125</v>
          </cell>
          <cell r="P1371">
            <v>10110.30526507749</v>
          </cell>
          <cell r="Q1371">
            <v>7827.77783203125</v>
          </cell>
        </row>
        <row r="1372">
          <cell r="A1372" t="str">
            <v>2GKFLTE31H6309361</v>
          </cell>
          <cell r="B1372">
            <v>2017</v>
          </cell>
          <cell r="C1372" t="str">
            <v>GMC</v>
          </cell>
          <cell r="D1372" t="str">
            <v>TERRAIN</v>
          </cell>
          <cell r="E1372">
            <v>31580</v>
          </cell>
          <cell r="F1372" t="str">
            <v>Grade 3.6</v>
          </cell>
          <cell r="G1372" t="str">
            <v>Green Light</v>
          </cell>
          <cell r="H1372" t="str">
            <v>Yes</v>
          </cell>
          <cell r="I1372" t="str">
            <v>No</v>
          </cell>
          <cell r="J1372">
            <v>45664</v>
          </cell>
          <cell r="K1372" t="str">
            <v>Yes</v>
          </cell>
          <cell r="L1372">
            <v>44451</v>
          </cell>
          <cell r="M1372">
            <v>264</v>
          </cell>
          <cell r="N1372">
            <v>314</v>
          </cell>
          <cell r="O1372">
            <v>18826.64453125</v>
          </cell>
          <cell r="P1372">
            <v>13406.603333310581</v>
          </cell>
          <cell r="Q1372">
            <v>19317.044921875</v>
          </cell>
        </row>
        <row r="1373">
          <cell r="A1373" t="str">
            <v>2GNAXUEV7K6242314</v>
          </cell>
          <cell r="B1373">
            <v>2019</v>
          </cell>
          <cell r="C1373" t="str">
            <v>CHEVROLET</v>
          </cell>
          <cell r="D1373" t="str">
            <v>EQUINOX AWD 4C</v>
          </cell>
          <cell r="E1373">
            <v>170865</v>
          </cell>
          <cell r="F1373" t="str">
            <v>Grade 3.6</v>
          </cell>
          <cell r="G1373" t="str">
            <v>Red Light</v>
          </cell>
          <cell r="H1373" t="str">
            <v>No</v>
          </cell>
          <cell r="I1373" t="str">
            <v>Yes</v>
          </cell>
          <cell r="J1373">
            <v>45435</v>
          </cell>
          <cell r="K1373" t="str">
            <v>Yes</v>
          </cell>
          <cell r="L1373">
            <v>44451</v>
          </cell>
          <cell r="M1373">
            <v>264</v>
          </cell>
          <cell r="N1373">
            <v>314</v>
          </cell>
          <cell r="O1373">
            <v>9095.146484375</v>
          </cell>
          <cell r="P1373">
            <v>10354.098307994251</v>
          </cell>
          <cell r="Q1373">
            <v>9144.44921875</v>
          </cell>
        </row>
        <row r="1374">
          <cell r="A1374" t="str">
            <v>2GNFLFEK3H6234108</v>
          </cell>
          <cell r="B1374">
            <v>2017</v>
          </cell>
          <cell r="C1374" t="str">
            <v>CHEVROLET</v>
          </cell>
          <cell r="D1374" t="str">
            <v>EQUINOX AWD 4C</v>
          </cell>
          <cell r="E1374">
            <v>99999</v>
          </cell>
          <cell r="F1374" t="str">
            <v>Grade 2.0</v>
          </cell>
          <cell r="G1374" t="str">
            <v>Inoperable</v>
          </cell>
          <cell r="H1374" t="str">
            <v>No</v>
          </cell>
          <cell r="I1374" t="str">
            <v>Yes</v>
          </cell>
          <cell r="J1374">
            <v>45701</v>
          </cell>
          <cell r="K1374" t="str">
            <v>Yes</v>
          </cell>
          <cell r="L1374">
            <v>44451</v>
          </cell>
          <cell r="M1374">
            <v>264</v>
          </cell>
          <cell r="N1374">
            <v>314</v>
          </cell>
          <cell r="O1374">
            <v>4147.6279296875</v>
          </cell>
          <cell r="P1374">
            <v>9450.3834563422988</v>
          </cell>
          <cell r="Q1374">
            <v>4161.70166015625</v>
          </cell>
        </row>
        <row r="1375">
          <cell r="A1375" t="str">
            <v>2GNFLNE57C6202999</v>
          </cell>
          <cell r="B1375">
            <v>2012</v>
          </cell>
          <cell r="C1375" t="str">
            <v>CHEVROLET</v>
          </cell>
          <cell r="D1375" t="str">
            <v>EQUINOX</v>
          </cell>
          <cell r="E1375">
            <v>99472</v>
          </cell>
          <cell r="F1375" t="str">
            <v>Grade 2.4</v>
          </cell>
          <cell r="G1375" t="str">
            <v>Red Light</v>
          </cell>
          <cell r="H1375" t="str">
            <v>No</v>
          </cell>
          <cell r="I1375" t="str">
            <v>Yes</v>
          </cell>
          <cell r="J1375">
            <v>45734</v>
          </cell>
          <cell r="K1375" t="str">
            <v>Yes</v>
          </cell>
          <cell r="L1375">
            <v>44451</v>
          </cell>
          <cell r="M1375">
            <v>264</v>
          </cell>
          <cell r="N1375">
            <v>314</v>
          </cell>
          <cell r="O1375">
            <v>2099.927001953125</v>
          </cell>
          <cell r="P1375">
            <v>9387.7308426328436</v>
          </cell>
          <cell r="Q1375">
            <v>2092.387939453125</v>
          </cell>
        </row>
        <row r="1376">
          <cell r="A1376" t="str">
            <v>3C3CFFAR9CT384352</v>
          </cell>
          <cell r="B1376">
            <v>2012</v>
          </cell>
          <cell r="C1376" t="str">
            <v>FIAT</v>
          </cell>
          <cell r="D1376">
            <v>500</v>
          </cell>
          <cell r="E1376">
            <v>97613</v>
          </cell>
          <cell r="F1376" t="str">
            <v>Grade 2.4</v>
          </cell>
          <cell r="G1376" t="str">
            <v>Red Light</v>
          </cell>
          <cell r="H1376" t="str">
            <v>No</v>
          </cell>
          <cell r="I1376" t="str">
            <v>Yes</v>
          </cell>
          <cell r="J1376">
            <v>45692</v>
          </cell>
          <cell r="K1376" t="str">
            <v>Yes</v>
          </cell>
          <cell r="L1376">
            <v>44451</v>
          </cell>
          <cell r="M1376">
            <v>264</v>
          </cell>
          <cell r="N1376">
            <v>314</v>
          </cell>
          <cell r="O1376">
            <v>1456.373291015625</v>
          </cell>
          <cell r="P1376">
            <v>9139.5977342489168</v>
          </cell>
          <cell r="Q1376">
            <v>1395.367431640625</v>
          </cell>
        </row>
        <row r="1377">
          <cell r="A1377" t="str">
            <v>3C4NJDAB6JT178980</v>
          </cell>
          <cell r="B1377">
            <v>2018</v>
          </cell>
          <cell r="C1377" t="str">
            <v>JEEP</v>
          </cell>
          <cell r="D1377" t="str">
            <v>COMPASS 4X4</v>
          </cell>
          <cell r="E1377">
            <v>122856</v>
          </cell>
          <cell r="F1377" t="str">
            <v>Grade 2.4</v>
          </cell>
          <cell r="G1377" t="str">
            <v>Red Light</v>
          </cell>
          <cell r="H1377" t="str">
            <v>No</v>
          </cell>
          <cell r="I1377" t="str">
            <v>Yes</v>
          </cell>
          <cell r="J1377">
            <v>45631</v>
          </cell>
          <cell r="K1377" t="str">
            <v>Yes</v>
          </cell>
          <cell r="L1377">
            <v>44451</v>
          </cell>
          <cell r="M1377">
            <v>264</v>
          </cell>
          <cell r="N1377">
            <v>314</v>
          </cell>
          <cell r="O1377">
            <v>4372.0234375</v>
          </cell>
          <cell r="P1377">
            <v>9328.7472636878865</v>
          </cell>
          <cell r="Q1377">
            <v>4356.724609375</v>
          </cell>
        </row>
        <row r="1378">
          <cell r="A1378" t="str">
            <v>3C4PDCAB4FT531881</v>
          </cell>
          <cell r="B1378">
            <v>2015</v>
          </cell>
          <cell r="C1378" t="str">
            <v>DODGE</v>
          </cell>
          <cell r="D1378" t="str">
            <v>JOURNEY FWD 4C</v>
          </cell>
          <cell r="E1378">
            <v>173309</v>
          </cell>
          <cell r="F1378" t="str">
            <v>Grade 2.7</v>
          </cell>
          <cell r="G1378" t="str">
            <v>Red Light</v>
          </cell>
          <cell r="H1378" t="str">
            <v>No</v>
          </cell>
          <cell r="I1378" t="str">
            <v>Yes</v>
          </cell>
          <cell r="J1378">
            <v>45603</v>
          </cell>
          <cell r="K1378" t="str">
            <v>Yes</v>
          </cell>
          <cell r="L1378">
            <v>44451</v>
          </cell>
          <cell r="M1378">
            <v>264</v>
          </cell>
          <cell r="N1378">
            <v>314</v>
          </cell>
          <cell r="O1378">
            <v>2253.236083984375</v>
          </cell>
          <cell r="P1378">
            <v>8977.7330457730204</v>
          </cell>
          <cell r="Q1378">
            <v>2171.309814453125</v>
          </cell>
        </row>
        <row r="1379">
          <cell r="A1379" t="str">
            <v>3C4PDCDG0ET308114</v>
          </cell>
          <cell r="B1379">
            <v>2014</v>
          </cell>
          <cell r="C1379" t="str">
            <v>DODGE</v>
          </cell>
          <cell r="D1379" t="str">
            <v>JOURNEY</v>
          </cell>
          <cell r="E1379">
            <v>121976</v>
          </cell>
          <cell r="F1379" t="str">
            <v>Grade 1.8</v>
          </cell>
          <cell r="G1379" t="str">
            <v>Inoperable</v>
          </cell>
          <cell r="H1379" t="str">
            <v>No</v>
          </cell>
          <cell r="I1379" t="str">
            <v>Yes</v>
          </cell>
          <cell r="J1379">
            <v>45678</v>
          </cell>
          <cell r="K1379" t="str">
            <v>Yes</v>
          </cell>
          <cell r="L1379">
            <v>44451</v>
          </cell>
          <cell r="M1379">
            <v>264</v>
          </cell>
          <cell r="N1379">
            <v>314</v>
          </cell>
          <cell r="O1379">
            <v>2059.791015625</v>
          </cell>
          <cell r="P1379">
            <v>8795.2397677398312</v>
          </cell>
          <cell r="Q1379">
            <v>2011.743041992188</v>
          </cell>
        </row>
        <row r="1380">
          <cell r="A1380" t="str">
            <v>3C4PDDBG9GT196442</v>
          </cell>
          <cell r="B1380">
            <v>2016</v>
          </cell>
          <cell r="C1380" t="str">
            <v>DODGE</v>
          </cell>
          <cell r="D1380" t="str">
            <v>JOURNEY</v>
          </cell>
          <cell r="E1380">
            <v>121536</v>
          </cell>
          <cell r="F1380" t="str">
            <v>Grade 1.8</v>
          </cell>
          <cell r="G1380" t="str">
            <v>Inoperable</v>
          </cell>
          <cell r="H1380" t="str">
            <v>No</v>
          </cell>
          <cell r="I1380" t="str">
            <v>Yes</v>
          </cell>
          <cell r="J1380">
            <v>45664</v>
          </cell>
          <cell r="K1380" t="str">
            <v>Yes</v>
          </cell>
          <cell r="L1380">
            <v>44451</v>
          </cell>
          <cell r="M1380">
            <v>264</v>
          </cell>
          <cell r="N1380">
            <v>314</v>
          </cell>
          <cell r="O1380">
            <v>2810.944580078125</v>
          </cell>
          <cell r="P1380">
            <v>8832.2633891340956</v>
          </cell>
          <cell r="Q1380">
            <v>2606.359375</v>
          </cell>
        </row>
        <row r="1381">
          <cell r="A1381" t="str">
            <v>3FA6P0H70FR179887</v>
          </cell>
          <cell r="B1381">
            <v>2015</v>
          </cell>
          <cell r="C1381" t="str">
            <v>FORD</v>
          </cell>
          <cell r="D1381" t="str">
            <v>FUSION</v>
          </cell>
          <cell r="E1381">
            <v>185349</v>
          </cell>
          <cell r="F1381" t="str">
            <v>Grade 2.1</v>
          </cell>
          <cell r="G1381" t="str">
            <v>Red Light</v>
          </cell>
          <cell r="H1381" t="str">
            <v>No</v>
          </cell>
          <cell r="I1381" t="str">
            <v>Yes</v>
          </cell>
          <cell r="J1381">
            <v>45510</v>
          </cell>
          <cell r="K1381" t="str">
            <v>Yes</v>
          </cell>
          <cell r="L1381">
            <v>44451</v>
          </cell>
          <cell r="M1381">
            <v>264</v>
          </cell>
          <cell r="N1381">
            <v>314</v>
          </cell>
          <cell r="O1381">
            <v>2348.334716796875</v>
          </cell>
          <cell r="P1381">
            <v>9066.2040941438045</v>
          </cell>
          <cell r="Q1381">
            <v>2226.78125</v>
          </cell>
        </row>
        <row r="1382">
          <cell r="A1382" t="str">
            <v>3GNCJLSB4KL134792</v>
          </cell>
          <cell r="B1382">
            <v>2019</v>
          </cell>
          <cell r="C1382" t="str">
            <v>CHEVROLET</v>
          </cell>
          <cell r="D1382" t="str">
            <v>TRAX</v>
          </cell>
          <cell r="E1382">
            <v>61596</v>
          </cell>
          <cell r="F1382" t="str">
            <v>Grade 3.7</v>
          </cell>
          <cell r="G1382" t="str">
            <v>Green Light</v>
          </cell>
          <cell r="H1382" t="str">
            <v>Yes</v>
          </cell>
          <cell r="I1382" t="str">
            <v>No</v>
          </cell>
          <cell r="J1382">
            <v>45608</v>
          </cell>
          <cell r="K1382" t="str">
            <v>Yes</v>
          </cell>
          <cell r="L1382">
            <v>44451</v>
          </cell>
          <cell r="M1382">
            <v>264</v>
          </cell>
          <cell r="N1382">
            <v>314</v>
          </cell>
          <cell r="O1382">
            <v>11064.1142578125</v>
          </cell>
          <cell r="P1382">
            <v>12252.12939314315</v>
          </cell>
          <cell r="Q1382">
            <v>10897.6533203125</v>
          </cell>
        </row>
        <row r="1383">
          <cell r="A1383" t="str">
            <v>3KPC24A65LE101774</v>
          </cell>
          <cell r="B1383">
            <v>2020</v>
          </cell>
          <cell r="C1383" t="str">
            <v>HYUNDAI</v>
          </cell>
          <cell r="D1383" t="str">
            <v>ACCENT</v>
          </cell>
          <cell r="E1383">
            <v>78057</v>
          </cell>
          <cell r="F1383" t="str">
            <v>Grade 3.8</v>
          </cell>
          <cell r="G1383" t="str">
            <v>Green Light</v>
          </cell>
          <cell r="H1383" t="str">
            <v>Yes</v>
          </cell>
          <cell r="I1383" t="str">
            <v>No</v>
          </cell>
          <cell r="J1383">
            <v>45678</v>
          </cell>
          <cell r="K1383" t="str">
            <v>Yes</v>
          </cell>
          <cell r="L1383">
            <v>44451</v>
          </cell>
          <cell r="M1383">
            <v>264</v>
          </cell>
          <cell r="N1383">
            <v>314</v>
          </cell>
          <cell r="O1383">
            <v>9794.7109375</v>
          </cell>
          <cell r="P1383">
            <v>10943.94377671495</v>
          </cell>
          <cell r="Q1383">
            <v>9650.6181640625</v>
          </cell>
        </row>
        <row r="1384">
          <cell r="A1384" t="str">
            <v>3KPFL4A83HE019884</v>
          </cell>
          <cell r="B1384">
            <v>2017</v>
          </cell>
          <cell r="C1384" t="str">
            <v>KIA</v>
          </cell>
          <cell r="D1384" t="str">
            <v>FORTE</v>
          </cell>
          <cell r="E1384">
            <v>69003</v>
          </cell>
          <cell r="F1384" t="str">
            <v>Grade 2.1</v>
          </cell>
          <cell r="G1384" t="str">
            <v>Green Light</v>
          </cell>
          <cell r="H1384" t="str">
            <v>Yes</v>
          </cell>
          <cell r="I1384" t="str">
            <v>No</v>
          </cell>
          <cell r="J1384">
            <v>45351</v>
          </cell>
          <cell r="K1384" t="str">
            <v>Yes</v>
          </cell>
          <cell r="L1384">
            <v>44451</v>
          </cell>
          <cell r="M1384">
            <v>264</v>
          </cell>
          <cell r="N1384">
            <v>314</v>
          </cell>
          <cell r="O1384">
            <v>3829.053466796875</v>
          </cell>
          <cell r="P1384">
            <v>9153.9279268855335</v>
          </cell>
          <cell r="Q1384">
            <v>3730.173828125</v>
          </cell>
        </row>
        <row r="1385">
          <cell r="A1385" t="str">
            <v>3LN6L2J92DR817207</v>
          </cell>
          <cell r="B1385">
            <v>2013</v>
          </cell>
          <cell r="C1385" t="str">
            <v>LINCOLN</v>
          </cell>
          <cell r="D1385" t="str">
            <v>MKZ AWD 4C</v>
          </cell>
          <cell r="E1385">
            <v>139001</v>
          </cell>
          <cell r="F1385" t="str">
            <v>Grade 2.0</v>
          </cell>
          <cell r="G1385" t="str">
            <v>Red Light</v>
          </cell>
          <cell r="H1385" t="str">
            <v>No</v>
          </cell>
          <cell r="I1385" t="str">
            <v>Yes</v>
          </cell>
          <cell r="J1385">
            <v>45701</v>
          </cell>
          <cell r="K1385" t="str">
            <v>Yes</v>
          </cell>
          <cell r="L1385">
            <v>44451</v>
          </cell>
          <cell r="M1385">
            <v>264</v>
          </cell>
          <cell r="N1385">
            <v>314</v>
          </cell>
          <cell r="O1385">
            <v>1704.845092773438</v>
          </cell>
          <cell r="P1385">
            <v>9159.2159729571304</v>
          </cell>
          <cell r="Q1385">
            <v>1680.238037109375</v>
          </cell>
        </row>
        <row r="1386">
          <cell r="A1386" t="str">
            <v>3N1AB7AP3KL615332</v>
          </cell>
          <cell r="B1386">
            <v>2019</v>
          </cell>
          <cell r="C1386" t="str">
            <v>NISSAN</v>
          </cell>
          <cell r="D1386" t="str">
            <v>SENTRA</v>
          </cell>
          <cell r="E1386">
            <v>118768</v>
          </cell>
          <cell r="F1386" t="str">
            <v>Grade 1.7</v>
          </cell>
          <cell r="G1386" t="str">
            <v>Red Light</v>
          </cell>
          <cell r="H1386" t="str">
            <v>No</v>
          </cell>
          <cell r="I1386" t="str">
            <v>Yes</v>
          </cell>
          <cell r="J1386">
            <v>45524</v>
          </cell>
          <cell r="K1386" t="str">
            <v>Yes</v>
          </cell>
          <cell r="L1386">
            <v>44451</v>
          </cell>
          <cell r="M1386">
            <v>264</v>
          </cell>
          <cell r="N1386">
            <v>314</v>
          </cell>
          <cell r="O1386">
            <v>2823.29833984375</v>
          </cell>
          <cell r="P1386">
            <v>8751.1387628866905</v>
          </cell>
          <cell r="Q1386">
            <v>2669.19921875</v>
          </cell>
        </row>
        <row r="1387">
          <cell r="A1387" t="str">
            <v>3PCAJ5M11LF112412</v>
          </cell>
          <cell r="B1387">
            <v>2020</v>
          </cell>
          <cell r="C1387" t="str">
            <v>INFINITI</v>
          </cell>
          <cell r="D1387" t="str">
            <v>QX50</v>
          </cell>
          <cell r="E1387">
            <v>63344</v>
          </cell>
          <cell r="F1387" t="str">
            <v>Grade 4.4</v>
          </cell>
          <cell r="G1387" t="str">
            <v>Certified</v>
          </cell>
          <cell r="H1387" t="str">
            <v>Yes</v>
          </cell>
          <cell r="I1387" t="str">
            <v>No</v>
          </cell>
          <cell r="J1387">
            <v>45426</v>
          </cell>
          <cell r="K1387" t="str">
            <v>Yes</v>
          </cell>
          <cell r="L1387">
            <v>44451</v>
          </cell>
          <cell r="M1387">
            <v>264</v>
          </cell>
          <cell r="N1387">
            <v>314</v>
          </cell>
          <cell r="O1387">
            <v>16499.408203125</v>
          </cell>
          <cell r="P1387">
            <v>13230.595288646689</v>
          </cell>
          <cell r="Q1387">
            <v>16390.978515625</v>
          </cell>
        </row>
        <row r="1388">
          <cell r="A1388" t="str">
            <v>3VW1K7AJ1FM228042</v>
          </cell>
          <cell r="B1388">
            <v>2015</v>
          </cell>
          <cell r="C1388" t="str">
            <v>VOLKSWAGEN</v>
          </cell>
          <cell r="D1388" t="str">
            <v>JETTA</v>
          </cell>
          <cell r="E1388">
            <v>61966</v>
          </cell>
          <cell r="F1388" t="str">
            <v>Grade 4.5</v>
          </cell>
          <cell r="G1388" t="str">
            <v>Certified</v>
          </cell>
          <cell r="H1388" t="str">
            <v>Yes</v>
          </cell>
          <cell r="I1388" t="str">
            <v>No</v>
          </cell>
          <cell r="J1388">
            <v>45328</v>
          </cell>
          <cell r="K1388" t="str">
            <v>Yes</v>
          </cell>
          <cell r="L1388">
            <v>44451</v>
          </cell>
          <cell r="M1388">
            <v>264</v>
          </cell>
          <cell r="N1388">
            <v>314</v>
          </cell>
          <cell r="O1388">
            <v>9555.5263671875</v>
          </cell>
          <cell r="P1388">
            <v>11726.117658778279</v>
          </cell>
          <cell r="Q1388">
            <v>9231.9462890625</v>
          </cell>
        </row>
        <row r="1389">
          <cell r="A1389" t="str">
            <v>3VW4T7AJ1EM304724</v>
          </cell>
          <cell r="B1389">
            <v>2014</v>
          </cell>
          <cell r="C1389" t="str">
            <v>VOLKSWAGEN</v>
          </cell>
          <cell r="D1389" t="str">
            <v>JETTA</v>
          </cell>
          <cell r="E1389">
            <v>128932</v>
          </cell>
          <cell r="F1389" t="str">
            <v>Grade 1.9</v>
          </cell>
          <cell r="G1389" t="str">
            <v>Red Light</v>
          </cell>
          <cell r="H1389" t="str">
            <v>No</v>
          </cell>
          <cell r="I1389" t="str">
            <v>Yes</v>
          </cell>
          <cell r="J1389">
            <v>45412</v>
          </cell>
          <cell r="K1389" t="str">
            <v>Yes</v>
          </cell>
          <cell r="L1389">
            <v>44451</v>
          </cell>
          <cell r="M1389">
            <v>264</v>
          </cell>
          <cell r="N1389">
            <v>314</v>
          </cell>
          <cell r="O1389">
            <v>1157.205322265625</v>
          </cell>
          <cell r="P1389">
            <v>8788.0921138532412</v>
          </cell>
          <cell r="Q1389">
            <v>1281.388061523438</v>
          </cell>
        </row>
        <row r="1390">
          <cell r="A1390" t="str">
            <v>55SWF8DB0KU296207</v>
          </cell>
          <cell r="B1390">
            <v>2019</v>
          </cell>
          <cell r="C1390" t="str">
            <v>MERCEDES-BENZ</v>
          </cell>
          <cell r="D1390" t="str">
            <v>C 300</v>
          </cell>
          <cell r="E1390">
            <v>42880</v>
          </cell>
          <cell r="F1390" t="str">
            <v>Grade 4.7</v>
          </cell>
          <cell r="G1390" t="str">
            <v>Certified</v>
          </cell>
          <cell r="H1390" t="str">
            <v>Yes</v>
          </cell>
          <cell r="I1390" t="str">
            <v>No</v>
          </cell>
          <cell r="J1390">
            <v>45594</v>
          </cell>
          <cell r="K1390" t="str">
            <v>Yes</v>
          </cell>
          <cell r="L1390">
            <v>44451</v>
          </cell>
          <cell r="M1390">
            <v>264</v>
          </cell>
          <cell r="N1390">
            <v>314</v>
          </cell>
          <cell r="O1390">
            <v>20429.734375</v>
          </cell>
          <cell r="P1390">
            <v>13122.76465323197</v>
          </cell>
          <cell r="Q1390">
            <v>20992.533203125</v>
          </cell>
        </row>
        <row r="1391">
          <cell r="A1391" t="str">
            <v>5GAKVCKD8FJ298426</v>
          </cell>
          <cell r="B1391">
            <v>2015</v>
          </cell>
          <cell r="C1391" t="str">
            <v>BUICK</v>
          </cell>
          <cell r="D1391" t="str">
            <v>ENCLAVE</v>
          </cell>
          <cell r="E1391">
            <v>148715</v>
          </cell>
          <cell r="F1391" t="str">
            <v>Grade 1.4</v>
          </cell>
          <cell r="G1391" t="str">
            <v>Red Light</v>
          </cell>
          <cell r="H1391" t="str">
            <v>No</v>
          </cell>
          <cell r="I1391" t="str">
            <v>Yes</v>
          </cell>
          <cell r="J1391">
            <v>45580</v>
          </cell>
          <cell r="K1391" t="str">
            <v>Yes</v>
          </cell>
          <cell r="L1391">
            <v>44451</v>
          </cell>
          <cell r="M1391">
            <v>264</v>
          </cell>
          <cell r="N1391">
            <v>314</v>
          </cell>
          <cell r="O1391">
            <v>1312.296508789062</v>
          </cell>
          <cell r="P1391">
            <v>8916.2194445257592</v>
          </cell>
          <cell r="Q1391">
            <v>1325.587768554688</v>
          </cell>
        </row>
        <row r="1392">
          <cell r="A1392" t="str">
            <v>5N1AR1NB4BC626139</v>
          </cell>
          <cell r="B1392">
            <v>2011</v>
          </cell>
          <cell r="C1392" t="str">
            <v>NISSAN</v>
          </cell>
          <cell r="D1392" t="str">
            <v>PATHFINDER</v>
          </cell>
          <cell r="E1392">
            <v>80690</v>
          </cell>
          <cell r="F1392" t="str">
            <v>Grade 2.9</v>
          </cell>
          <cell r="G1392" t="str">
            <v>Green Light</v>
          </cell>
          <cell r="H1392" t="str">
            <v>Yes</v>
          </cell>
          <cell r="I1392" t="str">
            <v>No</v>
          </cell>
          <cell r="J1392">
            <v>45440</v>
          </cell>
          <cell r="K1392" t="str">
            <v>Yes</v>
          </cell>
          <cell r="L1392">
            <v>44451</v>
          </cell>
          <cell r="M1392">
            <v>264</v>
          </cell>
          <cell r="N1392">
            <v>314</v>
          </cell>
          <cell r="O1392">
            <v>2088.258056640625</v>
          </cell>
          <cell r="P1392">
            <v>9175.392571696384</v>
          </cell>
          <cell r="Q1392">
            <v>2013.918701171875</v>
          </cell>
        </row>
        <row r="1393">
          <cell r="A1393" t="str">
            <v>5N1AT2MV6EC861567</v>
          </cell>
          <cell r="B1393">
            <v>2014</v>
          </cell>
          <cell r="C1393" t="str">
            <v>NISSAN</v>
          </cell>
          <cell r="D1393" t="str">
            <v>ROGUE AWD</v>
          </cell>
          <cell r="E1393">
            <v>193862</v>
          </cell>
          <cell r="F1393" t="str">
            <v>Grade 3.2</v>
          </cell>
          <cell r="G1393" t="str">
            <v>Red Light</v>
          </cell>
          <cell r="H1393" t="str">
            <v>No</v>
          </cell>
          <cell r="I1393" t="str">
            <v>Yes</v>
          </cell>
          <cell r="J1393">
            <v>45484</v>
          </cell>
          <cell r="K1393" t="str">
            <v>Yes</v>
          </cell>
          <cell r="L1393">
            <v>44451</v>
          </cell>
          <cell r="M1393">
            <v>264</v>
          </cell>
          <cell r="N1393">
            <v>314</v>
          </cell>
          <cell r="O1393">
            <v>2682.054931640625</v>
          </cell>
          <cell r="P1393">
            <v>8892.0246738245442</v>
          </cell>
          <cell r="Q1393">
            <v>2498.12890625</v>
          </cell>
        </row>
        <row r="1394">
          <cell r="A1394" t="str">
            <v>5NMS2CAD4KH090942</v>
          </cell>
          <cell r="B1394">
            <v>2019</v>
          </cell>
          <cell r="C1394" t="str">
            <v>HYUNDAI</v>
          </cell>
          <cell r="D1394" t="str">
            <v>SANTA FE</v>
          </cell>
          <cell r="E1394">
            <v>113004</v>
          </cell>
          <cell r="F1394" t="str">
            <v>Grade 4.3</v>
          </cell>
          <cell r="G1394" t="str">
            <v>Certified</v>
          </cell>
          <cell r="H1394" t="str">
            <v>Yes</v>
          </cell>
          <cell r="I1394" t="str">
            <v>No</v>
          </cell>
          <cell r="J1394">
            <v>45664</v>
          </cell>
          <cell r="K1394" t="str">
            <v>Yes</v>
          </cell>
          <cell r="L1394">
            <v>44451</v>
          </cell>
          <cell r="M1394">
            <v>264</v>
          </cell>
          <cell r="N1394">
            <v>314</v>
          </cell>
          <cell r="O1394">
            <v>8329.705078125</v>
          </cell>
          <cell r="P1394">
            <v>9699.1282317763034</v>
          </cell>
          <cell r="Q1394">
            <v>8417.859375</v>
          </cell>
        </row>
        <row r="1395">
          <cell r="A1395" t="str">
            <v>5NPD84LF0HH017428</v>
          </cell>
          <cell r="B1395">
            <v>2017</v>
          </cell>
          <cell r="C1395" t="str">
            <v>HYUNDAI</v>
          </cell>
          <cell r="D1395" t="str">
            <v>ELANTRA</v>
          </cell>
          <cell r="E1395">
            <v>129684</v>
          </cell>
          <cell r="F1395" t="str">
            <v>Grade 1.8</v>
          </cell>
          <cell r="G1395" t="str">
            <v>Inoperable</v>
          </cell>
          <cell r="H1395" t="str">
            <v>No</v>
          </cell>
          <cell r="I1395" t="str">
            <v>Yes</v>
          </cell>
          <cell r="J1395">
            <v>45370</v>
          </cell>
          <cell r="K1395" t="str">
            <v>Yes</v>
          </cell>
          <cell r="L1395">
            <v>44451</v>
          </cell>
          <cell r="M1395">
            <v>264</v>
          </cell>
          <cell r="N1395">
            <v>314</v>
          </cell>
          <cell r="O1395">
            <v>2620.6240234375</v>
          </cell>
          <cell r="P1395">
            <v>8550.4130384700111</v>
          </cell>
          <cell r="Q1395">
            <v>2579.0458984375</v>
          </cell>
        </row>
        <row r="1396">
          <cell r="A1396" t="str">
            <v>5NPD84LF1HH012917</v>
          </cell>
          <cell r="B1396">
            <v>2017</v>
          </cell>
          <cell r="C1396" t="str">
            <v>HYUNDAI</v>
          </cell>
          <cell r="D1396" t="str">
            <v>ELANTRA</v>
          </cell>
          <cell r="E1396">
            <v>111566</v>
          </cell>
          <cell r="F1396" t="str">
            <v>Grade 2.6</v>
          </cell>
          <cell r="G1396" t="str">
            <v>Green Light</v>
          </cell>
          <cell r="H1396" t="str">
            <v>Yes</v>
          </cell>
          <cell r="I1396" t="str">
            <v>No</v>
          </cell>
          <cell r="J1396">
            <v>45328</v>
          </cell>
          <cell r="K1396" t="str">
            <v>Yes</v>
          </cell>
          <cell r="L1396">
            <v>44451</v>
          </cell>
          <cell r="M1396">
            <v>264</v>
          </cell>
          <cell r="N1396">
            <v>314</v>
          </cell>
          <cell r="O1396">
            <v>3016.77880859375</v>
          </cell>
          <cell r="P1396">
            <v>8652.6920287822322</v>
          </cell>
          <cell r="Q1396">
            <v>2874.52734375</v>
          </cell>
        </row>
        <row r="1397">
          <cell r="A1397" t="str">
            <v>5NPD84LF2LH630336</v>
          </cell>
          <cell r="B1397">
            <v>2020</v>
          </cell>
          <cell r="C1397" t="str">
            <v>HYUNDAI</v>
          </cell>
          <cell r="D1397" t="str">
            <v>ELANTRA</v>
          </cell>
          <cell r="E1397">
            <v>90949</v>
          </cell>
          <cell r="F1397" t="str">
            <v>Grade 2.1</v>
          </cell>
          <cell r="G1397" t="str">
            <v>Red Light</v>
          </cell>
          <cell r="H1397" t="str">
            <v>No</v>
          </cell>
          <cell r="I1397" t="str">
            <v>Yes</v>
          </cell>
          <cell r="J1397">
            <v>45687</v>
          </cell>
          <cell r="K1397" t="str">
            <v>Yes</v>
          </cell>
          <cell r="L1397">
            <v>44451</v>
          </cell>
          <cell r="M1397">
            <v>264</v>
          </cell>
          <cell r="N1397">
            <v>314</v>
          </cell>
          <cell r="O1397">
            <v>4871.7822265625</v>
          </cell>
          <cell r="P1397">
            <v>10102.724179154589</v>
          </cell>
          <cell r="Q1397">
            <v>4723.94921875</v>
          </cell>
        </row>
        <row r="1398">
          <cell r="A1398" t="str">
            <v>5NPDH4AEXDH413354</v>
          </cell>
          <cell r="B1398">
            <v>2013</v>
          </cell>
          <cell r="C1398" t="str">
            <v>HYUNDAI</v>
          </cell>
          <cell r="D1398" t="str">
            <v>ELANTRA</v>
          </cell>
          <cell r="E1398">
            <v>88506</v>
          </cell>
          <cell r="F1398" t="str">
            <v>Grade 2.8</v>
          </cell>
          <cell r="G1398" t="str">
            <v>Red Light</v>
          </cell>
          <cell r="H1398" t="str">
            <v>No</v>
          </cell>
          <cell r="I1398" t="str">
            <v>Yes</v>
          </cell>
          <cell r="J1398">
            <v>45664</v>
          </cell>
          <cell r="K1398" t="str">
            <v>Yes</v>
          </cell>
          <cell r="L1398">
            <v>44451</v>
          </cell>
          <cell r="M1398">
            <v>264</v>
          </cell>
          <cell r="N1398">
            <v>314</v>
          </cell>
          <cell r="O1398">
            <v>1573.215087890625</v>
          </cell>
          <cell r="P1398">
            <v>8834.3420857716774</v>
          </cell>
          <cell r="Q1398">
            <v>1524.272094726562</v>
          </cell>
        </row>
        <row r="1399">
          <cell r="A1399" t="str">
            <v>5NPE24AF4HH524230</v>
          </cell>
          <cell r="B1399">
            <v>2017</v>
          </cell>
          <cell r="C1399" t="str">
            <v>HYUNDAI</v>
          </cell>
          <cell r="D1399" t="str">
            <v>SONATA</v>
          </cell>
          <cell r="E1399">
            <v>111658</v>
          </cell>
          <cell r="F1399" t="str">
            <v>Grade 2.1</v>
          </cell>
          <cell r="G1399" t="str">
            <v>Red Light</v>
          </cell>
          <cell r="H1399" t="str">
            <v>No</v>
          </cell>
          <cell r="I1399" t="str">
            <v>Yes</v>
          </cell>
          <cell r="J1399">
            <v>45454</v>
          </cell>
          <cell r="K1399" t="str">
            <v>Yes</v>
          </cell>
          <cell r="L1399">
            <v>44451</v>
          </cell>
          <cell r="M1399">
            <v>264</v>
          </cell>
          <cell r="N1399">
            <v>314</v>
          </cell>
          <cell r="O1399">
            <v>2825.115966796875</v>
          </cell>
          <cell r="P1399">
            <v>8578.6002944771553</v>
          </cell>
          <cell r="Q1399">
            <v>2690.8447265625</v>
          </cell>
        </row>
        <row r="1400">
          <cell r="A1400" t="str">
            <v>5NPE24AF5KH790251</v>
          </cell>
          <cell r="B1400">
            <v>2019</v>
          </cell>
          <cell r="C1400" t="str">
            <v>HYUNDAI</v>
          </cell>
          <cell r="D1400" t="str">
            <v>SONATA</v>
          </cell>
          <cell r="E1400">
            <v>136414</v>
          </cell>
          <cell r="F1400" t="str">
            <v>Grade 1.3</v>
          </cell>
          <cell r="G1400" t="str">
            <v>Red Light</v>
          </cell>
          <cell r="H1400" t="str">
            <v>No</v>
          </cell>
          <cell r="I1400" t="str">
            <v>Yes</v>
          </cell>
          <cell r="J1400">
            <v>45552</v>
          </cell>
          <cell r="K1400" t="str">
            <v>Yes</v>
          </cell>
          <cell r="L1400">
            <v>44451</v>
          </cell>
          <cell r="M1400">
            <v>264</v>
          </cell>
          <cell r="N1400">
            <v>314</v>
          </cell>
          <cell r="O1400">
            <v>3288.023193359375</v>
          </cell>
          <cell r="P1400">
            <v>8684.9255109717506</v>
          </cell>
          <cell r="Q1400">
            <v>3210.5380859375</v>
          </cell>
        </row>
        <row r="1401">
          <cell r="A1401" t="str">
            <v>5NPE34AB6FH048599</v>
          </cell>
          <cell r="B1401">
            <v>2015</v>
          </cell>
          <cell r="C1401" t="str">
            <v>HYUNDAI</v>
          </cell>
          <cell r="D1401" t="str">
            <v>SONATA</v>
          </cell>
          <cell r="E1401">
            <v>104542</v>
          </cell>
          <cell r="F1401" t="str">
            <v>Grade 3.3</v>
          </cell>
          <cell r="G1401" t="str">
            <v>Certified</v>
          </cell>
          <cell r="H1401" t="str">
            <v>Yes</v>
          </cell>
          <cell r="I1401" t="str">
            <v>No</v>
          </cell>
          <cell r="J1401">
            <v>45484</v>
          </cell>
          <cell r="K1401" t="str">
            <v>Yes</v>
          </cell>
          <cell r="L1401">
            <v>44451</v>
          </cell>
          <cell r="M1401">
            <v>264</v>
          </cell>
          <cell r="N1401">
            <v>314</v>
          </cell>
          <cell r="O1401">
            <v>5919.5927734375</v>
          </cell>
          <cell r="P1401">
            <v>8695.0201795814919</v>
          </cell>
          <cell r="Q1401">
            <v>5978.845703125</v>
          </cell>
        </row>
        <row r="1402">
          <cell r="A1402" t="str">
            <v>5TFLU4EN7CX035837</v>
          </cell>
          <cell r="B1402">
            <v>2012</v>
          </cell>
          <cell r="C1402" t="str">
            <v>TOYOTA</v>
          </cell>
          <cell r="D1402" t="str">
            <v>TACOMA</v>
          </cell>
          <cell r="E1402">
            <v>109137</v>
          </cell>
          <cell r="F1402" t="str">
            <v>Grade 3.9</v>
          </cell>
          <cell r="G1402" t="str">
            <v>Green Light</v>
          </cell>
          <cell r="H1402" t="str">
            <v>Yes</v>
          </cell>
          <cell r="I1402" t="str">
            <v>No</v>
          </cell>
          <cell r="J1402">
            <v>45398</v>
          </cell>
          <cell r="K1402" t="str">
            <v>Yes</v>
          </cell>
          <cell r="L1402">
            <v>44451</v>
          </cell>
          <cell r="M1402">
            <v>264</v>
          </cell>
          <cell r="N1402">
            <v>314</v>
          </cell>
          <cell r="O1402">
            <v>6350.24560546875</v>
          </cell>
          <cell r="P1402">
            <v>10680.522633760629</v>
          </cell>
          <cell r="Q1402">
            <v>5960.42333984375</v>
          </cell>
        </row>
        <row r="1403">
          <cell r="A1403" t="str">
            <v>5XXGN4A74DG210348</v>
          </cell>
          <cell r="B1403">
            <v>2013</v>
          </cell>
          <cell r="C1403" t="str">
            <v>KIA</v>
          </cell>
          <cell r="D1403" t="str">
            <v>OPTIMA</v>
          </cell>
          <cell r="E1403">
            <v>128749</v>
          </cell>
          <cell r="F1403" t="str">
            <v>Grade 2.5</v>
          </cell>
          <cell r="G1403" t="str">
            <v>Green Light</v>
          </cell>
          <cell r="H1403" t="str">
            <v>Yes</v>
          </cell>
          <cell r="I1403" t="str">
            <v>No</v>
          </cell>
          <cell r="J1403">
            <v>45484</v>
          </cell>
          <cell r="K1403" t="str">
            <v>Yes</v>
          </cell>
          <cell r="L1403">
            <v>44451</v>
          </cell>
          <cell r="M1403">
            <v>264</v>
          </cell>
          <cell r="N1403">
            <v>314</v>
          </cell>
          <cell r="O1403">
            <v>659.41094970703125</v>
          </cell>
          <cell r="P1403">
            <v>8688.3182941589639</v>
          </cell>
          <cell r="Q1403">
            <v>932.59674072265625</v>
          </cell>
        </row>
        <row r="1404">
          <cell r="A1404" t="str">
            <v>5XXGT4L36HG175365</v>
          </cell>
          <cell r="B1404">
            <v>2017</v>
          </cell>
          <cell r="C1404" t="str">
            <v>KIA</v>
          </cell>
          <cell r="D1404" t="str">
            <v>OPTIMA</v>
          </cell>
          <cell r="E1404">
            <v>75642</v>
          </cell>
          <cell r="F1404" t="str">
            <v>Grade 1.9</v>
          </cell>
          <cell r="G1404" t="str">
            <v>Inoperable</v>
          </cell>
          <cell r="H1404" t="str">
            <v>No</v>
          </cell>
          <cell r="I1404" t="str">
            <v>Yes</v>
          </cell>
          <cell r="J1404">
            <v>45370</v>
          </cell>
          <cell r="K1404" t="str">
            <v>Yes</v>
          </cell>
          <cell r="L1404">
            <v>44451</v>
          </cell>
          <cell r="M1404">
            <v>264</v>
          </cell>
          <cell r="N1404">
            <v>314</v>
          </cell>
          <cell r="O1404">
            <v>3051.961669921875</v>
          </cell>
          <cell r="P1404">
            <v>8843.8751197539095</v>
          </cell>
          <cell r="Q1404">
            <v>2896.08837890625</v>
          </cell>
        </row>
        <row r="1405">
          <cell r="A1405" t="str">
            <v>5XYKTCA18BG146748</v>
          </cell>
          <cell r="B1405">
            <v>2011</v>
          </cell>
          <cell r="C1405" t="str">
            <v>KIA</v>
          </cell>
          <cell r="D1405" t="str">
            <v>SORENTO AWD 4C</v>
          </cell>
          <cell r="E1405">
            <v>96607</v>
          </cell>
          <cell r="F1405" t="str">
            <v>Grade 3.8</v>
          </cell>
          <cell r="G1405" t="str">
            <v>Green/Yellow</v>
          </cell>
          <cell r="H1405" t="str">
            <v>Yes</v>
          </cell>
          <cell r="I1405" t="str">
            <v>No</v>
          </cell>
          <cell r="J1405">
            <v>45603</v>
          </cell>
          <cell r="K1405" t="str">
            <v>Yes</v>
          </cell>
          <cell r="L1405">
            <v>44451</v>
          </cell>
          <cell r="M1405">
            <v>264</v>
          </cell>
          <cell r="N1405">
            <v>314</v>
          </cell>
          <cell r="O1405">
            <v>3447.77880859375</v>
          </cell>
          <cell r="P1405">
            <v>9722.9064915851395</v>
          </cell>
          <cell r="Q1405">
            <v>3493.63818359375</v>
          </cell>
        </row>
        <row r="1406">
          <cell r="A1406" t="str">
            <v>5XYZUDLB7GG345241</v>
          </cell>
          <cell r="B1406">
            <v>2016</v>
          </cell>
          <cell r="C1406" t="str">
            <v>HYUNDAI</v>
          </cell>
          <cell r="D1406" t="str">
            <v>SANTA SP AWD 4C</v>
          </cell>
          <cell r="E1406">
            <v>118234</v>
          </cell>
          <cell r="F1406" t="str">
            <v>Grade 2.7</v>
          </cell>
          <cell r="G1406" t="str">
            <v>Green/Yellow</v>
          </cell>
          <cell r="H1406" t="str">
            <v>Yes</v>
          </cell>
          <cell r="I1406" t="str">
            <v>No</v>
          </cell>
          <cell r="J1406">
            <v>45729</v>
          </cell>
          <cell r="K1406" t="str">
            <v>Yes</v>
          </cell>
          <cell r="L1406">
            <v>44451</v>
          </cell>
          <cell r="M1406">
            <v>264</v>
          </cell>
          <cell r="N1406">
            <v>314</v>
          </cell>
          <cell r="O1406">
            <v>1701.625244140625</v>
          </cell>
          <cell r="P1406">
            <v>8793.2534132269266</v>
          </cell>
          <cell r="Q1406">
            <v>1678.0625</v>
          </cell>
        </row>
        <row r="1407">
          <cell r="A1407" t="str">
            <v>5YFBU4EE7CP055516</v>
          </cell>
          <cell r="B1407">
            <v>2012</v>
          </cell>
          <cell r="C1407" t="str">
            <v>TOYOTA</v>
          </cell>
          <cell r="D1407" t="str">
            <v>COROLLA</v>
          </cell>
          <cell r="E1407">
            <v>137437</v>
          </cell>
          <cell r="F1407" t="str">
            <v>Grade 1.9</v>
          </cell>
          <cell r="G1407" t="str">
            <v>Green Light</v>
          </cell>
          <cell r="H1407" t="str">
            <v>Yes</v>
          </cell>
          <cell r="I1407" t="str">
            <v>No</v>
          </cell>
          <cell r="J1407">
            <v>45736</v>
          </cell>
          <cell r="K1407" t="str">
            <v>Yes</v>
          </cell>
          <cell r="L1407">
            <v>44451</v>
          </cell>
          <cell r="M1407">
            <v>264</v>
          </cell>
          <cell r="N1407">
            <v>314</v>
          </cell>
          <cell r="O1407">
            <v>2623.74658203125</v>
          </cell>
          <cell r="P1407">
            <v>9392.0255984733358</v>
          </cell>
          <cell r="Q1407">
            <v>2567.79443359375</v>
          </cell>
        </row>
        <row r="1408">
          <cell r="A1408" t="str">
            <v>5YFBURHE5GP528845</v>
          </cell>
          <cell r="B1408">
            <v>2016</v>
          </cell>
          <cell r="C1408" t="str">
            <v>TOYOTA</v>
          </cell>
          <cell r="D1408" t="str">
            <v>COROLLA</v>
          </cell>
          <cell r="E1408">
            <v>108496</v>
          </cell>
          <cell r="F1408" t="str">
            <v>Grade 1.9</v>
          </cell>
          <cell r="G1408" t="str">
            <v>Green/Yellow</v>
          </cell>
          <cell r="H1408" t="str">
            <v>Yes</v>
          </cell>
          <cell r="I1408" t="str">
            <v>No</v>
          </cell>
          <cell r="J1408">
            <v>45608</v>
          </cell>
          <cell r="K1408" t="str">
            <v>Yes</v>
          </cell>
          <cell r="L1408">
            <v>44451</v>
          </cell>
          <cell r="M1408">
            <v>264</v>
          </cell>
          <cell r="N1408">
            <v>314</v>
          </cell>
          <cell r="O1408">
            <v>4037.0087890625</v>
          </cell>
          <cell r="P1408">
            <v>9381.9709632600825</v>
          </cell>
          <cell r="Q1408">
            <v>3918.42822265625</v>
          </cell>
        </row>
        <row r="1409">
          <cell r="A1409" t="str">
            <v>JHMGE8H43AS021256</v>
          </cell>
          <cell r="B1409">
            <v>2010</v>
          </cell>
          <cell r="C1409" t="str">
            <v>HONDA</v>
          </cell>
          <cell r="D1409" t="str">
            <v>FIT</v>
          </cell>
          <cell r="E1409">
            <v>95727</v>
          </cell>
          <cell r="F1409" t="str">
            <v>Grade 1.6</v>
          </cell>
          <cell r="G1409" t="str">
            <v>Inoperable</v>
          </cell>
          <cell r="H1409" t="str">
            <v>No</v>
          </cell>
          <cell r="I1409" t="str">
            <v>Yes</v>
          </cell>
          <cell r="J1409">
            <v>45496</v>
          </cell>
          <cell r="K1409" t="str">
            <v>Yes</v>
          </cell>
          <cell r="L1409">
            <v>44451</v>
          </cell>
          <cell r="M1409">
            <v>264</v>
          </cell>
          <cell r="N1409">
            <v>314</v>
          </cell>
          <cell r="O1409">
            <v>2860.679443359375</v>
          </cell>
          <cell r="P1409">
            <v>9194.3285182033287</v>
          </cell>
          <cell r="Q1409">
            <v>2700.09423828125</v>
          </cell>
        </row>
        <row r="1410">
          <cell r="A1410" t="str">
            <v>JM1BL1UG5B1488615</v>
          </cell>
          <cell r="B1410">
            <v>2011</v>
          </cell>
          <cell r="C1410" t="str">
            <v>MAZDA</v>
          </cell>
          <cell r="D1410" t="str">
            <v>MAZDA3</v>
          </cell>
          <cell r="E1410">
            <v>105659</v>
          </cell>
          <cell r="F1410" t="str">
            <v>Grade 2.4</v>
          </cell>
          <cell r="G1410" t="str">
            <v>Green Light</v>
          </cell>
          <cell r="H1410" t="str">
            <v>Yes</v>
          </cell>
          <cell r="I1410" t="str">
            <v>No</v>
          </cell>
          <cell r="J1410">
            <v>45496</v>
          </cell>
          <cell r="K1410" t="str">
            <v>Yes</v>
          </cell>
          <cell r="L1410">
            <v>44451</v>
          </cell>
          <cell r="M1410">
            <v>264</v>
          </cell>
          <cell r="N1410">
            <v>314</v>
          </cell>
          <cell r="O1410">
            <v>1904.124267578125</v>
          </cell>
          <cell r="P1410">
            <v>9065.1002559585904</v>
          </cell>
          <cell r="Q1410">
            <v>1778.49755859375</v>
          </cell>
        </row>
        <row r="1411">
          <cell r="A1411" t="str">
            <v>JN1EV7AP5JM353746</v>
          </cell>
          <cell r="B1411">
            <v>2018</v>
          </cell>
          <cell r="C1411" t="str">
            <v>INFINITI</v>
          </cell>
          <cell r="D1411" t="str">
            <v>Q50 4X2 V6</v>
          </cell>
          <cell r="E1411">
            <v>77520</v>
          </cell>
          <cell r="F1411" t="str">
            <v>Grade 2.6</v>
          </cell>
          <cell r="G1411" t="str">
            <v>Green/Yellow</v>
          </cell>
          <cell r="H1411" t="str">
            <v>Yes</v>
          </cell>
          <cell r="I1411" t="str">
            <v>No</v>
          </cell>
          <cell r="J1411">
            <v>45645</v>
          </cell>
          <cell r="K1411" t="str">
            <v>Yes</v>
          </cell>
          <cell r="L1411">
            <v>44451</v>
          </cell>
          <cell r="M1411">
            <v>264</v>
          </cell>
          <cell r="N1411">
            <v>314</v>
          </cell>
          <cell r="O1411">
            <v>6580.6318359375</v>
          </cell>
          <cell r="P1411">
            <v>9386.8104182604693</v>
          </cell>
          <cell r="Q1411">
            <v>6627.66259765625</v>
          </cell>
        </row>
        <row r="1412">
          <cell r="A1412" t="str">
            <v>JN8AZ1MW3CW203100</v>
          </cell>
          <cell r="B1412">
            <v>2012</v>
          </cell>
          <cell r="C1412" t="str">
            <v>NISSAN</v>
          </cell>
          <cell r="D1412" t="str">
            <v>MURANO AWD</v>
          </cell>
          <cell r="E1412">
            <v>117698</v>
          </cell>
          <cell r="F1412" t="str">
            <v>Grade 1.8</v>
          </cell>
          <cell r="G1412" t="str">
            <v>Red Light</v>
          </cell>
          <cell r="H1412" t="str">
            <v>No</v>
          </cell>
          <cell r="I1412" t="str">
            <v>Yes</v>
          </cell>
          <cell r="J1412">
            <v>45337</v>
          </cell>
          <cell r="K1412" t="str">
            <v>Yes</v>
          </cell>
          <cell r="L1412">
            <v>44451</v>
          </cell>
          <cell r="M1412">
            <v>264</v>
          </cell>
          <cell r="N1412">
            <v>314</v>
          </cell>
          <cell r="O1412">
            <v>1203.563842773438</v>
          </cell>
          <cell r="P1412">
            <v>8765.550058874549</v>
          </cell>
          <cell r="Q1412">
            <v>1281.388061523438</v>
          </cell>
        </row>
        <row r="1413">
          <cell r="A1413" t="str">
            <v>KL4CJBSB9FB153794</v>
          </cell>
          <cell r="B1413">
            <v>2015</v>
          </cell>
          <cell r="C1413" t="str">
            <v>BUICK</v>
          </cell>
          <cell r="D1413" t="str">
            <v>ENCORE</v>
          </cell>
          <cell r="E1413">
            <v>127845</v>
          </cell>
          <cell r="F1413" t="str">
            <v>Grade 1.6</v>
          </cell>
          <cell r="G1413" t="str">
            <v>Red Light</v>
          </cell>
          <cell r="H1413" t="str">
            <v>No</v>
          </cell>
          <cell r="I1413" t="str">
            <v>Yes</v>
          </cell>
          <cell r="J1413">
            <v>45566</v>
          </cell>
          <cell r="K1413" t="str">
            <v>Yes</v>
          </cell>
          <cell r="L1413">
            <v>44451</v>
          </cell>
          <cell r="M1413">
            <v>264</v>
          </cell>
          <cell r="N1413">
            <v>314</v>
          </cell>
          <cell r="O1413">
            <v>1641.185668945312</v>
          </cell>
          <cell r="P1413">
            <v>9018.3372640404395</v>
          </cell>
          <cell r="Q1413">
            <v>1601.173217773438</v>
          </cell>
        </row>
        <row r="1414">
          <cell r="A1414" t="str">
            <v>KL4CJHSB8HB232251</v>
          </cell>
          <cell r="B1414">
            <v>2017</v>
          </cell>
          <cell r="C1414" t="str">
            <v>BUICK</v>
          </cell>
          <cell r="D1414" t="str">
            <v>ENCORE</v>
          </cell>
          <cell r="E1414">
            <v>64438</v>
          </cell>
          <cell r="F1414" t="str">
            <v>Grade 4.5</v>
          </cell>
          <cell r="G1414" t="str">
            <v>Certified</v>
          </cell>
          <cell r="H1414" t="str">
            <v>Yes</v>
          </cell>
          <cell r="I1414" t="str">
            <v>No</v>
          </cell>
          <cell r="J1414">
            <v>45664</v>
          </cell>
          <cell r="K1414" t="str">
            <v>Yes</v>
          </cell>
          <cell r="L1414">
            <v>44451</v>
          </cell>
          <cell r="M1414">
            <v>264</v>
          </cell>
          <cell r="N1414">
            <v>314</v>
          </cell>
          <cell r="O1414">
            <v>11327.560546875</v>
          </cell>
          <cell r="P1414">
            <v>11706.384072655501</v>
          </cell>
          <cell r="Q1414">
            <v>11222.3154296875</v>
          </cell>
        </row>
        <row r="1415">
          <cell r="A1415" t="str">
            <v>KL7CJNSB3FB214366</v>
          </cell>
          <cell r="B1415">
            <v>2015</v>
          </cell>
          <cell r="C1415" t="str">
            <v>CHEVROLET</v>
          </cell>
          <cell r="D1415" t="str">
            <v>TRAX</v>
          </cell>
          <cell r="E1415">
            <v>88285</v>
          </cell>
          <cell r="F1415" t="str">
            <v>Grade 2.8</v>
          </cell>
          <cell r="G1415" t="str">
            <v>Green Light</v>
          </cell>
          <cell r="H1415" t="str">
            <v>Yes</v>
          </cell>
          <cell r="I1415" t="str">
            <v>No</v>
          </cell>
          <cell r="J1415">
            <v>45566</v>
          </cell>
          <cell r="K1415" t="str">
            <v>Yes</v>
          </cell>
          <cell r="L1415">
            <v>44451</v>
          </cell>
          <cell r="M1415">
            <v>264</v>
          </cell>
          <cell r="N1415">
            <v>314</v>
          </cell>
          <cell r="O1415">
            <v>2237.8173828125</v>
          </cell>
          <cell r="P1415">
            <v>9552.7339152136447</v>
          </cell>
          <cell r="Q1415">
            <v>2182.28759765625</v>
          </cell>
        </row>
        <row r="1416">
          <cell r="A1416" t="str">
            <v>KM8JUCAG1EU896150</v>
          </cell>
          <cell r="B1416">
            <v>2014</v>
          </cell>
          <cell r="C1416" t="str">
            <v>HYUNDAI</v>
          </cell>
          <cell r="D1416" t="str">
            <v>TUCSON AWD 4C</v>
          </cell>
          <cell r="E1416">
            <v>162140</v>
          </cell>
          <cell r="F1416" t="str">
            <v>Grade 2.0</v>
          </cell>
          <cell r="G1416" t="str">
            <v>Red Light</v>
          </cell>
          <cell r="H1416" t="str">
            <v>No</v>
          </cell>
          <cell r="I1416" t="str">
            <v>Yes</v>
          </cell>
          <cell r="J1416">
            <v>45622</v>
          </cell>
          <cell r="K1416" t="str">
            <v>Yes</v>
          </cell>
          <cell r="L1416">
            <v>44451</v>
          </cell>
          <cell r="M1416">
            <v>264</v>
          </cell>
          <cell r="N1416">
            <v>314</v>
          </cell>
          <cell r="O1416">
            <v>965.35693359375</v>
          </cell>
          <cell r="P1416">
            <v>8676.1219526653676</v>
          </cell>
          <cell r="Q1416">
            <v>1174.935546875</v>
          </cell>
        </row>
        <row r="1417">
          <cell r="A1417" t="str">
            <v>KMHRC8A31MU096866</v>
          </cell>
          <cell r="B1417">
            <v>2021</v>
          </cell>
          <cell r="C1417" t="str">
            <v>HYUNDAI</v>
          </cell>
          <cell r="D1417" t="str">
            <v>VENUE</v>
          </cell>
          <cell r="E1417">
            <v>36406</v>
          </cell>
          <cell r="F1417" t="str">
            <v>Grade 3.9</v>
          </cell>
          <cell r="G1417" t="str">
            <v>Green/Yellow</v>
          </cell>
          <cell r="H1417" t="str">
            <v>Yes</v>
          </cell>
          <cell r="I1417" t="str">
            <v>No</v>
          </cell>
          <cell r="J1417">
            <v>45538</v>
          </cell>
          <cell r="K1417" t="str">
            <v>Yes</v>
          </cell>
          <cell r="L1417">
            <v>44451</v>
          </cell>
          <cell r="M1417">
            <v>264</v>
          </cell>
          <cell r="N1417">
            <v>314</v>
          </cell>
          <cell r="O1417">
            <v>14217.859375</v>
          </cell>
          <cell r="P1417">
            <v>14168.88423670755</v>
          </cell>
          <cell r="Q1417">
            <v>14190.875</v>
          </cell>
        </row>
        <row r="1418">
          <cell r="A1418" t="str">
            <v>KNDJN2A23G7362424</v>
          </cell>
          <cell r="B1418">
            <v>2016</v>
          </cell>
          <cell r="C1418" t="str">
            <v>KIA</v>
          </cell>
          <cell r="D1418" t="str">
            <v>SOUL</v>
          </cell>
          <cell r="E1418">
            <v>66829</v>
          </cell>
          <cell r="F1418" t="str">
            <v>Grade 2.1</v>
          </cell>
          <cell r="G1418" t="str">
            <v>Green/Yellow</v>
          </cell>
          <cell r="H1418" t="str">
            <v>Yes</v>
          </cell>
          <cell r="I1418" t="str">
            <v>No</v>
          </cell>
          <cell r="J1418">
            <v>45505</v>
          </cell>
          <cell r="K1418" t="str">
            <v>Yes</v>
          </cell>
          <cell r="L1418">
            <v>44451</v>
          </cell>
          <cell r="M1418">
            <v>264</v>
          </cell>
          <cell r="N1418">
            <v>314</v>
          </cell>
          <cell r="O1418">
            <v>3520.8818359375</v>
          </cell>
          <cell r="P1418">
            <v>9650.0987702877264</v>
          </cell>
          <cell r="Q1418">
            <v>3595.61181640625</v>
          </cell>
        </row>
        <row r="1419">
          <cell r="A1419" t="str">
            <v>KNDJP3A56E7744132</v>
          </cell>
          <cell r="B1419">
            <v>2014</v>
          </cell>
          <cell r="C1419" t="str">
            <v>KIA</v>
          </cell>
          <cell r="D1419" t="str">
            <v>SOUL</v>
          </cell>
          <cell r="E1419">
            <v>146266</v>
          </cell>
          <cell r="F1419" t="str">
            <v>Grade 1.0</v>
          </cell>
          <cell r="G1419" t="str">
            <v>Inoperable</v>
          </cell>
          <cell r="H1419" t="str">
            <v>No</v>
          </cell>
          <cell r="I1419" t="str">
            <v>Yes</v>
          </cell>
          <cell r="J1419">
            <v>45664</v>
          </cell>
          <cell r="K1419" t="str">
            <v>Yes</v>
          </cell>
          <cell r="L1419">
            <v>44451</v>
          </cell>
          <cell r="M1419">
            <v>264</v>
          </cell>
          <cell r="N1419">
            <v>314</v>
          </cell>
          <cell r="O1419">
            <v>457.27005004882813</v>
          </cell>
          <cell r="P1419">
            <v>8499.7857737490394</v>
          </cell>
          <cell r="Q1419">
            <v>819.59039306640625</v>
          </cell>
        </row>
        <row r="1420">
          <cell r="A1420" t="str">
            <v>KNDPM3AC8K7552143</v>
          </cell>
          <cell r="B1420">
            <v>2019</v>
          </cell>
          <cell r="C1420" t="str">
            <v>KIA</v>
          </cell>
          <cell r="D1420" t="str">
            <v>SPORTAGE FWD 4C</v>
          </cell>
          <cell r="E1420">
            <v>133955</v>
          </cell>
          <cell r="F1420" t="str">
            <v>Grade 2.2</v>
          </cell>
          <cell r="G1420" t="str">
            <v>Green/Yellow</v>
          </cell>
          <cell r="H1420" t="str">
            <v>Yes</v>
          </cell>
          <cell r="I1420" t="str">
            <v>No</v>
          </cell>
          <cell r="J1420">
            <v>45673</v>
          </cell>
          <cell r="K1420" t="str">
            <v>Yes</v>
          </cell>
          <cell r="L1420">
            <v>44451</v>
          </cell>
          <cell r="M1420">
            <v>264</v>
          </cell>
          <cell r="N1420">
            <v>314</v>
          </cell>
          <cell r="O1420">
            <v>2709.547607421875</v>
          </cell>
          <cell r="P1420">
            <v>8737.1881274834213</v>
          </cell>
          <cell r="Q1420">
            <v>2516.7978515625</v>
          </cell>
        </row>
        <row r="1421">
          <cell r="A1421" t="str">
            <v>MAJ6S3GL8LC365055</v>
          </cell>
          <cell r="B1421">
            <v>2020</v>
          </cell>
          <cell r="C1421" t="str">
            <v>FORD</v>
          </cell>
          <cell r="D1421" t="str">
            <v>ECOSPORT</v>
          </cell>
          <cell r="E1421">
            <v>25615</v>
          </cell>
          <cell r="F1421" t="str">
            <v>Grade 3.7</v>
          </cell>
          <cell r="G1421" t="str">
            <v>Certified</v>
          </cell>
          <cell r="H1421" t="str">
            <v>Yes</v>
          </cell>
          <cell r="I1421" t="str">
            <v>No</v>
          </cell>
          <cell r="J1421">
            <v>45482</v>
          </cell>
          <cell r="K1421" t="str">
            <v>Yes</v>
          </cell>
          <cell r="L1421">
            <v>44451</v>
          </cell>
          <cell r="M1421">
            <v>264</v>
          </cell>
          <cell r="N1421">
            <v>314</v>
          </cell>
          <cell r="O1421">
            <v>19463.109375</v>
          </cell>
          <cell r="P1421">
            <v>13716.679963988179</v>
          </cell>
          <cell r="Q1421">
            <v>19317.044921875</v>
          </cell>
        </row>
        <row r="1422">
          <cell r="A1422" t="str">
            <v>WA1L2AFP3HA044477</v>
          </cell>
          <cell r="B1422">
            <v>2017</v>
          </cell>
          <cell r="C1422" t="str">
            <v>AUDI</v>
          </cell>
          <cell r="D1422" t="str">
            <v>Q5</v>
          </cell>
          <cell r="E1422">
            <v>55911</v>
          </cell>
          <cell r="F1422" t="str">
            <v>Grade 4.1</v>
          </cell>
          <cell r="G1422" t="str">
            <v>Certified</v>
          </cell>
          <cell r="H1422" t="str">
            <v>Yes</v>
          </cell>
          <cell r="I1422" t="str">
            <v>No</v>
          </cell>
          <cell r="J1422">
            <v>45608</v>
          </cell>
          <cell r="K1422" t="str">
            <v>Yes</v>
          </cell>
          <cell r="L1422">
            <v>44451</v>
          </cell>
          <cell r="M1422">
            <v>264</v>
          </cell>
          <cell r="N1422">
            <v>314</v>
          </cell>
          <cell r="O1422">
            <v>14421.6923828125</v>
          </cell>
          <cell r="P1422">
            <v>12269.546950557349</v>
          </cell>
          <cell r="Q1422">
            <v>14464.45703125</v>
          </cell>
        </row>
        <row r="1423">
          <cell r="A1423" t="str">
            <v>WBXHU7C37J5L06206</v>
          </cell>
          <cell r="B1423">
            <v>2018</v>
          </cell>
          <cell r="C1423" t="str">
            <v>BMW</v>
          </cell>
          <cell r="D1423" t="str">
            <v>X1</v>
          </cell>
          <cell r="E1423">
            <v>118001</v>
          </cell>
          <cell r="F1423" t="str">
            <v>Grade 3.8</v>
          </cell>
          <cell r="G1423" t="str">
            <v>Green Light</v>
          </cell>
          <cell r="H1423" t="str">
            <v>Yes</v>
          </cell>
          <cell r="I1423" t="str">
            <v>No</v>
          </cell>
          <cell r="J1423">
            <v>45426</v>
          </cell>
          <cell r="K1423" t="str">
            <v>Yes</v>
          </cell>
          <cell r="L1423">
            <v>44451</v>
          </cell>
          <cell r="M1423">
            <v>264</v>
          </cell>
          <cell r="N1423">
            <v>314</v>
          </cell>
          <cell r="O1423">
            <v>10368.6220703125</v>
          </cell>
          <cell r="P1423">
            <v>10172.2575926681</v>
          </cell>
          <cell r="Q1423">
            <v>10524.953125</v>
          </cell>
        </row>
        <row r="1424">
          <cell r="A1424" t="str">
            <v>WVWHV7AJ2CW022698</v>
          </cell>
          <cell r="B1424">
            <v>2012</v>
          </cell>
          <cell r="C1424" t="str">
            <v>VOLKSWAGEN</v>
          </cell>
          <cell r="D1424" t="str">
            <v>GTI</v>
          </cell>
          <cell r="E1424">
            <v>78673</v>
          </cell>
          <cell r="F1424" t="str">
            <v>Grade 3.3</v>
          </cell>
          <cell r="G1424" t="str">
            <v>Green Light</v>
          </cell>
          <cell r="H1424" t="str">
            <v>Yes</v>
          </cell>
          <cell r="I1424" t="str">
            <v>No</v>
          </cell>
          <cell r="J1424">
            <v>45594</v>
          </cell>
          <cell r="K1424" t="str">
            <v>Yes</v>
          </cell>
          <cell r="L1424">
            <v>44451</v>
          </cell>
          <cell r="M1424">
            <v>264</v>
          </cell>
          <cell r="N1424">
            <v>314</v>
          </cell>
          <cell r="O1424">
            <v>4096.9873046875</v>
          </cell>
          <cell r="P1424">
            <v>9026.1430941704184</v>
          </cell>
          <cell r="Q1424">
            <v>4002.080078125</v>
          </cell>
        </row>
        <row r="1425">
          <cell r="A1425" t="str">
            <v>1GYKNDRS5JZ155432</v>
          </cell>
          <cell r="B1425">
            <v>2018</v>
          </cell>
          <cell r="C1425" t="str">
            <v>CADILLAC</v>
          </cell>
          <cell r="D1425" t="str">
            <v>XT5</v>
          </cell>
          <cell r="E1425">
            <v>78098</v>
          </cell>
          <cell r="F1425" t="str">
            <v>Grade 4.6</v>
          </cell>
          <cell r="G1425" t="str">
            <v>Certified</v>
          </cell>
          <cell r="H1425" t="str">
            <v>Yes</v>
          </cell>
          <cell r="I1425" t="str">
            <v>No</v>
          </cell>
          <cell r="J1425">
            <v>45342</v>
          </cell>
          <cell r="K1425" t="str">
            <v>Yes</v>
          </cell>
          <cell r="L1425">
            <v>44473</v>
          </cell>
          <cell r="M1425">
            <v>307</v>
          </cell>
          <cell r="N1425">
            <v>357</v>
          </cell>
          <cell r="O1425">
            <v>14235.8994140625</v>
          </cell>
          <cell r="P1425">
            <v>10780.329884291299</v>
          </cell>
          <cell r="Q1425">
            <v>14522.990234375</v>
          </cell>
        </row>
        <row r="1426">
          <cell r="A1426" t="str">
            <v>3FA6P0HD6ER371948</v>
          </cell>
          <cell r="B1426">
            <v>2014</v>
          </cell>
          <cell r="C1426" t="str">
            <v>FORD</v>
          </cell>
          <cell r="D1426" t="str">
            <v>FUSION</v>
          </cell>
          <cell r="E1426">
            <v>105269</v>
          </cell>
          <cell r="F1426" t="str">
            <v>Grade 1.3</v>
          </cell>
          <cell r="G1426" t="str">
            <v>Red Light</v>
          </cell>
          <cell r="H1426" t="str">
            <v>No</v>
          </cell>
          <cell r="I1426" t="str">
            <v>Yes</v>
          </cell>
          <cell r="J1426">
            <v>45398</v>
          </cell>
          <cell r="K1426" t="str">
            <v>Yes</v>
          </cell>
          <cell r="L1426">
            <v>44473</v>
          </cell>
          <cell r="M1426">
            <v>307</v>
          </cell>
          <cell r="N1426">
            <v>357</v>
          </cell>
          <cell r="O1426">
            <v>2970.575927734375</v>
          </cell>
          <cell r="P1426">
            <v>9064.4806097471264</v>
          </cell>
          <cell r="Q1426">
            <v>2859.3427734375</v>
          </cell>
        </row>
        <row r="1427">
          <cell r="A1427" t="str">
            <v>3KPF34AD5KE123846</v>
          </cell>
          <cell r="B1427">
            <v>2019</v>
          </cell>
          <cell r="C1427" t="str">
            <v>KIA</v>
          </cell>
          <cell r="D1427" t="str">
            <v>FORTE</v>
          </cell>
          <cell r="E1427">
            <v>60262</v>
          </cell>
          <cell r="F1427" t="str">
            <v>Grade 3.2</v>
          </cell>
          <cell r="G1427" t="str">
            <v>Red Light</v>
          </cell>
          <cell r="H1427" t="str">
            <v>No</v>
          </cell>
          <cell r="I1427" t="str">
            <v>Yes</v>
          </cell>
          <cell r="J1427">
            <v>45678</v>
          </cell>
          <cell r="K1427" t="str">
            <v>Yes</v>
          </cell>
          <cell r="L1427">
            <v>44473</v>
          </cell>
          <cell r="M1427">
            <v>307</v>
          </cell>
          <cell r="N1427">
            <v>357</v>
          </cell>
          <cell r="O1427">
            <v>8665.7939453125</v>
          </cell>
          <cell r="P1427">
            <v>10758.42295575575</v>
          </cell>
          <cell r="Q1427">
            <v>8491.783203125</v>
          </cell>
        </row>
        <row r="1428">
          <cell r="A1428" t="str">
            <v>4S3BNBC68F3005427</v>
          </cell>
          <cell r="B1428">
            <v>2015</v>
          </cell>
          <cell r="C1428" t="str">
            <v>SUBARU</v>
          </cell>
          <cell r="D1428" t="str">
            <v>LEGACY</v>
          </cell>
          <cell r="E1428">
            <v>128987</v>
          </cell>
          <cell r="F1428" t="str">
            <v>Grade 3.6</v>
          </cell>
          <cell r="G1428" t="str">
            <v>Green Light</v>
          </cell>
          <cell r="H1428" t="str">
            <v>Yes</v>
          </cell>
          <cell r="I1428" t="str">
            <v>No</v>
          </cell>
          <cell r="J1428">
            <v>45426</v>
          </cell>
          <cell r="K1428" t="str">
            <v>Yes</v>
          </cell>
          <cell r="L1428">
            <v>44473</v>
          </cell>
          <cell r="M1428">
            <v>307</v>
          </cell>
          <cell r="N1428">
            <v>357</v>
          </cell>
          <cell r="O1428">
            <v>6460.0615234375</v>
          </cell>
          <cell r="P1428">
            <v>9927.5740614101433</v>
          </cell>
          <cell r="Q1428">
            <v>6533.8681640625</v>
          </cell>
        </row>
        <row r="1429">
          <cell r="A1429" t="str">
            <v>1C4BJWEG0GL141836</v>
          </cell>
          <cell r="B1429">
            <v>2016</v>
          </cell>
          <cell r="C1429" t="str">
            <v>JEEP</v>
          </cell>
          <cell r="D1429" t="str">
            <v>WRANGLER UNLIMITED</v>
          </cell>
          <cell r="E1429">
            <v>47222</v>
          </cell>
          <cell r="F1429" t="str">
            <v>Grade 4.6</v>
          </cell>
          <cell r="G1429" t="str">
            <v>Certified</v>
          </cell>
          <cell r="H1429" t="str">
            <v>Yes</v>
          </cell>
          <cell r="I1429" t="str">
            <v>No</v>
          </cell>
          <cell r="J1429">
            <v>45692</v>
          </cell>
          <cell r="K1429" t="str">
            <v>Yes</v>
          </cell>
          <cell r="L1429">
            <v>44483</v>
          </cell>
          <cell r="M1429">
            <v>264</v>
          </cell>
          <cell r="N1429">
            <v>314</v>
          </cell>
          <cell r="O1429">
            <v>16905.0390625</v>
          </cell>
          <cell r="P1429">
            <v>12892.65976833085</v>
          </cell>
          <cell r="Q1429">
            <v>16855.900390625</v>
          </cell>
        </row>
        <row r="1430">
          <cell r="A1430" t="str">
            <v>1C4NJPBA3HD145989</v>
          </cell>
          <cell r="B1430">
            <v>2017</v>
          </cell>
          <cell r="C1430" t="str">
            <v>JEEP</v>
          </cell>
          <cell r="D1430" t="str">
            <v>PATRIOT FWD 4C</v>
          </cell>
          <cell r="E1430">
            <v>135605</v>
          </cell>
          <cell r="F1430" t="str">
            <v>Grade 2.8</v>
          </cell>
          <cell r="G1430" t="str">
            <v>Inoperable</v>
          </cell>
          <cell r="H1430" t="str">
            <v>No</v>
          </cell>
          <cell r="I1430" t="str">
            <v>Yes</v>
          </cell>
          <cell r="J1430">
            <v>45589</v>
          </cell>
          <cell r="K1430" t="str">
            <v>Yes</v>
          </cell>
          <cell r="L1430">
            <v>44483</v>
          </cell>
          <cell r="M1430">
            <v>264</v>
          </cell>
          <cell r="N1430">
            <v>314</v>
          </cell>
          <cell r="O1430">
            <v>3318.785400390625</v>
          </cell>
          <cell r="P1430">
            <v>9334.7633824547229</v>
          </cell>
          <cell r="Q1430">
            <v>3278.65771484375</v>
          </cell>
        </row>
        <row r="1431">
          <cell r="A1431" t="str">
            <v>1C4PJMDS2FW651716</v>
          </cell>
          <cell r="B1431">
            <v>2015</v>
          </cell>
          <cell r="C1431" t="str">
            <v>JEEP</v>
          </cell>
          <cell r="D1431" t="str">
            <v>CHEROKEE</v>
          </cell>
          <cell r="E1431">
            <v>167233</v>
          </cell>
          <cell r="F1431" t="str">
            <v>Grade 2.6</v>
          </cell>
          <cell r="G1431" t="str">
            <v>Red Light</v>
          </cell>
          <cell r="H1431" t="str">
            <v>No</v>
          </cell>
          <cell r="I1431" t="str">
            <v>Yes</v>
          </cell>
          <cell r="J1431">
            <v>45440</v>
          </cell>
          <cell r="K1431" t="str">
            <v>Yes</v>
          </cell>
          <cell r="L1431">
            <v>44483</v>
          </cell>
          <cell r="M1431">
            <v>264</v>
          </cell>
          <cell r="N1431">
            <v>314</v>
          </cell>
          <cell r="O1431">
            <v>2521.939453125</v>
          </cell>
          <cell r="P1431">
            <v>9287.5308817259884</v>
          </cell>
          <cell r="Q1431">
            <v>2382.8828125</v>
          </cell>
        </row>
        <row r="1432">
          <cell r="A1432" t="str">
            <v>1C6RR6LG8HS613645</v>
          </cell>
          <cell r="B1432">
            <v>2017</v>
          </cell>
          <cell r="C1432" t="str">
            <v>RAM</v>
          </cell>
          <cell r="D1432">
            <v>1500</v>
          </cell>
          <cell r="E1432">
            <v>90843</v>
          </cell>
          <cell r="F1432" t="str">
            <v>Grade 3.9</v>
          </cell>
          <cell r="G1432" t="str">
            <v>Red Light</v>
          </cell>
          <cell r="H1432" t="str">
            <v>No</v>
          </cell>
          <cell r="I1432" t="str">
            <v>Yes</v>
          </cell>
          <cell r="J1432">
            <v>45706</v>
          </cell>
          <cell r="K1432" t="str">
            <v>Yes</v>
          </cell>
          <cell r="L1432">
            <v>44483</v>
          </cell>
          <cell r="M1432">
            <v>264</v>
          </cell>
          <cell r="N1432">
            <v>314</v>
          </cell>
          <cell r="O1432">
            <v>13155.65625</v>
          </cell>
          <cell r="P1432">
            <v>11465.927493790021</v>
          </cell>
          <cell r="Q1432">
            <v>13321.9248046875</v>
          </cell>
        </row>
        <row r="1433">
          <cell r="A1433" t="str">
            <v>1FA6P0H77F5126090</v>
          </cell>
          <cell r="B1433">
            <v>2015</v>
          </cell>
          <cell r="C1433" t="str">
            <v>FORD</v>
          </cell>
          <cell r="D1433" t="str">
            <v>FUSION</v>
          </cell>
          <cell r="E1433">
            <v>139745</v>
          </cell>
          <cell r="F1433" t="str">
            <v>Grade 2.9</v>
          </cell>
          <cell r="G1433" t="str">
            <v>Green Light</v>
          </cell>
          <cell r="H1433" t="str">
            <v>Yes</v>
          </cell>
          <cell r="I1433" t="str">
            <v>No</v>
          </cell>
          <cell r="J1433">
            <v>45510</v>
          </cell>
          <cell r="K1433" t="str">
            <v>Yes</v>
          </cell>
          <cell r="L1433">
            <v>44483</v>
          </cell>
          <cell r="M1433">
            <v>264</v>
          </cell>
          <cell r="N1433">
            <v>314</v>
          </cell>
          <cell r="O1433">
            <v>2679.718017578125</v>
          </cell>
          <cell r="P1433">
            <v>9182.215870479964</v>
          </cell>
          <cell r="Q1433">
            <v>2505.3798828125</v>
          </cell>
        </row>
        <row r="1434">
          <cell r="A1434" t="str">
            <v>1FMCU9GD4HUB94708</v>
          </cell>
          <cell r="B1434">
            <v>2017</v>
          </cell>
          <cell r="C1434" t="str">
            <v>FORD</v>
          </cell>
          <cell r="D1434" t="str">
            <v>ESCAPE</v>
          </cell>
          <cell r="E1434">
            <v>105129</v>
          </cell>
          <cell r="F1434" t="str">
            <v>Grade 1.9</v>
          </cell>
          <cell r="G1434" t="str">
            <v>Red Light</v>
          </cell>
          <cell r="H1434" t="str">
            <v>No</v>
          </cell>
          <cell r="I1434" t="str">
            <v>Yes</v>
          </cell>
          <cell r="J1434">
            <v>45594</v>
          </cell>
          <cell r="K1434" t="str">
            <v>Yes</v>
          </cell>
          <cell r="L1434">
            <v>44483</v>
          </cell>
          <cell r="M1434">
            <v>264</v>
          </cell>
          <cell r="N1434">
            <v>314</v>
          </cell>
          <cell r="O1434">
            <v>1868.663330078125</v>
          </cell>
          <cell r="P1434">
            <v>9182.2307278232493</v>
          </cell>
          <cell r="Q1434">
            <v>1785.74853515625</v>
          </cell>
        </row>
        <row r="1435">
          <cell r="A1435" t="str">
            <v>1G1JA5SH0C4137706</v>
          </cell>
          <cell r="B1435">
            <v>2012</v>
          </cell>
          <cell r="C1435" t="str">
            <v>CHEVROLET</v>
          </cell>
          <cell r="D1435" t="str">
            <v>SONIC</v>
          </cell>
          <cell r="E1435">
            <v>99150</v>
          </cell>
          <cell r="F1435" t="str">
            <v>Grade 3.7</v>
          </cell>
          <cell r="G1435" t="str">
            <v>Red Light</v>
          </cell>
          <cell r="H1435" t="str">
            <v>No</v>
          </cell>
          <cell r="I1435" t="str">
            <v>Yes</v>
          </cell>
          <cell r="J1435">
            <v>45398</v>
          </cell>
          <cell r="K1435" t="str">
            <v>Yes</v>
          </cell>
          <cell r="L1435">
            <v>44483</v>
          </cell>
          <cell r="M1435">
            <v>264</v>
          </cell>
          <cell r="N1435">
            <v>314</v>
          </cell>
          <cell r="O1435">
            <v>5553.70263671875</v>
          </cell>
          <cell r="P1435">
            <v>10215.95692987817</v>
          </cell>
          <cell r="Q1435">
            <v>5377.67626953125</v>
          </cell>
        </row>
        <row r="1436">
          <cell r="A1436" t="str">
            <v>1G1JC5SB9D4111094</v>
          </cell>
          <cell r="B1436">
            <v>2013</v>
          </cell>
          <cell r="C1436" t="str">
            <v>CHEVROLET</v>
          </cell>
          <cell r="D1436" t="str">
            <v>SONIC</v>
          </cell>
          <cell r="E1436">
            <v>99999</v>
          </cell>
          <cell r="F1436" t="str">
            <v>Grade 2.0</v>
          </cell>
          <cell r="G1436" t="str">
            <v>Red Light</v>
          </cell>
          <cell r="H1436" t="str">
            <v>No</v>
          </cell>
          <cell r="I1436" t="str">
            <v>Yes</v>
          </cell>
          <cell r="J1436">
            <v>45512</v>
          </cell>
          <cell r="K1436" t="str">
            <v>Yes</v>
          </cell>
          <cell r="L1436">
            <v>44483</v>
          </cell>
          <cell r="M1436">
            <v>264</v>
          </cell>
          <cell r="N1436">
            <v>314</v>
          </cell>
          <cell r="O1436">
            <v>2636.803466796875</v>
          </cell>
          <cell r="P1436">
            <v>9290.7858802272222</v>
          </cell>
          <cell r="Q1436">
            <v>2542.6708984375</v>
          </cell>
        </row>
        <row r="1437">
          <cell r="A1437" t="str">
            <v>1G1JD6SB6E4126589</v>
          </cell>
          <cell r="B1437">
            <v>2014</v>
          </cell>
          <cell r="C1437" t="str">
            <v>CHEVROLET</v>
          </cell>
          <cell r="D1437" t="str">
            <v>SONIC</v>
          </cell>
          <cell r="E1437">
            <v>136990</v>
          </cell>
          <cell r="F1437" t="str">
            <v>Grade 2.8</v>
          </cell>
          <cell r="G1437" t="str">
            <v>Red Light</v>
          </cell>
          <cell r="H1437" t="str">
            <v>No</v>
          </cell>
          <cell r="I1437" t="str">
            <v>Yes</v>
          </cell>
          <cell r="J1437">
            <v>45370</v>
          </cell>
          <cell r="K1437" t="str">
            <v>Yes</v>
          </cell>
          <cell r="L1437">
            <v>44483</v>
          </cell>
          <cell r="M1437">
            <v>264</v>
          </cell>
          <cell r="N1437">
            <v>314</v>
          </cell>
          <cell r="O1437">
            <v>2435.096435546875</v>
          </cell>
          <cell r="P1437">
            <v>9290.6954924099009</v>
          </cell>
          <cell r="Q1437">
            <v>2358.90087890625</v>
          </cell>
        </row>
        <row r="1438">
          <cell r="A1438" t="str">
            <v>1G1PE5SBXG7177368</v>
          </cell>
          <cell r="B1438">
            <v>2016</v>
          </cell>
          <cell r="C1438" t="str">
            <v>CHEVROLET</v>
          </cell>
          <cell r="D1438" t="str">
            <v>CRUZE LIMITED</v>
          </cell>
          <cell r="E1438">
            <v>96848</v>
          </cell>
          <cell r="F1438" t="str">
            <v>Grade 1.5</v>
          </cell>
          <cell r="G1438" t="str">
            <v>Red Light</v>
          </cell>
          <cell r="H1438" t="str">
            <v>No</v>
          </cell>
          <cell r="I1438" t="str">
            <v>Yes</v>
          </cell>
          <cell r="J1438">
            <v>45328</v>
          </cell>
          <cell r="K1438" t="str">
            <v>Yes</v>
          </cell>
          <cell r="L1438">
            <v>44483</v>
          </cell>
          <cell r="M1438">
            <v>264</v>
          </cell>
          <cell r="N1438">
            <v>314</v>
          </cell>
          <cell r="O1438">
            <v>3538.259521484375</v>
          </cell>
          <cell r="P1438">
            <v>9423.6180175878726</v>
          </cell>
          <cell r="Q1438">
            <v>3581.365234375</v>
          </cell>
        </row>
        <row r="1439">
          <cell r="A1439" t="str">
            <v>1GNKVHKD6GJ200434</v>
          </cell>
          <cell r="B1439">
            <v>2016</v>
          </cell>
          <cell r="C1439" t="str">
            <v>CHEVROLET</v>
          </cell>
          <cell r="D1439" t="str">
            <v>TRAVERSE</v>
          </cell>
          <cell r="E1439">
            <v>125252</v>
          </cell>
          <cell r="F1439" t="str">
            <v>Grade 4.1</v>
          </cell>
          <cell r="G1439" t="str">
            <v>Green Light</v>
          </cell>
          <cell r="H1439" t="str">
            <v>Yes</v>
          </cell>
          <cell r="I1439" t="str">
            <v>No</v>
          </cell>
          <cell r="J1439">
            <v>45314</v>
          </cell>
          <cell r="K1439" t="str">
            <v>Yes</v>
          </cell>
          <cell r="L1439">
            <v>44483</v>
          </cell>
          <cell r="M1439">
            <v>264</v>
          </cell>
          <cell r="N1439">
            <v>314</v>
          </cell>
          <cell r="O1439">
            <v>7872.95361328125</v>
          </cell>
          <cell r="P1439">
            <v>10042.71913232513</v>
          </cell>
          <cell r="Q1439">
            <v>7889.59326171875</v>
          </cell>
        </row>
        <row r="1440">
          <cell r="A1440" t="str">
            <v>1N4AZ0CP3DC424060</v>
          </cell>
          <cell r="B1440">
            <v>2013</v>
          </cell>
          <cell r="C1440" t="str">
            <v>NISSAN</v>
          </cell>
          <cell r="D1440" t="str">
            <v>LEAF</v>
          </cell>
          <cell r="E1440">
            <v>50905</v>
          </cell>
          <cell r="F1440" t="str">
            <v>Grade 3.7</v>
          </cell>
          <cell r="G1440" t="str">
            <v>Green Light</v>
          </cell>
          <cell r="H1440" t="str">
            <v>Yes</v>
          </cell>
          <cell r="I1440" t="str">
            <v>No</v>
          </cell>
          <cell r="J1440">
            <v>45412</v>
          </cell>
          <cell r="K1440" t="str">
            <v>Yes</v>
          </cell>
          <cell r="L1440">
            <v>44483</v>
          </cell>
          <cell r="M1440">
            <v>264</v>
          </cell>
          <cell r="N1440">
            <v>314</v>
          </cell>
          <cell r="O1440">
            <v>5474.76806640625</v>
          </cell>
          <cell r="P1440">
            <v>11246.645599194781</v>
          </cell>
          <cell r="Q1440">
            <v>5126.93896484375</v>
          </cell>
        </row>
        <row r="1441">
          <cell r="A1441" t="str">
            <v>1VWBN7A31DC109807</v>
          </cell>
          <cell r="B1441">
            <v>2013</v>
          </cell>
          <cell r="C1441" t="str">
            <v>VOLKSWAGEN</v>
          </cell>
          <cell r="D1441" t="str">
            <v>PASSAT</v>
          </cell>
          <cell r="E1441">
            <v>78994</v>
          </cell>
          <cell r="F1441" t="str">
            <v>Grade 2.0</v>
          </cell>
          <cell r="G1441" t="str">
            <v>Green Light</v>
          </cell>
          <cell r="H1441" t="str">
            <v>Yes</v>
          </cell>
          <cell r="I1441" t="str">
            <v>No</v>
          </cell>
          <cell r="J1441">
            <v>45664</v>
          </cell>
          <cell r="K1441" t="str">
            <v>Yes</v>
          </cell>
          <cell r="L1441">
            <v>44483</v>
          </cell>
          <cell r="M1441">
            <v>264</v>
          </cell>
          <cell r="N1441">
            <v>314</v>
          </cell>
          <cell r="O1441">
            <v>1839.4150390625</v>
          </cell>
          <cell r="P1441">
            <v>8826.9002893410689</v>
          </cell>
          <cell r="Q1441">
            <v>1783.572998046875</v>
          </cell>
        </row>
        <row r="1442">
          <cell r="A1442" t="str">
            <v>2C3CDZJG4NH171276</v>
          </cell>
          <cell r="B1442">
            <v>2022</v>
          </cell>
          <cell r="C1442" t="str">
            <v>DODGE</v>
          </cell>
          <cell r="D1442" t="str">
            <v>CHALLENGER</v>
          </cell>
          <cell r="E1442">
            <v>26405</v>
          </cell>
          <cell r="F1442" t="str">
            <v>Grade 3.5</v>
          </cell>
          <cell r="G1442" t="str">
            <v>Green Light</v>
          </cell>
          <cell r="H1442" t="str">
            <v>Yes</v>
          </cell>
          <cell r="I1442" t="str">
            <v>No</v>
          </cell>
          <cell r="J1442">
            <v>45496</v>
          </cell>
          <cell r="K1442" t="str">
            <v>Yes</v>
          </cell>
          <cell r="L1442">
            <v>44483</v>
          </cell>
          <cell r="M1442">
            <v>264</v>
          </cell>
          <cell r="N1442">
            <v>314</v>
          </cell>
          <cell r="O1442">
            <v>21932.787109375</v>
          </cell>
          <cell r="P1442">
            <v>15887.490895102061</v>
          </cell>
          <cell r="Q1442">
            <v>21554.8671875</v>
          </cell>
        </row>
        <row r="1443">
          <cell r="A1443" t="str">
            <v>2C4RC1BG8GR112303</v>
          </cell>
          <cell r="B1443">
            <v>2016</v>
          </cell>
          <cell r="C1443" t="str">
            <v>CHRYSLER</v>
          </cell>
          <cell r="D1443" t="str">
            <v>TOWN &amp; COUNTRY</v>
          </cell>
          <cell r="E1443">
            <v>104121</v>
          </cell>
          <cell r="F1443" t="str">
            <v>Grade 4.2</v>
          </cell>
          <cell r="G1443" t="str">
            <v>Certified</v>
          </cell>
          <cell r="H1443" t="str">
            <v>Yes</v>
          </cell>
          <cell r="I1443" t="str">
            <v>No</v>
          </cell>
          <cell r="J1443">
            <v>45384</v>
          </cell>
          <cell r="K1443" t="str">
            <v>Yes</v>
          </cell>
          <cell r="L1443">
            <v>44483</v>
          </cell>
          <cell r="M1443">
            <v>264</v>
          </cell>
          <cell r="N1443">
            <v>314</v>
          </cell>
          <cell r="O1443">
            <v>7880.56982421875</v>
          </cell>
          <cell r="P1443">
            <v>9541.5290062990625</v>
          </cell>
          <cell r="Q1443">
            <v>8028.48779296875</v>
          </cell>
        </row>
        <row r="1444">
          <cell r="A1444" t="str">
            <v>2C4RDGCG3DR522114</v>
          </cell>
          <cell r="B1444">
            <v>2013</v>
          </cell>
          <cell r="C1444" t="str">
            <v>DODGE</v>
          </cell>
          <cell r="D1444" t="str">
            <v>GRAND CARAVAN</v>
          </cell>
          <cell r="E1444">
            <v>142273</v>
          </cell>
          <cell r="F1444" t="str">
            <v>Grade 2.0</v>
          </cell>
          <cell r="G1444" t="str">
            <v>Inoperable</v>
          </cell>
          <cell r="H1444" t="str">
            <v>No</v>
          </cell>
          <cell r="I1444" t="str">
            <v>Yes</v>
          </cell>
          <cell r="J1444">
            <v>45309</v>
          </cell>
          <cell r="K1444" t="str">
            <v>Yes</v>
          </cell>
          <cell r="L1444">
            <v>44483</v>
          </cell>
          <cell r="M1444">
            <v>264</v>
          </cell>
          <cell r="N1444">
            <v>314</v>
          </cell>
          <cell r="O1444">
            <v>2196.86474609375</v>
          </cell>
          <cell r="P1444">
            <v>8857.4876309614847</v>
          </cell>
          <cell r="Q1444">
            <v>2098.140869140625</v>
          </cell>
        </row>
        <row r="1445">
          <cell r="A1445" t="str">
            <v>2C4RDGCG3FR584809</v>
          </cell>
          <cell r="B1445">
            <v>2015</v>
          </cell>
          <cell r="C1445" t="str">
            <v>DODGE</v>
          </cell>
          <cell r="D1445" t="str">
            <v>GRAND CARAVAN</v>
          </cell>
          <cell r="E1445">
            <v>106694</v>
          </cell>
          <cell r="F1445" t="str">
            <v>Grade 1.5</v>
          </cell>
          <cell r="G1445" t="str">
            <v>Red Light</v>
          </cell>
          <cell r="H1445" t="str">
            <v>No</v>
          </cell>
          <cell r="I1445" t="str">
            <v>Yes</v>
          </cell>
          <cell r="J1445">
            <v>45566</v>
          </cell>
          <cell r="K1445" t="str">
            <v>Yes</v>
          </cell>
          <cell r="L1445">
            <v>44483</v>
          </cell>
          <cell r="M1445">
            <v>264</v>
          </cell>
          <cell r="N1445">
            <v>314</v>
          </cell>
          <cell r="O1445">
            <v>2640.075927734375</v>
          </cell>
          <cell r="P1445">
            <v>8907.8006949411338</v>
          </cell>
          <cell r="Q1445">
            <v>2498.12890625</v>
          </cell>
        </row>
        <row r="1446">
          <cell r="A1446" t="str">
            <v>2GKFLXEK4F6329051</v>
          </cell>
          <cell r="B1446">
            <v>2015</v>
          </cell>
          <cell r="C1446" t="str">
            <v>GMC</v>
          </cell>
          <cell r="D1446" t="str">
            <v>TERRAIN</v>
          </cell>
          <cell r="E1446">
            <v>104860</v>
          </cell>
          <cell r="F1446" t="str">
            <v>Grade 1.9</v>
          </cell>
          <cell r="G1446" t="str">
            <v>Inoperable</v>
          </cell>
          <cell r="H1446" t="str">
            <v>No</v>
          </cell>
          <cell r="I1446" t="str">
            <v>Yes</v>
          </cell>
          <cell r="J1446">
            <v>45720</v>
          </cell>
          <cell r="K1446" t="str">
            <v>Yes</v>
          </cell>
          <cell r="L1446">
            <v>44483</v>
          </cell>
          <cell r="M1446">
            <v>264</v>
          </cell>
          <cell r="N1446">
            <v>314</v>
          </cell>
          <cell r="O1446">
            <v>4220.52734375</v>
          </cell>
          <cell r="P1446">
            <v>10039.444239775679</v>
          </cell>
          <cell r="Q1446">
            <v>4149.24072265625</v>
          </cell>
        </row>
        <row r="1447">
          <cell r="A1447" t="str">
            <v>2HGFC3A57LH750106</v>
          </cell>
          <cell r="B1447">
            <v>2020</v>
          </cell>
          <cell r="C1447" t="str">
            <v>HONDA</v>
          </cell>
          <cell r="D1447" t="str">
            <v>CIVIC SI</v>
          </cell>
          <cell r="E1447">
            <v>45233</v>
          </cell>
          <cell r="F1447" t="str">
            <v>Grade 4.0</v>
          </cell>
          <cell r="G1447" t="str">
            <v>Green/Yellow</v>
          </cell>
          <cell r="H1447" t="str">
            <v>Yes</v>
          </cell>
          <cell r="I1447" t="str">
            <v>No</v>
          </cell>
          <cell r="J1447">
            <v>45496</v>
          </cell>
          <cell r="K1447" t="str">
            <v>Yes</v>
          </cell>
          <cell r="L1447">
            <v>44483</v>
          </cell>
          <cell r="M1447">
            <v>264</v>
          </cell>
          <cell r="N1447">
            <v>314</v>
          </cell>
          <cell r="O1447">
            <v>18894.88671875</v>
          </cell>
          <cell r="P1447">
            <v>13311.41126146167</v>
          </cell>
          <cell r="Q1447">
            <v>19317.044921875</v>
          </cell>
        </row>
        <row r="1448">
          <cell r="A1448" t="str">
            <v>3C4PDCEG8JT439316</v>
          </cell>
          <cell r="B1448">
            <v>2018</v>
          </cell>
          <cell r="C1448" t="str">
            <v>DODGE</v>
          </cell>
          <cell r="D1448" t="str">
            <v>JOURNEY</v>
          </cell>
          <cell r="E1448">
            <v>101289</v>
          </cell>
          <cell r="F1448" t="str">
            <v>Grade 2.2</v>
          </cell>
          <cell r="G1448" t="str">
            <v>Green/Yellow</v>
          </cell>
          <cell r="H1448" t="str">
            <v>Yes</v>
          </cell>
          <cell r="I1448" t="str">
            <v>No</v>
          </cell>
          <cell r="J1448">
            <v>45552</v>
          </cell>
          <cell r="K1448" t="str">
            <v>Yes</v>
          </cell>
          <cell r="L1448">
            <v>44483</v>
          </cell>
          <cell r="M1448">
            <v>264</v>
          </cell>
          <cell r="N1448">
            <v>314</v>
          </cell>
          <cell r="O1448">
            <v>5392.58837890625</v>
          </cell>
          <cell r="P1448">
            <v>8928.3936320963094</v>
          </cell>
          <cell r="Q1448">
            <v>5436.36328125</v>
          </cell>
        </row>
        <row r="1449">
          <cell r="A1449" t="str">
            <v>3GTP1VEC7EG476745</v>
          </cell>
          <cell r="B1449">
            <v>2014</v>
          </cell>
          <cell r="C1449" t="str">
            <v>GMC</v>
          </cell>
          <cell r="D1449" t="str">
            <v>SIERRA 1500</v>
          </cell>
          <cell r="E1449">
            <v>100298</v>
          </cell>
          <cell r="F1449" t="str">
            <v>Grade 2.6</v>
          </cell>
          <cell r="G1449" t="str">
            <v>Green Light</v>
          </cell>
          <cell r="H1449" t="str">
            <v>Yes</v>
          </cell>
          <cell r="I1449" t="str">
            <v>No</v>
          </cell>
          <cell r="J1449">
            <v>45566</v>
          </cell>
          <cell r="K1449" t="str">
            <v>Yes</v>
          </cell>
          <cell r="L1449">
            <v>44483</v>
          </cell>
          <cell r="M1449">
            <v>264</v>
          </cell>
          <cell r="N1449">
            <v>314</v>
          </cell>
          <cell r="O1449">
            <v>3969.107666015625</v>
          </cell>
          <cell r="P1449">
            <v>12377.40774878692</v>
          </cell>
          <cell r="Q1449">
            <v>4468.59423828125</v>
          </cell>
        </row>
        <row r="1450">
          <cell r="A1450" t="str">
            <v>3N1AB7AP6JY316984</v>
          </cell>
          <cell r="B1450">
            <v>2018</v>
          </cell>
          <cell r="C1450" t="str">
            <v>NISSAN</v>
          </cell>
          <cell r="D1450" t="str">
            <v>SENTRA</v>
          </cell>
          <cell r="E1450">
            <v>94913</v>
          </cell>
          <cell r="F1450" t="str">
            <v>Grade 3.1</v>
          </cell>
          <cell r="G1450" t="str">
            <v>Green/Yellow</v>
          </cell>
          <cell r="H1450" t="str">
            <v>Yes</v>
          </cell>
          <cell r="I1450" t="str">
            <v>No</v>
          </cell>
          <cell r="J1450">
            <v>45715</v>
          </cell>
          <cell r="K1450" t="str">
            <v>Yes</v>
          </cell>
          <cell r="L1450">
            <v>44483</v>
          </cell>
          <cell r="M1450">
            <v>264</v>
          </cell>
          <cell r="N1450">
            <v>314</v>
          </cell>
          <cell r="O1450">
            <v>7155.771484375</v>
          </cell>
          <cell r="P1450">
            <v>9039.5794313769748</v>
          </cell>
          <cell r="Q1450">
            <v>7234.26318359375</v>
          </cell>
        </row>
        <row r="1451">
          <cell r="A1451" t="str">
            <v>3N1AB7AP8KY261813</v>
          </cell>
          <cell r="B1451">
            <v>2019</v>
          </cell>
          <cell r="C1451" t="str">
            <v>NISSAN</v>
          </cell>
          <cell r="D1451" t="str">
            <v>SENTRA</v>
          </cell>
          <cell r="E1451">
            <v>42542</v>
          </cell>
          <cell r="F1451" t="str">
            <v>Grade 4.6</v>
          </cell>
          <cell r="G1451" t="str">
            <v>Green/Yellow</v>
          </cell>
          <cell r="H1451" t="str">
            <v>Yes</v>
          </cell>
          <cell r="I1451" t="str">
            <v>No</v>
          </cell>
          <cell r="J1451">
            <v>45351</v>
          </cell>
          <cell r="K1451" t="str">
            <v>Yes</v>
          </cell>
          <cell r="L1451">
            <v>44483</v>
          </cell>
          <cell r="M1451">
            <v>264</v>
          </cell>
          <cell r="N1451">
            <v>314</v>
          </cell>
          <cell r="O1451">
            <v>11730.845703125</v>
          </cell>
          <cell r="P1451">
            <v>11865.313861739251</v>
          </cell>
          <cell r="Q1451">
            <v>11599.2109375</v>
          </cell>
        </row>
        <row r="1452">
          <cell r="A1452" t="str">
            <v>3TMCZ5AN5MM429616</v>
          </cell>
          <cell r="B1452">
            <v>2021</v>
          </cell>
          <cell r="C1452" t="str">
            <v>TOYOTA</v>
          </cell>
          <cell r="D1452" t="str">
            <v>TACOMA</v>
          </cell>
          <cell r="E1452">
            <v>56534</v>
          </cell>
          <cell r="F1452" t="str">
            <v>Grade 4.5</v>
          </cell>
          <cell r="G1452" t="str">
            <v>Certified</v>
          </cell>
          <cell r="H1452" t="str">
            <v>Yes</v>
          </cell>
          <cell r="I1452" t="str">
            <v>No</v>
          </cell>
          <cell r="J1452">
            <v>45720</v>
          </cell>
          <cell r="K1452" t="str">
            <v>Yes</v>
          </cell>
          <cell r="L1452">
            <v>44483</v>
          </cell>
          <cell r="M1452">
            <v>264</v>
          </cell>
          <cell r="N1452">
            <v>314</v>
          </cell>
          <cell r="O1452">
            <v>22027.5</v>
          </cell>
          <cell r="P1452">
            <v>15791.932209661039</v>
          </cell>
          <cell r="Q1452">
            <v>21554.8671875</v>
          </cell>
        </row>
        <row r="1453">
          <cell r="A1453" t="str">
            <v>3VWD17AJ1EM265784</v>
          </cell>
          <cell r="B1453">
            <v>2014</v>
          </cell>
          <cell r="C1453" t="str">
            <v>VOLKSWAGEN</v>
          </cell>
          <cell r="D1453" t="str">
            <v>JETTA 4C</v>
          </cell>
          <cell r="E1453">
            <v>134081</v>
          </cell>
          <cell r="F1453" t="str">
            <v>Grade 2.5</v>
          </cell>
          <cell r="G1453" t="str">
            <v>Red Light</v>
          </cell>
          <cell r="H1453" t="str">
            <v>No</v>
          </cell>
          <cell r="I1453" t="str">
            <v>Yes</v>
          </cell>
          <cell r="J1453">
            <v>45393</v>
          </cell>
          <cell r="K1453" t="str">
            <v>Yes</v>
          </cell>
          <cell r="L1453">
            <v>44483</v>
          </cell>
          <cell r="M1453">
            <v>264</v>
          </cell>
          <cell r="N1453">
            <v>314</v>
          </cell>
          <cell r="O1453">
            <v>1441.46044921875</v>
          </cell>
          <cell r="P1453">
            <v>8923.5901790540229</v>
          </cell>
          <cell r="Q1453">
            <v>1395.367431640625</v>
          </cell>
        </row>
        <row r="1454">
          <cell r="A1454" t="str">
            <v>5LMCJ2D94HUL44488</v>
          </cell>
          <cell r="B1454">
            <v>2017</v>
          </cell>
          <cell r="C1454" t="str">
            <v>LINCOLN</v>
          </cell>
          <cell r="D1454" t="str">
            <v>MKC</v>
          </cell>
          <cell r="E1454">
            <v>107450</v>
          </cell>
          <cell r="F1454" t="str">
            <v>Grade 3.5</v>
          </cell>
          <cell r="G1454" t="str">
            <v>Green Light</v>
          </cell>
          <cell r="H1454" t="str">
            <v>Yes</v>
          </cell>
          <cell r="I1454" t="str">
            <v>No</v>
          </cell>
          <cell r="J1454">
            <v>45328</v>
          </cell>
          <cell r="K1454" t="str">
            <v>Yes</v>
          </cell>
          <cell r="L1454">
            <v>44483</v>
          </cell>
          <cell r="M1454">
            <v>264</v>
          </cell>
          <cell r="N1454">
            <v>314</v>
          </cell>
          <cell r="O1454">
            <v>9409.2060546875</v>
          </cell>
          <cell r="P1454">
            <v>9289.0401046918923</v>
          </cell>
          <cell r="Q1454">
            <v>9513.892578125</v>
          </cell>
        </row>
        <row r="1455">
          <cell r="A1455" t="str">
            <v>5NPDH4AE3DH382075</v>
          </cell>
          <cell r="B1455">
            <v>2013</v>
          </cell>
          <cell r="C1455" t="str">
            <v>HYUNDAI</v>
          </cell>
          <cell r="D1455" t="str">
            <v>ELANTRA</v>
          </cell>
          <cell r="E1455">
            <v>84847</v>
          </cell>
          <cell r="F1455" t="str">
            <v>Grade 2.6</v>
          </cell>
          <cell r="G1455" t="str">
            <v>Green Light</v>
          </cell>
          <cell r="H1455" t="str">
            <v>Yes</v>
          </cell>
          <cell r="I1455" t="str">
            <v>No</v>
          </cell>
          <cell r="J1455">
            <v>45356</v>
          </cell>
          <cell r="K1455" t="str">
            <v>Yes</v>
          </cell>
          <cell r="L1455">
            <v>44483</v>
          </cell>
          <cell r="M1455">
            <v>264</v>
          </cell>
          <cell r="N1455">
            <v>314</v>
          </cell>
          <cell r="O1455">
            <v>2168.77001953125</v>
          </cell>
          <cell r="P1455">
            <v>8797.8459716723119</v>
          </cell>
          <cell r="Q1455">
            <v>2103.21630859375</v>
          </cell>
        </row>
        <row r="1456">
          <cell r="A1456" t="str">
            <v>5NPDH4AEXDH419204</v>
          </cell>
          <cell r="B1456">
            <v>2013</v>
          </cell>
          <cell r="C1456" t="str">
            <v>HYUNDAI</v>
          </cell>
          <cell r="D1456" t="str">
            <v>ELANTRA</v>
          </cell>
          <cell r="E1456">
            <v>191217</v>
          </cell>
          <cell r="F1456" t="str">
            <v>Grade 2.2</v>
          </cell>
          <cell r="G1456" t="str">
            <v>Red Light</v>
          </cell>
          <cell r="H1456" t="str">
            <v>No</v>
          </cell>
          <cell r="I1456" t="str">
            <v>Yes</v>
          </cell>
          <cell r="J1456">
            <v>45575</v>
          </cell>
          <cell r="K1456" t="str">
            <v>Yes</v>
          </cell>
          <cell r="L1456">
            <v>44483</v>
          </cell>
          <cell r="M1456">
            <v>264</v>
          </cell>
          <cell r="N1456">
            <v>314</v>
          </cell>
          <cell r="O1456">
            <v>495.48507690429688</v>
          </cell>
          <cell r="P1456">
            <v>8565.006194416419</v>
          </cell>
          <cell r="Q1456">
            <v>820.78350830078125</v>
          </cell>
        </row>
        <row r="1457">
          <cell r="A1457" t="str">
            <v>JN8AF5MV6ET481002</v>
          </cell>
          <cell r="B1457">
            <v>2014</v>
          </cell>
          <cell r="C1457" t="str">
            <v>NISSAN</v>
          </cell>
          <cell r="D1457" t="str">
            <v>JUKE AWD</v>
          </cell>
          <cell r="E1457">
            <v>133309</v>
          </cell>
          <cell r="F1457" t="str">
            <v>Grade 4.0</v>
          </cell>
          <cell r="G1457" t="str">
            <v>Green Light</v>
          </cell>
          <cell r="H1457" t="str">
            <v>Yes</v>
          </cell>
          <cell r="I1457" t="str">
            <v>No</v>
          </cell>
          <cell r="J1457">
            <v>45421</v>
          </cell>
          <cell r="K1457" t="str">
            <v>Yes</v>
          </cell>
          <cell r="L1457">
            <v>44483</v>
          </cell>
          <cell r="M1457">
            <v>264</v>
          </cell>
          <cell r="N1457">
            <v>314</v>
          </cell>
          <cell r="O1457">
            <v>5512.939453125</v>
          </cell>
          <cell r="P1457">
            <v>9644.8470157287666</v>
          </cell>
          <cell r="Q1457">
            <v>5626.990234375</v>
          </cell>
        </row>
        <row r="1458">
          <cell r="A1458" t="str">
            <v>JTDKN3DU6D5596779</v>
          </cell>
          <cell r="B1458">
            <v>2013</v>
          </cell>
          <cell r="C1458" t="str">
            <v>TOYOTA</v>
          </cell>
          <cell r="D1458" t="str">
            <v>PRIUS</v>
          </cell>
          <cell r="E1458">
            <v>134770</v>
          </cell>
          <cell r="F1458" t="str">
            <v>Grade 2.8</v>
          </cell>
          <cell r="G1458" t="str">
            <v>Green Light</v>
          </cell>
          <cell r="H1458" t="str">
            <v>Yes</v>
          </cell>
          <cell r="I1458" t="str">
            <v>No</v>
          </cell>
          <cell r="J1458">
            <v>45538</v>
          </cell>
          <cell r="K1458" t="str">
            <v>Yes</v>
          </cell>
          <cell r="L1458">
            <v>44483</v>
          </cell>
          <cell r="M1458">
            <v>264</v>
          </cell>
          <cell r="N1458">
            <v>314</v>
          </cell>
          <cell r="O1458">
            <v>3176.52685546875</v>
          </cell>
          <cell r="P1458">
            <v>9436.1470966533834</v>
          </cell>
          <cell r="Q1458">
            <v>3186.73779296875</v>
          </cell>
        </row>
        <row r="1459">
          <cell r="A1459" t="str">
            <v>KL8CA6SA6KC724496</v>
          </cell>
          <cell r="B1459">
            <v>2019</v>
          </cell>
          <cell r="C1459" t="str">
            <v>CHEVROLET</v>
          </cell>
          <cell r="D1459" t="str">
            <v>SPARK</v>
          </cell>
          <cell r="E1459">
            <v>191369</v>
          </cell>
          <cell r="F1459" t="str">
            <v>Grade 3.2</v>
          </cell>
          <cell r="G1459" t="str">
            <v>Red Light</v>
          </cell>
          <cell r="H1459" t="str">
            <v>No</v>
          </cell>
          <cell r="I1459" t="str">
            <v>Yes</v>
          </cell>
          <cell r="J1459">
            <v>45356</v>
          </cell>
          <cell r="K1459" t="str">
            <v>Yes</v>
          </cell>
          <cell r="L1459">
            <v>44483</v>
          </cell>
          <cell r="M1459">
            <v>264</v>
          </cell>
          <cell r="N1459">
            <v>314</v>
          </cell>
          <cell r="O1459">
            <v>9252.0986328125</v>
          </cell>
          <cell r="P1459">
            <v>9479.0608668990462</v>
          </cell>
          <cell r="Q1459">
            <v>9514.1650390625</v>
          </cell>
        </row>
        <row r="1460">
          <cell r="A1460" t="str">
            <v>KNALN4D77E5119796</v>
          </cell>
          <cell r="B1460">
            <v>2014</v>
          </cell>
          <cell r="C1460" t="str">
            <v>KIA</v>
          </cell>
          <cell r="D1460" t="str">
            <v>CADENZA</v>
          </cell>
          <cell r="E1460">
            <v>91226</v>
          </cell>
          <cell r="F1460" t="str">
            <v>Grade 1.9</v>
          </cell>
          <cell r="G1460" t="str">
            <v>Red Light</v>
          </cell>
          <cell r="H1460" t="str">
            <v>No</v>
          </cell>
          <cell r="I1460" t="str">
            <v>Yes</v>
          </cell>
          <cell r="J1460">
            <v>45449</v>
          </cell>
          <cell r="K1460" t="str">
            <v>Yes</v>
          </cell>
          <cell r="L1460">
            <v>44483</v>
          </cell>
          <cell r="M1460">
            <v>264</v>
          </cell>
          <cell r="N1460">
            <v>314</v>
          </cell>
          <cell r="O1460">
            <v>1915.503662109375</v>
          </cell>
          <cell r="P1460">
            <v>8803.602854112276</v>
          </cell>
          <cell r="Q1460">
            <v>1783.572998046875</v>
          </cell>
        </row>
        <row r="1461">
          <cell r="A1461" t="str">
            <v>KNDERCAA4M7042110</v>
          </cell>
          <cell r="B1461">
            <v>2021</v>
          </cell>
          <cell r="C1461" t="str">
            <v>KIA</v>
          </cell>
          <cell r="D1461" t="str">
            <v>SELTOS</v>
          </cell>
          <cell r="E1461">
            <v>44313</v>
          </cell>
          <cell r="F1461" t="str">
            <v>Grade 4.3</v>
          </cell>
          <cell r="G1461" t="str">
            <v>Certified</v>
          </cell>
          <cell r="H1461" t="str">
            <v>Yes</v>
          </cell>
          <cell r="I1461" t="str">
            <v>No</v>
          </cell>
          <cell r="J1461">
            <v>45412</v>
          </cell>
          <cell r="K1461" t="str">
            <v>Yes</v>
          </cell>
          <cell r="L1461">
            <v>44483</v>
          </cell>
          <cell r="M1461">
            <v>264</v>
          </cell>
          <cell r="N1461">
            <v>314</v>
          </cell>
          <cell r="O1461">
            <v>14894.5283203125</v>
          </cell>
          <cell r="P1461">
            <v>14384.509232801111</v>
          </cell>
          <cell r="Q1461">
            <v>14976.45703125</v>
          </cell>
        </row>
        <row r="1462">
          <cell r="A1462" t="str">
            <v>ZARFANBN6K7600728</v>
          </cell>
          <cell r="B1462">
            <v>2019</v>
          </cell>
          <cell r="C1462" t="str">
            <v>ALFA ROMEO</v>
          </cell>
          <cell r="D1462" t="str">
            <v>GIULIA</v>
          </cell>
          <cell r="E1462">
            <v>58955</v>
          </cell>
          <cell r="F1462" t="str">
            <v>Grade 4.2</v>
          </cell>
          <cell r="G1462" t="str">
            <v>Certified</v>
          </cell>
          <cell r="H1462" t="str">
            <v>Yes</v>
          </cell>
          <cell r="I1462" t="str">
            <v>No</v>
          </cell>
          <cell r="J1462">
            <v>45384</v>
          </cell>
          <cell r="K1462" t="str">
            <v>Yes</v>
          </cell>
          <cell r="L1462">
            <v>44483</v>
          </cell>
          <cell r="M1462">
            <v>264</v>
          </cell>
          <cell r="N1462">
            <v>314</v>
          </cell>
          <cell r="O1462">
            <v>15024.591796875</v>
          </cell>
          <cell r="P1462">
            <v>12183.62200050094</v>
          </cell>
          <cell r="Q1462">
            <v>15282.5029296875</v>
          </cell>
        </row>
        <row r="1463">
          <cell r="A1463" t="str">
            <v>ZFBCFYCB3HP523994</v>
          </cell>
          <cell r="B1463">
            <v>2017</v>
          </cell>
          <cell r="C1463" t="str">
            <v>FIAT</v>
          </cell>
          <cell r="D1463" t="str">
            <v>500X</v>
          </cell>
          <cell r="E1463">
            <v>87285</v>
          </cell>
          <cell r="F1463" t="str">
            <v>Grade 3.9</v>
          </cell>
          <cell r="G1463" t="str">
            <v>Green Light</v>
          </cell>
          <cell r="H1463" t="str">
            <v>Yes</v>
          </cell>
          <cell r="I1463" t="str">
            <v>No</v>
          </cell>
          <cell r="J1463">
            <v>45398</v>
          </cell>
          <cell r="K1463" t="str">
            <v>Yes</v>
          </cell>
          <cell r="L1463">
            <v>44483</v>
          </cell>
          <cell r="M1463">
            <v>264</v>
          </cell>
          <cell r="N1463">
            <v>314</v>
          </cell>
          <cell r="O1463">
            <v>8611.6162109375</v>
          </cell>
          <cell r="P1463">
            <v>10006.318969473859</v>
          </cell>
          <cell r="Q1463">
            <v>8592.533203125</v>
          </cell>
        </row>
        <row r="1464">
          <cell r="A1464" t="str">
            <v>1G1PC5SB2E7411960</v>
          </cell>
          <cell r="B1464">
            <v>2014</v>
          </cell>
          <cell r="C1464" t="str">
            <v>CHEVROLET</v>
          </cell>
          <cell r="D1464" t="str">
            <v>CRUZE</v>
          </cell>
          <cell r="E1464">
            <v>85976</v>
          </cell>
          <cell r="F1464" t="str">
            <v>Grade 1.5</v>
          </cell>
          <cell r="G1464" t="str">
            <v>Inoperable</v>
          </cell>
          <cell r="H1464" t="str">
            <v>No</v>
          </cell>
          <cell r="I1464" t="str">
            <v>Yes</v>
          </cell>
          <cell r="J1464">
            <v>45608</v>
          </cell>
          <cell r="K1464" t="str">
            <v>Yes</v>
          </cell>
          <cell r="L1464">
            <v>44614</v>
          </cell>
          <cell r="M1464">
            <v>235</v>
          </cell>
          <cell r="N1464">
            <v>285</v>
          </cell>
          <cell r="O1464">
            <v>3162.931884765625</v>
          </cell>
          <cell r="P1464">
            <v>9417.9075641860363</v>
          </cell>
          <cell r="Q1464">
            <v>3186.73779296875</v>
          </cell>
        </row>
        <row r="1465">
          <cell r="A1465" t="str">
            <v>4A4AR4AU0FE050243</v>
          </cell>
          <cell r="B1465">
            <v>2015</v>
          </cell>
          <cell r="C1465" t="str">
            <v>MITSUBISHI</v>
          </cell>
          <cell r="D1465" t="str">
            <v>OUTLANDER SPORT</v>
          </cell>
          <cell r="E1465">
            <v>84045</v>
          </cell>
          <cell r="F1465" t="str">
            <v>Grade 3.8</v>
          </cell>
          <cell r="G1465" t="str">
            <v>Certified</v>
          </cell>
          <cell r="H1465" t="str">
            <v>Yes</v>
          </cell>
          <cell r="I1465" t="str">
            <v>No</v>
          </cell>
          <cell r="J1465">
            <v>45356</v>
          </cell>
          <cell r="K1465" t="str">
            <v>Yes</v>
          </cell>
          <cell r="L1465">
            <v>44614</v>
          </cell>
          <cell r="M1465">
            <v>235</v>
          </cell>
          <cell r="N1465">
            <v>285</v>
          </cell>
          <cell r="O1465">
            <v>5959.67578125</v>
          </cell>
          <cell r="P1465">
            <v>10082.86340036038</v>
          </cell>
          <cell r="Q1465">
            <v>5955.173828125</v>
          </cell>
        </row>
        <row r="1466">
          <cell r="A1466" t="str">
            <v>1C4NJDBB2HD104602</v>
          </cell>
          <cell r="B1466">
            <v>2017</v>
          </cell>
          <cell r="C1466" t="str">
            <v>JEEP</v>
          </cell>
          <cell r="D1466" t="str">
            <v>COMPASS 4X4 4C</v>
          </cell>
          <cell r="E1466">
            <v>130138</v>
          </cell>
          <cell r="F1466" t="str">
            <v>Grade 3.7</v>
          </cell>
          <cell r="G1466" t="str">
            <v>Green Light</v>
          </cell>
          <cell r="H1466" t="str">
            <v>Yes</v>
          </cell>
          <cell r="I1466" t="str">
            <v>No</v>
          </cell>
          <cell r="J1466">
            <v>45498</v>
          </cell>
          <cell r="K1466" t="str">
            <v>Yes</v>
          </cell>
          <cell r="L1466">
            <v>44662</v>
          </cell>
          <cell r="M1466">
            <v>235</v>
          </cell>
          <cell r="N1466">
            <v>285</v>
          </cell>
          <cell r="O1466">
            <v>7920.271484375</v>
          </cell>
          <cell r="P1466">
            <v>10100.38591739304</v>
          </cell>
          <cell r="Q1466">
            <v>7827.77783203125</v>
          </cell>
        </row>
        <row r="1467">
          <cell r="A1467" t="str">
            <v>1C4RJFCGXFC894435</v>
          </cell>
          <cell r="B1467">
            <v>2015</v>
          </cell>
          <cell r="C1467" t="str">
            <v>JEEP</v>
          </cell>
          <cell r="D1467" t="str">
            <v>GRAND CHEROKEE</v>
          </cell>
          <cell r="E1467">
            <v>84476</v>
          </cell>
          <cell r="F1467" t="str">
            <v>Grade 4.1</v>
          </cell>
          <cell r="G1467" t="str">
            <v>Green/Yellow</v>
          </cell>
          <cell r="H1467" t="str">
            <v>Yes</v>
          </cell>
          <cell r="I1467" t="str">
            <v>No</v>
          </cell>
          <cell r="J1467">
            <v>45538</v>
          </cell>
          <cell r="K1467" t="str">
            <v>Yes</v>
          </cell>
          <cell r="L1467">
            <v>44662</v>
          </cell>
          <cell r="M1467">
            <v>235</v>
          </cell>
          <cell r="N1467">
            <v>285</v>
          </cell>
          <cell r="O1467">
            <v>9457.16015625</v>
          </cell>
          <cell r="P1467">
            <v>10004.850958887429</v>
          </cell>
          <cell r="Q1467">
            <v>9504.462890625</v>
          </cell>
        </row>
        <row r="1468">
          <cell r="A1468" t="str">
            <v>1C6RD7PTXCS174565</v>
          </cell>
          <cell r="B1468">
            <v>2012</v>
          </cell>
          <cell r="C1468" t="str">
            <v>RAM</v>
          </cell>
          <cell r="D1468">
            <v>1500</v>
          </cell>
          <cell r="E1468">
            <v>166316</v>
          </cell>
          <cell r="F1468" t="str">
            <v>Grade 2.4</v>
          </cell>
          <cell r="G1468" t="str">
            <v>Green Light</v>
          </cell>
          <cell r="H1468" t="str">
            <v>Yes</v>
          </cell>
          <cell r="I1468" t="str">
            <v>No</v>
          </cell>
          <cell r="J1468">
            <v>45328</v>
          </cell>
          <cell r="K1468" t="str">
            <v>Yes</v>
          </cell>
          <cell r="L1468">
            <v>44662</v>
          </cell>
          <cell r="M1468">
            <v>235</v>
          </cell>
          <cell r="N1468">
            <v>285</v>
          </cell>
          <cell r="O1468">
            <v>4243.52001953125</v>
          </cell>
          <cell r="P1468">
            <v>10026.911294672749</v>
          </cell>
          <cell r="Q1468">
            <v>4149.24072265625</v>
          </cell>
        </row>
        <row r="1469">
          <cell r="A1469" t="str">
            <v>1FADP3N24EL199624</v>
          </cell>
          <cell r="B1469">
            <v>2014</v>
          </cell>
          <cell r="C1469" t="str">
            <v>FORD</v>
          </cell>
          <cell r="D1469" t="str">
            <v>FOCUS</v>
          </cell>
          <cell r="E1469">
            <v>93134</v>
          </cell>
          <cell r="F1469" t="str">
            <v>Grade 4.2</v>
          </cell>
          <cell r="G1469" t="str">
            <v>Certified</v>
          </cell>
          <cell r="H1469" t="str">
            <v>Yes</v>
          </cell>
          <cell r="I1469" t="str">
            <v>No</v>
          </cell>
          <cell r="J1469">
            <v>45594</v>
          </cell>
          <cell r="K1469" t="str">
            <v>Yes</v>
          </cell>
          <cell r="L1469">
            <v>44662</v>
          </cell>
          <cell r="M1469">
            <v>235</v>
          </cell>
          <cell r="N1469">
            <v>285</v>
          </cell>
          <cell r="O1469">
            <v>8251.6826171875</v>
          </cell>
          <cell r="P1469">
            <v>10098.847322066331</v>
          </cell>
          <cell r="Q1469">
            <v>8255.8642578125</v>
          </cell>
        </row>
        <row r="1470">
          <cell r="A1470" t="str">
            <v>1FMCU9G9XEUA91171</v>
          </cell>
          <cell r="B1470">
            <v>2014</v>
          </cell>
          <cell r="C1470" t="str">
            <v>FORD</v>
          </cell>
          <cell r="D1470" t="str">
            <v>ESCAPE</v>
          </cell>
          <cell r="E1470">
            <v>74008</v>
          </cell>
          <cell r="F1470" t="str">
            <v>Grade 2.5</v>
          </cell>
          <cell r="G1470" t="str">
            <v>Red Light</v>
          </cell>
          <cell r="H1470" t="str">
            <v>No</v>
          </cell>
          <cell r="I1470" t="str">
            <v>Yes</v>
          </cell>
          <cell r="J1470">
            <v>45580</v>
          </cell>
          <cell r="K1470" t="str">
            <v>Yes</v>
          </cell>
          <cell r="L1470">
            <v>44662</v>
          </cell>
          <cell r="M1470">
            <v>235</v>
          </cell>
          <cell r="N1470">
            <v>285</v>
          </cell>
          <cell r="O1470">
            <v>3091.51708984375</v>
          </cell>
          <cell r="P1470">
            <v>9454.0749285896982</v>
          </cell>
          <cell r="Q1470">
            <v>3090.05078125</v>
          </cell>
        </row>
        <row r="1471">
          <cell r="A1471" t="str">
            <v>1G1BC5SM4K7120965</v>
          </cell>
          <cell r="B1471">
            <v>2019</v>
          </cell>
          <cell r="C1471" t="str">
            <v>CHEVROLET</v>
          </cell>
          <cell r="D1471" t="str">
            <v>CRUZE</v>
          </cell>
          <cell r="E1471">
            <v>93406</v>
          </cell>
          <cell r="F1471" t="str">
            <v>Grade 3.2</v>
          </cell>
          <cell r="G1471" t="str">
            <v>Green Light</v>
          </cell>
          <cell r="H1471" t="str">
            <v>Yes</v>
          </cell>
          <cell r="I1471" t="str">
            <v>No</v>
          </cell>
          <cell r="J1471">
            <v>45580</v>
          </cell>
          <cell r="K1471" t="str">
            <v>Yes</v>
          </cell>
          <cell r="L1471">
            <v>44662</v>
          </cell>
          <cell r="M1471">
            <v>235</v>
          </cell>
          <cell r="N1471">
            <v>285</v>
          </cell>
          <cell r="O1471">
            <v>10860.740234375</v>
          </cell>
          <cell r="P1471">
            <v>9649.8997454272758</v>
          </cell>
          <cell r="Q1471">
            <v>10914.6064453125</v>
          </cell>
        </row>
        <row r="1472">
          <cell r="A1472" t="str">
            <v>1G1PG5SC4C7255303</v>
          </cell>
          <cell r="B1472">
            <v>2012</v>
          </cell>
          <cell r="C1472" t="str">
            <v>CHEVROLET</v>
          </cell>
          <cell r="D1472" t="str">
            <v>CRUZE</v>
          </cell>
          <cell r="E1472">
            <v>98118</v>
          </cell>
          <cell r="F1472" t="str">
            <v>Grade 3.4</v>
          </cell>
          <cell r="G1472" t="str">
            <v>Red Light</v>
          </cell>
          <cell r="H1472" t="str">
            <v>No</v>
          </cell>
          <cell r="I1472" t="str">
            <v>Yes</v>
          </cell>
          <cell r="J1472">
            <v>45664</v>
          </cell>
          <cell r="K1472" t="str">
            <v>Yes</v>
          </cell>
          <cell r="L1472">
            <v>44662</v>
          </cell>
          <cell r="M1472">
            <v>235</v>
          </cell>
          <cell r="N1472">
            <v>285</v>
          </cell>
          <cell r="O1472">
            <v>4742.60546875</v>
          </cell>
          <cell r="P1472">
            <v>9501.992672075241</v>
          </cell>
          <cell r="Q1472">
            <v>4760.8662109375</v>
          </cell>
        </row>
        <row r="1473">
          <cell r="A1473" t="str">
            <v>1GTG5CE37G1199637</v>
          </cell>
          <cell r="B1473">
            <v>2016</v>
          </cell>
          <cell r="C1473" t="str">
            <v>GMC</v>
          </cell>
          <cell r="D1473" t="str">
            <v>CANYON</v>
          </cell>
          <cell r="E1473">
            <v>90736</v>
          </cell>
          <cell r="F1473" t="str">
            <v>Grade 3.5</v>
          </cell>
          <cell r="G1473" t="str">
            <v>Green Light</v>
          </cell>
          <cell r="H1473" t="str">
            <v>Yes</v>
          </cell>
          <cell r="I1473" t="str">
            <v>No</v>
          </cell>
          <cell r="J1473">
            <v>45580</v>
          </cell>
          <cell r="K1473" t="str">
            <v>Yes</v>
          </cell>
          <cell r="L1473">
            <v>44662</v>
          </cell>
          <cell r="M1473">
            <v>235</v>
          </cell>
          <cell r="N1473">
            <v>285</v>
          </cell>
          <cell r="O1473">
            <v>12756.90234375</v>
          </cell>
          <cell r="P1473">
            <v>10313.396910872771</v>
          </cell>
          <cell r="Q1473">
            <v>12985.4658203125</v>
          </cell>
        </row>
        <row r="1474">
          <cell r="A1474" t="str">
            <v>1N4BL4CV9KC174512</v>
          </cell>
          <cell r="B1474">
            <v>2019</v>
          </cell>
          <cell r="C1474" t="str">
            <v>NISSAN</v>
          </cell>
          <cell r="D1474" t="str">
            <v>ALTIMA</v>
          </cell>
          <cell r="E1474">
            <v>114622</v>
          </cell>
          <cell r="F1474" t="str">
            <v>Grade 3.0</v>
          </cell>
          <cell r="G1474" t="str">
            <v>Green Light</v>
          </cell>
          <cell r="H1474" t="str">
            <v>Yes</v>
          </cell>
          <cell r="I1474" t="str">
            <v>No</v>
          </cell>
          <cell r="J1474">
            <v>45356</v>
          </cell>
          <cell r="K1474" t="str">
            <v>Yes</v>
          </cell>
          <cell r="L1474">
            <v>44662</v>
          </cell>
          <cell r="M1474">
            <v>235</v>
          </cell>
          <cell r="N1474">
            <v>285</v>
          </cell>
          <cell r="O1474">
            <v>6098.56640625</v>
          </cell>
          <cell r="P1474">
            <v>8973.0735830537142</v>
          </cell>
          <cell r="Q1474">
            <v>6083.568359375</v>
          </cell>
        </row>
        <row r="1475">
          <cell r="A1475" t="str">
            <v>1VWCN7A37CC068800</v>
          </cell>
          <cell r="B1475">
            <v>2012</v>
          </cell>
          <cell r="C1475" t="str">
            <v>VOLKSWAGEN</v>
          </cell>
          <cell r="D1475" t="str">
            <v>PASSAT</v>
          </cell>
          <cell r="E1475">
            <v>113165</v>
          </cell>
          <cell r="F1475" t="str">
            <v>Grade 1.5</v>
          </cell>
          <cell r="G1475" t="str">
            <v>Red Light</v>
          </cell>
          <cell r="H1475" t="str">
            <v>No</v>
          </cell>
          <cell r="I1475" t="str">
            <v>Yes</v>
          </cell>
          <cell r="J1475">
            <v>45412</v>
          </cell>
          <cell r="K1475" t="str">
            <v>Yes</v>
          </cell>
          <cell r="L1475">
            <v>44662</v>
          </cell>
          <cell r="M1475">
            <v>235</v>
          </cell>
          <cell r="N1475">
            <v>285</v>
          </cell>
          <cell r="O1475">
            <v>1036.326904296875</v>
          </cell>
          <cell r="P1475">
            <v>8604.2591114106435</v>
          </cell>
          <cell r="Q1475">
            <v>1180.456665039062</v>
          </cell>
        </row>
        <row r="1476">
          <cell r="A1476" t="str">
            <v>2FMPK4J98GBC65525</v>
          </cell>
          <cell r="B1476">
            <v>2016</v>
          </cell>
          <cell r="C1476" t="str">
            <v>FORD</v>
          </cell>
          <cell r="D1476" t="str">
            <v>EDGE AWD SUV</v>
          </cell>
          <cell r="E1476">
            <v>123594</v>
          </cell>
          <cell r="F1476" t="str">
            <v>Grade 2.5</v>
          </cell>
          <cell r="G1476" t="str">
            <v>Red Light</v>
          </cell>
          <cell r="H1476" t="str">
            <v>No</v>
          </cell>
          <cell r="I1476" t="str">
            <v>Yes</v>
          </cell>
          <cell r="J1476">
            <v>45456</v>
          </cell>
          <cell r="K1476" t="str">
            <v>Yes</v>
          </cell>
          <cell r="L1476">
            <v>44662</v>
          </cell>
          <cell r="M1476">
            <v>235</v>
          </cell>
          <cell r="N1476">
            <v>285</v>
          </cell>
          <cell r="O1476">
            <v>3598.8203125</v>
          </cell>
          <cell r="P1476">
            <v>9333.2986627555219</v>
          </cell>
          <cell r="Q1476">
            <v>3504.2548828125</v>
          </cell>
        </row>
        <row r="1477">
          <cell r="A1477" t="str">
            <v>2GKFLVEK7F6405642</v>
          </cell>
          <cell r="B1477">
            <v>2015</v>
          </cell>
          <cell r="C1477" t="str">
            <v>GMC</v>
          </cell>
          <cell r="D1477" t="str">
            <v>TERRAIN</v>
          </cell>
          <cell r="E1477">
            <v>58110</v>
          </cell>
          <cell r="F1477" t="str">
            <v>Grade 1.0</v>
          </cell>
          <cell r="G1477" t="str">
            <v>Inoperable</v>
          </cell>
          <cell r="H1477" t="str">
            <v>No</v>
          </cell>
          <cell r="I1477" t="str">
            <v>Yes</v>
          </cell>
          <cell r="J1477">
            <v>45510</v>
          </cell>
          <cell r="K1477" t="str">
            <v>Yes</v>
          </cell>
          <cell r="L1477">
            <v>44662</v>
          </cell>
          <cell r="M1477">
            <v>235</v>
          </cell>
          <cell r="N1477">
            <v>285</v>
          </cell>
          <cell r="O1477">
            <v>5861.353515625</v>
          </cell>
          <cell r="P1477">
            <v>12202.018658326269</v>
          </cell>
          <cell r="Q1477">
            <v>6018.59228515625</v>
          </cell>
        </row>
        <row r="1478">
          <cell r="A1478" t="str">
            <v>2GNALBEK1G1163036</v>
          </cell>
          <cell r="B1478">
            <v>2016</v>
          </cell>
          <cell r="C1478" t="str">
            <v>CHEVROLET</v>
          </cell>
          <cell r="D1478" t="str">
            <v>EQUINOX</v>
          </cell>
          <cell r="E1478">
            <v>103670</v>
          </cell>
          <cell r="F1478" t="str">
            <v>Grade 1.1</v>
          </cell>
          <cell r="G1478" t="str">
            <v>Inoperable</v>
          </cell>
          <cell r="H1478" t="str">
            <v>No</v>
          </cell>
          <cell r="I1478" t="str">
            <v>Yes</v>
          </cell>
          <cell r="J1478">
            <v>45384</v>
          </cell>
          <cell r="K1478" t="str">
            <v>Yes</v>
          </cell>
          <cell r="L1478">
            <v>44662</v>
          </cell>
          <cell r="M1478">
            <v>235</v>
          </cell>
          <cell r="N1478">
            <v>285</v>
          </cell>
          <cell r="O1478">
            <v>2501.442626953125</v>
          </cell>
          <cell r="P1478">
            <v>9247.4190632338778</v>
          </cell>
          <cell r="Q1478">
            <v>2382.8828125</v>
          </cell>
        </row>
        <row r="1479">
          <cell r="A1479" t="str">
            <v>3GKALPEV5ML331274</v>
          </cell>
          <cell r="B1479">
            <v>2021</v>
          </cell>
          <cell r="C1479" t="str">
            <v>GMC</v>
          </cell>
          <cell r="D1479" t="str">
            <v>TERRAIN</v>
          </cell>
          <cell r="E1479">
            <v>84702</v>
          </cell>
          <cell r="F1479" t="str">
            <v>Grade 3.6</v>
          </cell>
          <cell r="G1479" t="str">
            <v>Certified</v>
          </cell>
          <cell r="H1479" t="str">
            <v>Yes</v>
          </cell>
          <cell r="I1479" t="str">
            <v>No</v>
          </cell>
          <cell r="J1479">
            <v>45734</v>
          </cell>
          <cell r="K1479" t="str">
            <v>Yes</v>
          </cell>
          <cell r="L1479">
            <v>44662</v>
          </cell>
          <cell r="M1479">
            <v>235</v>
          </cell>
          <cell r="N1479">
            <v>285</v>
          </cell>
          <cell r="O1479">
            <v>26296.875</v>
          </cell>
          <cell r="P1479">
            <v>13092.81358470337</v>
          </cell>
          <cell r="Q1479">
            <v>26784.349609375</v>
          </cell>
        </row>
        <row r="1480">
          <cell r="A1480" t="str">
            <v>3GNAXKEV9KS579105</v>
          </cell>
          <cell r="B1480">
            <v>2019</v>
          </cell>
          <cell r="C1480" t="str">
            <v>CHEVROLET</v>
          </cell>
          <cell r="D1480" t="str">
            <v>EQUINOX FWD 4C</v>
          </cell>
          <cell r="E1480">
            <v>147119</v>
          </cell>
          <cell r="F1480" t="str">
            <v>Grade 3.6</v>
          </cell>
          <cell r="G1480" t="str">
            <v>Red Light</v>
          </cell>
          <cell r="H1480" t="str">
            <v>No</v>
          </cell>
          <cell r="I1480" t="str">
            <v>Yes</v>
          </cell>
          <cell r="J1480">
            <v>45414</v>
          </cell>
          <cell r="K1480" t="str">
            <v>Yes</v>
          </cell>
          <cell r="L1480">
            <v>44662</v>
          </cell>
          <cell r="M1480">
            <v>235</v>
          </cell>
          <cell r="N1480">
            <v>285</v>
          </cell>
          <cell r="O1480">
            <v>9593.60546875</v>
          </cell>
          <cell r="P1480">
            <v>10353.334376442899</v>
          </cell>
          <cell r="Q1480">
            <v>9722.689453125</v>
          </cell>
        </row>
        <row r="1481">
          <cell r="A1481" t="str">
            <v>3N1CN7AP1JL856563</v>
          </cell>
          <cell r="B1481">
            <v>2018</v>
          </cell>
          <cell r="C1481" t="str">
            <v>NISSAN</v>
          </cell>
          <cell r="D1481" t="str">
            <v>VERSA</v>
          </cell>
          <cell r="E1481">
            <v>82802</v>
          </cell>
          <cell r="F1481" t="str">
            <v>Grade 2.6</v>
          </cell>
          <cell r="G1481" t="str">
            <v>Green Light</v>
          </cell>
          <cell r="H1481" t="str">
            <v>Yes</v>
          </cell>
          <cell r="I1481" t="str">
            <v>No</v>
          </cell>
          <cell r="J1481">
            <v>45526</v>
          </cell>
          <cell r="K1481" t="str">
            <v>Yes</v>
          </cell>
          <cell r="L1481">
            <v>44662</v>
          </cell>
          <cell r="M1481">
            <v>235</v>
          </cell>
          <cell r="N1481">
            <v>285</v>
          </cell>
          <cell r="O1481">
            <v>4717.3408203125</v>
          </cell>
          <cell r="P1481">
            <v>9104.88657189677</v>
          </cell>
          <cell r="Q1481">
            <v>4646.1630859375</v>
          </cell>
        </row>
        <row r="1482">
          <cell r="A1482" t="str">
            <v>3N1CP5BV9NL504106</v>
          </cell>
          <cell r="B1482">
            <v>2022</v>
          </cell>
          <cell r="C1482" t="str">
            <v>NISSAN</v>
          </cell>
          <cell r="D1482" t="str">
            <v>KICKS</v>
          </cell>
          <cell r="E1482">
            <v>36485</v>
          </cell>
          <cell r="F1482" t="str">
            <v>Grade 4.5</v>
          </cell>
          <cell r="G1482" t="str">
            <v>Certified</v>
          </cell>
          <cell r="H1482" t="str">
            <v>Yes</v>
          </cell>
          <cell r="I1482" t="str">
            <v>No</v>
          </cell>
          <cell r="J1482">
            <v>45678</v>
          </cell>
          <cell r="K1482" t="str">
            <v>Yes</v>
          </cell>
          <cell r="L1482">
            <v>44662</v>
          </cell>
          <cell r="M1482">
            <v>235</v>
          </cell>
          <cell r="N1482">
            <v>285</v>
          </cell>
          <cell r="O1482">
            <v>17538.181640625</v>
          </cell>
          <cell r="P1482">
            <v>14003.978339605141</v>
          </cell>
          <cell r="Q1482">
            <v>17295.0234375</v>
          </cell>
        </row>
        <row r="1483">
          <cell r="A1483" t="str">
            <v>3VWD17AJ2FM282000</v>
          </cell>
          <cell r="B1483">
            <v>2015</v>
          </cell>
          <cell r="C1483" t="str">
            <v>VOLKSWAGEN</v>
          </cell>
          <cell r="D1483" t="str">
            <v>JETTA</v>
          </cell>
          <cell r="E1483">
            <v>133336</v>
          </cell>
          <cell r="F1483" t="str">
            <v>Grade 3.4</v>
          </cell>
          <cell r="G1483" t="str">
            <v>Red Light</v>
          </cell>
          <cell r="H1483" t="str">
            <v>No</v>
          </cell>
          <cell r="I1483" t="str">
            <v>Yes</v>
          </cell>
          <cell r="J1483">
            <v>45666</v>
          </cell>
          <cell r="K1483" t="str">
            <v>Yes</v>
          </cell>
          <cell r="L1483">
            <v>44662</v>
          </cell>
          <cell r="M1483">
            <v>235</v>
          </cell>
          <cell r="N1483">
            <v>285</v>
          </cell>
          <cell r="O1483">
            <v>3181.325439453125</v>
          </cell>
          <cell r="P1483">
            <v>8936.3605561875611</v>
          </cell>
          <cell r="Q1483">
            <v>3044.94580078125</v>
          </cell>
        </row>
        <row r="1484">
          <cell r="A1484" t="str">
            <v>4T1BF1FK1EU729464</v>
          </cell>
          <cell r="B1484">
            <v>2014</v>
          </cell>
          <cell r="C1484" t="str">
            <v>TOYOTA</v>
          </cell>
          <cell r="D1484" t="str">
            <v>CAMRY</v>
          </cell>
          <cell r="E1484">
            <v>96959</v>
          </cell>
          <cell r="F1484" t="str">
            <v>Grade 2.6</v>
          </cell>
          <cell r="G1484" t="str">
            <v>Green/Yellow</v>
          </cell>
          <cell r="H1484" t="str">
            <v>Yes</v>
          </cell>
          <cell r="I1484" t="str">
            <v>No</v>
          </cell>
          <cell r="J1484">
            <v>45720</v>
          </cell>
          <cell r="K1484" t="str">
            <v>Yes</v>
          </cell>
          <cell r="L1484">
            <v>44662</v>
          </cell>
          <cell r="M1484">
            <v>235</v>
          </cell>
          <cell r="N1484">
            <v>285</v>
          </cell>
          <cell r="O1484">
            <v>4789.22607421875</v>
          </cell>
          <cell r="P1484">
            <v>9627.8001176012567</v>
          </cell>
          <cell r="Q1484">
            <v>4828.96533203125</v>
          </cell>
        </row>
        <row r="1485">
          <cell r="A1485" t="str">
            <v>5J6RM3H39CL017548</v>
          </cell>
          <cell r="B1485">
            <v>2012</v>
          </cell>
          <cell r="C1485" t="str">
            <v>HONDA</v>
          </cell>
          <cell r="D1485" t="str">
            <v>CR-V FWD</v>
          </cell>
          <cell r="E1485">
            <v>90451</v>
          </cell>
          <cell r="F1485" t="str">
            <v>Grade 2.7</v>
          </cell>
          <cell r="G1485" t="str">
            <v>Red Light</v>
          </cell>
          <cell r="H1485" t="str">
            <v>No</v>
          </cell>
          <cell r="I1485" t="str">
            <v>Yes</v>
          </cell>
          <cell r="J1485">
            <v>45400</v>
          </cell>
          <cell r="K1485" t="str">
            <v>Yes</v>
          </cell>
          <cell r="L1485">
            <v>44662</v>
          </cell>
          <cell r="M1485">
            <v>235</v>
          </cell>
          <cell r="N1485">
            <v>285</v>
          </cell>
          <cell r="O1485">
            <v>3783.1083984375</v>
          </cell>
          <cell r="P1485">
            <v>9251.5624272609075</v>
          </cell>
          <cell r="Q1485">
            <v>3673.54638671875</v>
          </cell>
        </row>
        <row r="1486">
          <cell r="A1486" t="str">
            <v>5NPE24AF9GH354154</v>
          </cell>
          <cell r="B1486">
            <v>2016</v>
          </cell>
          <cell r="C1486" t="str">
            <v>HYUNDAI</v>
          </cell>
          <cell r="D1486" t="str">
            <v>SONATA</v>
          </cell>
          <cell r="E1486">
            <v>125581</v>
          </cell>
          <cell r="F1486" t="str">
            <v>Grade 3.4</v>
          </cell>
          <cell r="G1486" t="str">
            <v>Red Light</v>
          </cell>
          <cell r="H1486" t="str">
            <v>No</v>
          </cell>
          <cell r="I1486" t="str">
            <v>Yes</v>
          </cell>
          <cell r="J1486">
            <v>45505</v>
          </cell>
          <cell r="K1486" t="str">
            <v>Yes</v>
          </cell>
          <cell r="L1486">
            <v>44662</v>
          </cell>
          <cell r="M1486">
            <v>235</v>
          </cell>
          <cell r="N1486">
            <v>285</v>
          </cell>
          <cell r="O1486">
            <v>4562.65673828125</v>
          </cell>
          <cell r="P1486">
            <v>8709.8382342367167</v>
          </cell>
          <cell r="Q1486">
            <v>4476.63671875</v>
          </cell>
        </row>
        <row r="1487">
          <cell r="A1487" t="str">
            <v>5NPEL4JA8LH047389</v>
          </cell>
          <cell r="B1487">
            <v>2020</v>
          </cell>
          <cell r="C1487" t="str">
            <v>HYUNDAI</v>
          </cell>
          <cell r="D1487" t="str">
            <v>SONATA</v>
          </cell>
          <cell r="E1487">
            <v>133473</v>
          </cell>
          <cell r="F1487" t="str">
            <v>Grade 1.6</v>
          </cell>
          <cell r="G1487" t="str">
            <v>Salvage</v>
          </cell>
          <cell r="H1487" t="str">
            <v>No</v>
          </cell>
          <cell r="I1487" t="str">
            <v>Yes</v>
          </cell>
          <cell r="J1487">
            <v>45631</v>
          </cell>
          <cell r="K1487" t="str">
            <v>Yes</v>
          </cell>
          <cell r="L1487">
            <v>44662</v>
          </cell>
          <cell r="M1487">
            <v>235</v>
          </cell>
          <cell r="N1487">
            <v>285</v>
          </cell>
          <cell r="O1487">
            <v>3735.570068359375</v>
          </cell>
          <cell r="P1487">
            <v>10018.444441428341</v>
          </cell>
          <cell r="Q1487">
            <v>3546.268798828125</v>
          </cell>
        </row>
        <row r="1488">
          <cell r="A1488" t="str">
            <v>JN1BJ1AWXMW430221</v>
          </cell>
          <cell r="B1488">
            <v>2021</v>
          </cell>
          <cell r="C1488" t="str">
            <v>NISSAN</v>
          </cell>
          <cell r="D1488" t="str">
            <v>ROGUE SPORT AWD</v>
          </cell>
          <cell r="E1488">
            <v>65089</v>
          </cell>
          <cell r="F1488" t="str">
            <v>Grade 2.5</v>
          </cell>
          <cell r="G1488" t="str">
            <v>Green Light</v>
          </cell>
          <cell r="H1488" t="str">
            <v>Yes</v>
          </cell>
          <cell r="I1488" t="str">
            <v>No</v>
          </cell>
          <cell r="J1488">
            <v>45701</v>
          </cell>
          <cell r="K1488" t="str">
            <v>Yes</v>
          </cell>
          <cell r="L1488">
            <v>44662</v>
          </cell>
          <cell r="M1488">
            <v>235</v>
          </cell>
          <cell r="N1488">
            <v>285</v>
          </cell>
          <cell r="O1488">
            <v>7364.140625</v>
          </cell>
          <cell r="P1488">
            <v>13033.329861361841</v>
          </cell>
          <cell r="Q1488">
            <v>7975.64453125</v>
          </cell>
        </row>
        <row r="1489">
          <cell r="A1489" t="str">
            <v>JN8AS5MT8FW666274</v>
          </cell>
          <cell r="B1489">
            <v>2015</v>
          </cell>
          <cell r="C1489" t="str">
            <v>NISSAN</v>
          </cell>
          <cell r="D1489" t="str">
            <v>ROGUE SEL FWD</v>
          </cell>
          <cell r="E1489">
            <v>44101</v>
          </cell>
          <cell r="F1489" t="str">
            <v>Grade 4.8</v>
          </cell>
          <cell r="G1489" t="str">
            <v>Certified</v>
          </cell>
          <cell r="H1489" t="str">
            <v>Yes</v>
          </cell>
          <cell r="I1489" t="str">
            <v>No</v>
          </cell>
          <cell r="J1489">
            <v>45386</v>
          </cell>
          <cell r="K1489" t="str">
            <v>Yes</v>
          </cell>
          <cell r="L1489">
            <v>44662</v>
          </cell>
          <cell r="M1489">
            <v>235</v>
          </cell>
          <cell r="N1489">
            <v>285</v>
          </cell>
          <cell r="O1489">
            <v>10194.904296875</v>
          </cell>
          <cell r="P1489">
            <v>11926.91516120298</v>
          </cell>
          <cell r="Q1489">
            <v>10027.189453125</v>
          </cell>
        </row>
        <row r="1490">
          <cell r="A1490" t="str">
            <v>JN8AS5MV0CW360036</v>
          </cell>
          <cell r="B1490">
            <v>2012</v>
          </cell>
          <cell r="C1490" t="str">
            <v>NISSAN</v>
          </cell>
          <cell r="D1490" t="str">
            <v>ROGUE AWD</v>
          </cell>
          <cell r="E1490">
            <v>122823</v>
          </cell>
          <cell r="F1490" t="str">
            <v>Grade 4.6</v>
          </cell>
          <cell r="G1490" t="str">
            <v>Certified</v>
          </cell>
          <cell r="H1490" t="str">
            <v>Yes</v>
          </cell>
          <cell r="I1490" t="str">
            <v>No</v>
          </cell>
          <cell r="J1490">
            <v>45512</v>
          </cell>
          <cell r="K1490" t="str">
            <v>Yes</v>
          </cell>
          <cell r="L1490">
            <v>44662</v>
          </cell>
          <cell r="M1490">
            <v>235</v>
          </cell>
          <cell r="N1490">
            <v>285</v>
          </cell>
          <cell r="O1490">
            <v>4392.73681640625</v>
          </cell>
          <cell r="P1490">
            <v>9644.023934629311</v>
          </cell>
          <cell r="Q1490">
            <v>4510.85498046875</v>
          </cell>
        </row>
        <row r="1491">
          <cell r="A1491" t="str">
            <v>JTJYARBZ8K2132895</v>
          </cell>
          <cell r="B1491">
            <v>2019</v>
          </cell>
          <cell r="C1491" t="str">
            <v>LEXUS</v>
          </cell>
          <cell r="D1491" t="str">
            <v>NX 300</v>
          </cell>
          <cell r="E1491">
            <v>60021</v>
          </cell>
          <cell r="F1491" t="str">
            <v>Grade 4.6</v>
          </cell>
          <cell r="G1491" t="str">
            <v>Certified</v>
          </cell>
          <cell r="H1491" t="str">
            <v>Yes</v>
          </cell>
          <cell r="I1491" t="str">
            <v>No</v>
          </cell>
          <cell r="J1491">
            <v>45300</v>
          </cell>
          <cell r="K1491" t="str">
            <v>Yes</v>
          </cell>
          <cell r="L1491">
            <v>44662</v>
          </cell>
          <cell r="M1491">
            <v>235</v>
          </cell>
          <cell r="N1491">
            <v>285</v>
          </cell>
          <cell r="O1491">
            <v>19236.47265625</v>
          </cell>
          <cell r="P1491">
            <v>12697.10478062875</v>
          </cell>
          <cell r="Q1491">
            <v>19493.86328125</v>
          </cell>
        </row>
        <row r="1492">
          <cell r="A1492" t="str">
            <v>JTKJF5C70C3025971</v>
          </cell>
          <cell r="B1492">
            <v>2012</v>
          </cell>
          <cell r="C1492" t="str">
            <v>SCION</v>
          </cell>
          <cell r="D1492" t="str">
            <v>TC</v>
          </cell>
          <cell r="E1492">
            <v>50160</v>
          </cell>
          <cell r="F1492" t="str">
            <v>Grade 4.3</v>
          </cell>
          <cell r="G1492" t="str">
            <v>Certified</v>
          </cell>
          <cell r="H1492" t="str">
            <v>Yes</v>
          </cell>
          <cell r="I1492" t="str">
            <v>No</v>
          </cell>
          <cell r="J1492">
            <v>45454</v>
          </cell>
          <cell r="K1492" t="str">
            <v>Yes</v>
          </cell>
          <cell r="L1492">
            <v>44662</v>
          </cell>
          <cell r="M1492">
            <v>235</v>
          </cell>
          <cell r="N1492">
            <v>285</v>
          </cell>
          <cell r="O1492">
            <v>9374.6796875</v>
          </cell>
          <cell r="P1492">
            <v>11841.679014433979</v>
          </cell>
          <cell r="Q1492">
            <v>9198.5556640625</v>
          </cell>
        </row>
        <row r="1493">
          <cell r="A1493" t="str">
            <v>KNDJN2A28J7532882</v>
          </cell>
          <cell r="B1493">
            <v>2018</v>
          </cell>
          <cell r="C1493" t="str">
            <v>KIA</v>
          </cell>
          <cell r="D1493" t="str">
            <v>SOUL</v>
          </cell>
          <cell r="E1493">
            <v>112900</v>
          </cell>
          <cell r="F1493" t="str">
            <v>Grade 1.4</v>
          </cell>
          <cell r="G1493" t="str">
            <v>Inoperable</v>
          </cell>
          <cell r="H1493" t="str">
            <v>No</v>
          </cell>
          <cell r="I1493" t="str">
            <v>Yes</v>
          </cell>
          <cell r="J1493">
            <v>45314</v>
          </cell>
          <cell r="K1493" t="str">
            <v>Yes</v>
          </cell>
          <cell r="L1493">
            <v>44662</v>
          </cell>
          <cell r="M1493">
            <v>235</v>
          </cell>
          <cell r="N1493">
            <v>285</v>
          </cell>
          <cell r="O1493">
            <v>2592.433349609375</v>
          </cell>
          <cell r="P1493">
            <v>8602.4480414378068</v>
          </cell>
          <cell r="Q1493">
            <v>2422.29443359375</v>
          </cell>
        </row>
        <row r="1494">
          <cell r="A1494" t="str">
            <v>WA1LFAFP5FA040819</v>
          </cell>
          <cell r="B1494">
            <v>2015</v>
          </cell>
          <cell r="C1494" t="str">
            <v>AUDI</v>
          </cell>
          <cell r="D1494" t="str">
            <v>Q5</v>
          </cell>
          <cell r="E1494">
            <v>105027</v>
          </cell>
          <cell r="F1494" t="str">
            <v>Grade 1.6</v>
          </cell>
          <cell r="G1494" t="str">
            <v>Red Light</v>
          </cell>
          <cell r="H1494" t="str">
            <v>No</v>
          </cell>
          <cell r="I1494" t="str">
            <v>Yes</v>
          </cell>
          <cell r="J1494">
            <v>45496</v>
          </cell>
          <cell r="K1494" t="str">
            <v>Yes</v>
          </cell>
          <cell r="L1494">
            <v>44662</v>
          </cell>
          <cell r="M1494">
            <v>235</v>
          </cell>
          <cell r="N1494">
            <v>285</v>
          </cell>
          <cell r="O1494">
            <v>2892.1669921875</v>
          </cell>
          <cell r="P1494">
            <v>9189.1399532464966</v>
          </cell>
          <cell r="Q1494">
            <v>2700.09423828125</v>
          </cell>
        </row>
        <row r="1495">
          <cell r="A1495" t="str">
            <v>WVGAV7AX9FW591621</v>
          </cell>
          <cell r="B1495">
            <v>2015</v>
          </cell>
          <cell r="C1495" t="str">
            <v>VOLKSWAGEN</v>
          </cell>
          <cell r="D1495" t="str">
            <v>TIGUAN</v>
          </cell>
          <cell r="E1495">
            <v>149836</v>
          </cell>
          <cell r="F1495" t="str">
            <v>Grade 2.0</v>
          </cell>
          <cell r="G1495" t="str">
            <v>Red Light</v>
          </cell>
          <cell r="H1495" t="str">
            <v>No</v>
          </cell>
          <cell r="I1495" t="str">
            <v>Yes</v>
          </cell>
          <cell r="J1495">
            <v>45468</v>
          </cell>
          <cell r="K1495" t="str">
            <v>Yes</v>
          </cell>
          <cell r="L1495">
            <v>44662</v>
          </cell>
          <cell r="M1495">
            <v>235</v>
          </cell>
          <cell r="N1495">
            <v>285</v>
          </cell>
          <cell r="O1495">
            <v>1339.501098632812</v>
          </cell>
          <cell r="P1495">
            <v>8808.2409544179063</v>
          </cell>
          <cell r="Q1495">
            <v>1330.663208007812</v>
          </cell>
        </row>
        <row r="1496">
          <cell r="A1496" t="str">
            <v>1C3CDFCB9FD243877</v>
          </cell>
          <cell r="B1496">
            <v>2015</v>
          </cell>
          <cell r="C1496" t="str">
            <v>DODGE</v>
          </cell>
          <cell r="D1496" t="str">
            <v>DART</v>
          </cell>
          <cell r="E1496">
            <v>93062</v>
          </cell>
          <cell r="F1496" t="str">
            <v>Grade 2.6</v>
          </cell>
          <cell r="G1496" t="str">
            <v>Red Light</v>
          </cell>
          <cell r="H1496" t="str">
            <v>No</v>
          </cell>
          <cell r="I1496" t="str">
            <v>Yes</v>
          </cell>
          <cell r="J1496">
            <v>45692</v>
          </cell>
          <cell r="K1496" t="str">
            <v>Yes</v>
          </cell>
          <cell r="L1496">
            <v>44706</v>
          </cell>
          <cell r="M1496">
            <v>222</v>
          </cell>
          <cell r="N1496">
            <v>272</v>
          </cell>
          <cell r="O1496">
            <v>3595.343505859375</v>
          </cell>
          <cell r="P1496">
            <v>9093.0652970616757</v>
          </cell>
          <cell r="Q1496">
            <v>3488.23046875</v>
          </cell>
        </row>
        <row r="1497">
          <cell r="A1497" t="str">
            <v>1FM5K7D83GGB59908</v>
          </cell>
          <cell r="B1497">
            <v>2016</v>
          </cell>
          <cell r="C1497" t="str">
            <v>FORD</v>
          </cell>
          <cell r="D1497" t="str">
            <v>EXPLORER</v>
          </cell>
          <cell r="E1497">
            <v>112208</v>
          </cell>
          <cell r="F1497" t="str">
            <v>Grade 3.0</v>
          </cell>
          <cell r="G1497" t="str">
            <v>Green Light</v>
          </cell>
          <cell r="H1497" t="str">
            <v>Yes</v>
          </cell>
          <cell r="I1497" t="str">
            <v>No</v>
          </cell>
          <cell r="J1497">
            <v>45622</v>
          </cell>
          <cell r="K1497" t="str">
            <v>Yes</v>
          </cell>
          <cell r="L1497">
            <v>44706</v>
          </cell>
          <cell r="M1497">
            <v>222</v>
          </cell>
          <cell r="N1497">
            <v>272</v>
          </cell>
          <cell r="O1497">
            <v>7294.76806640625</v>
          </cell>
          <cell r="P1497">
            <v>9336.4611763051871</v>
          </cell>
          <cell r="Q1497">
            <v>7289.4951171875</v>
          </cell>
        </row>
        <row r="1498">
          <cell r="A1498" t="str">
            <v>1FM5K8B87GGA16775</v>
          </cell>
          <cell r="B1498">
            <v>2016</v>
          </cell>
          <cell r="C1498" t="str">
            <v>FORD</v>
          </cell>
          <cell r="D1498" t="str">
            <v>EXPLORER 4X4 V6</v>
          </cell>
          <cell r="E1498">
            <v>139079</v>
          </cell>
          <cell r="F1498" t="str">
            <v>Grade 2.9</v>
          </cell>
          <cell r="G1498" t="str">
            <v>Red Light</v>
          </cell>
          <cell r="H1498" t="str">
            <v>No</v>
          </cell>
          <cell r="I1498" t="str">
            <v>Yes</v>
          </cell>
          <cell r="J1498">
            <v>45603</v>
          </cell>
          <cell r="K1498" t="str">
            <v>Yes</v>
          </cell>
          <cell r="L1498">
            <v>44706</v>
          </cell>
          <cell r="M1498">
            <v>222</v>
          </cell>
          <cell r="N1498">
            <v>272</v>
          </cell>
          <cell r="O1498">
            <v>2757.9140625</v>
          </cell>
          <cell r="P1498">
            <v>9329.2772548248558</v>
          </cell>
          <cell r="Q1498">
            <v>2645.82568359375</v>
          </cell>
        </row>
        <row r="1499">
          <cell r="A1499" t="str">
            <v>1HGCP2F38CA046777</v>
          </cell>
          <cell r="B1499">
            <v>2012</v>
          </cell>
          <cell r="C1499" t="str">
            <v>HONDA</v>
          </cell>
          <cell r="D1499" t="str">
            <v>ACCORD</v>
          </cell>
          <cell r="E1499">
            <v>137295</v>
          </cell>
          <cell r="F1499" t="str">
            <v>Grade 1.5</v>
          </cell>
          <cell r="G1499" t="str">
            <v>Red Light</v>
          </cell>
          <cell r="H1499" t="str">
            <v>No</v>
          </cell>
          <cell r="I1499" t="str">
            <v>Yes</v>
          </cell>
          <cell r="J1499">
            <v>45468</v>
          </cell>
          <cell r="K1499" t="str">
            <v>Yes</v>
          </cell>
          <cell r="L1499">
            <v>44706</v>
          </cell>
          <cell r="M1499">
            <v>222</v>
          </cell>
          <cell r="N1499">
            <v>272</v>
          </cell>
          <cell r="O1499">
            <v>2029.100708007812</v>
          </cell>
          <cell r="P1499">
            <v>9012.0232585279882</v>
          </cell>
          <cell r="Q1499">
            <v>1967.080444335938</v>
          </cell>
        </row>
        <row r="1500">
          <cell r="A1500" t="str">
            <v>2GKALREK6E6182073</v>
          </cell>
          <cell r="B1500">
            <v>2014</v>
          </cell>
          <cell r="C1500" t="str">
            <v>GMC</v>
          </cell>
          <cell r="D1500" t="str">
            <v>TERRAIN</v>
          </cell>
          <cell r="E1500">
            <v>77157</v>
          </cell>
          <cell r="F1500" t="str">
            <v>Grade 3.0</v>
          </cell>
          <cell r="G1500" t="str">
            <v>Green Light</v>
          </cell>
          <cell r="H1500" t="str">
            <v>Yes</v>
          </cell>
          <cell r="I1500" t="str">
            <v>No</v>
          </cell>
          <cell r="J1500">
            <v>45300</v>
          </cell>
          <cell r="K1500" t="str">
            <v>Yes</v>
          </cell>
          <cell r="L1500">
            <v>44706</v>
          </cell>
          <cell r="M1500">
            <v>222</v>
          </cell>
          <cell r="N1500">
            <v>272</v>
          </cell>
          <cell r="O1500">
            <v>9073.466796875</v>
          </cell>
          <cell r="P1500">
            <v>10285.1358182768</v>
          </cell>
          <cell r="Q1500">
            <v>9124.287109375</v>
          </cell>
        </row>
        <row r="1501">
          <cell r="A1501" t="str">
            <v>19UUB3F56FA007619</v>
          </cell>
          <cell r="B1501">
            <v>2015</v>
          </cell>
          <cell r="C1501" t="str">
            <v>ACURA</v>
          </cell>
          <cell r="D1501" t="str">
            <v>TLX</v>
          </cell>
          <cell r="E1501">
            <v>121077</v>
          </cell>
          <cell r="F1501" t="str">
            <v>Grade 3.6</v>
          </cell>
          <cell r="G1501" t="str">
            <v>Certified</v>
          </cell>
          <cell r="H1501" t="str">
            <v>Yes</v>
          </cell>
          <cell r="I1501" t="str">
            <v>No</v>
          </cell>
          <cell r="J1501">
            <v>45300</v>
          </cell>
          <cell r="K1501" t="str">
            <v>Yes</v>
          </cell>
          <cell r="L1501">
            <v>44707</v>
          </cell>
          <cell r="M1501">
            <v>222</v>
          </cell>
          <cell r="N1501">
            <v>272</v>
          </cell>
          <cell r="O1501">
            <v>7198.2880859375</v>
          </cell>
          <cell r="P1501">
            <v>10028.225497790359</v>
          </cell>
          <cell r="Q1501">
            <v>7187.0810546875</v>
          </cell>
        </row>
        <row r="1502">
          <cell r="A1502" t="str">
            <v>1FMHK8D89CGA82331</v>
          </cell>
          <cell r="B1502">
            <v>2012</v>
          </cell>
          <cell r="C1502" t="str">
            <v>FORD</v>
          </cell>
          <cell r="D1502" t="str">
            <v>EXPLORER 4X4 V6</v>
          </cell>
          <cell r="E1502">
            <v>59604</v>
          </cell>
          <cell r="F1502" t="str">
            <v>Grade 2.3</v>
          </cell>
          <cell r="G1502" t="str">
            <v>Green/Yellow</v>
          </cell>
          <cell r="H1502" t="str">
            <v>Yes</v>
          </cell>
          <cell r="I1502" t="str">
            <v>No</v>
          </cell>
          <cell r="J1502">
            <v>45309</v>
          </cell>
          <cell r="K1502" t="str">
            <v>Yes</v>
          </cell>
          <cell r="L1502">
            <v>44707</v>
          </cell>
          <cell r="M1502">
            <v>222</v>
          </cell>
          <cell r="N1502">
            <v>272</v>
          </cell>
          <cell r="O1502">
            <v>4923.47216796875</v>
          </cell>
          <cell r="P1502">
            <v>11157.61598704176</v>
          </cell>
          <cell r="Q1502">
            <v>4693.626953125</v>
          </cell>
        </row>
        <row r="1503">
          <cell r="A1503" t="str">
            <v>2GNAXKEV9K6121921</v>
          </cell>
          <cell r="B1503">
            <v>2019</v>
          </cell>
          <cell r="C1503" t="str">
            <v>CHEVROLET</v>
          </cell>
          <cell r="D1503" t="str">
            <v>EQUINOX FWD 4C</v>
          </cell>
          <cell r="E1503">
            <v>120125</v>
          </cell>
          <cell r="F1503" t="str">
            <v>Grade 3.5</v>
          </cell>
          <cell r="G1503" t="str">
            <v>Red Light</v>
          </cell>
          <cell r="H1503" t="str">
            <v>No</v>
          </cell>
          <cell r="I1503" t="str">
            <v>Yes</v>
          </cell>
          <cell r="J1503">
            <v>45344</v>
          </cell>
          <cell r="K1503" t="str">
            <v>Yes</v>
          </cell>
          <cell r="L1503">
            <v>44707</v>
          </cell>
          <cell r="M1503">
            <v>222</v>
          </cell>
          <cell r="N1503">
            <v>272</v>
          </cell>
          <cell r="O1503">
            <v>10390.62109375</v>
          </cell>
          <cell r="P1503">
            <v>9539.7128402923445</v>
          </cell>
          <cell r="Q1503">
            <v>10501.904296875</v>
          </cell>
        </row>
        <row r="1504">
          <cell r="A1504" t="str">
            <v>3C4NJCBB3KT706484</v>
          </cell>
          <cell r="B1504">
            <v>2019</v>
          </cell>
          <cell r="C1504" t="str">
            <v>JEEP</v>
          </cell>
          <cell r="D1504" t="str">
            <v>COMPASS FWD</v>
          </cell>
          <cell r="E1504">
            <v>50819</v>
          </cell>
          <cell r="F1504" t="str">
            <v>Grade 4.8</v>
          </cell>
          <cell r="G1504" t="str">
            <v>Certified</v>
          </cell>
          <cell r="H1504" t="str">
            <v>Yes</v>
          </cell>
          <cell r="I1504" t="str">
            <v>No</v>
          </cell>
          <cell r="J1504">
            <v>45323</v>
          </cell>
          <cell r="K1504" t="str">
            <v>Yes</v>
          </cell>
          <cell r="L1504">
            <v>44707</v>
          </cell>
          <cell r="M1504">
            <v>222</v>
          </cell>
          <cell r="N1504">
            <v>272</v>
          </cell>
          <cell r="O1504">
            <v>15638.6259765625</v>
          </cell>
          <cell r="P1504">
            <v>12547.459144300959</v>
          </cell>
          <cell r="Q1504">
            <v>15629.8251953125</v>
          </cell>
        </row>
        <row r="1505">
          <cell r="A1505" t="str">
            <v>3KPFL4A74JE200960</v>
          </cell>
          <cell r="B1505">
            <v>2018</v>
          </cell>
          <cell r="C1505" t="str">
            <v>KIA</v>
          </cell>
          <cell r="D1505" t="str">
            <v>FORTE</v>
          </cell>
          <cell r="E1505">
            <v>97581</v>
          </cell>
          <cell r="F1505" t="str">
            <v>Grade 2.5</v>
          </cell>
          <cell r="G1505" t="str">
            <v>Green Light</v>
          </cell>
          <cell r="H1505" t="str">
            <v>Yes</v>
          </cell>
          <cell r="I1505" t="str">
            <v>No</v>
          </cell>
          <cell r="J1505">
            <v>45302</v>
          </cell>
          <cell r="K1505" t="str">
            <v>Yes</v>
          </cell>
          <cell r="L1505">
            <v>44707</v>
          </cell>
          <cell r="M1505">
            <v>222</v>
          </cell>
          <cell r="N1505">
            <v>272</v>
          </cell>
          <cell r="O1505">
            <v>3990.859130859375</v>
          </cell>
          <cell r="P1505">
            <v>9024.6820490650625</v>
          </cell>
          <cell r="Q1505">
            <v>3881.8876953125</v>
          </cell>
        </row>
        <row r="1506">
          <cell r="A1506" t="str">
            <v>3N1AB7AP5HY356919</v>
          </cell>
          <cell r="B1506">
            <v>2017</v>
          </cell>
          <cell r="C1506" t="str">
            <v>NISSAN</v>
          </cell>
          <cell r="D1506" t="str">
            <v>SENTRA</v>
          </cell>
          <cell r="E1506">
            <v>119818</v>
          </cell>
          <cell r="F1506" t="str">
            <v>Grade 2.5</v>
          </cell>
          <cell r="G1506" t="str">
            <v>Red Light</v>
          </cell>
          <cell r="H1506" t="str">
            <v>No</v>
          </cell>
          <cell r="I1506" t="str">
            <v>Yes</v>
          </cell>
          <cell r="J1506">
            <v>45309</v>
          </cell>
          <cell r="K1506" t="str">
            <v>Yes</v>
          </cell>
          <cell r="L1506">
            <v>44707</v>
          </cell>
          <cell r="M1506">
            <v>222</v>
          </cell>
          <cell r="N1506">
            <v>272</v>
          </cell>
          <cell r="O1506">
            <v>3376.096923828125</v>
          </cell>
          <cell r="P1506">
            <v>8718.2619345162475</v>
          </cell>
          <cell r="Q1506">
            <v>3296.892578125</v>
          </cell>
        </row>
        <row r="1507">
          <cell r="A1507" t="str">
            <v>WMWZC3C52FWT06563</v>
          </cell>
          <cell r="B1507">
            <v>2015</v>
          </cell>
          <cell r="C1507" t="str">
            <v>MINI</v>
          </cell>
          <cell r="D1507" t="str">
            <v>COUNTRYMAN</v>
          </cell>
          <cell r="E1507">
            <v>34961</v>
          </cell>
          <cell r="F1507" t="str">
            <v>Grade 4.3</v>
          </cell>
          <cell r="G1507" t="str">
            <v>Green/Yellow</v>
          </cell>
          <cell r="H1507" t="str">
            <v>Yes</v>
          </cell>
          <cell r="I1507" t="str">
            <v>No</v>
          </cell>
          <cell r="J1507">
            <v>45342</v>
          </cell>
          <cell r="K1507" t="str">
            <v>Yes</v>
          </cell>
          <cell r="L1507">
            <v>44707</v>
          </cell>
          <cell r="M1507">
            <v>222</v>
          </cell>
          <cell r="N1507">
            <v>272</v>
          </cell>
          <cell r="O1507">
            <v>9900.1298828125</v>
          </cell>
          <cell r="P1507">
            <v>11780.24463585392</v>
          </cell>
          <cell r="Q1507">
            <v>9628.126953125</v>
          </cell>
        </row>
        <row r="1508">
          <cell r="A1508" t="str">
            <v>ZACCJBBT4GPD78436</v>
          </cell>
          <cell r="B1508">
            <v>2016</v>
          </cell>
          <cell r="C1508" t="str">
            <v>JEEP</v>
          </cell>
          <cell r="D1508" t="str">
            <v>RENEGADE</v>
          </cell>
          <cell r="E1508">
            <v>108800</v>
          </cell>
          <cell r="F1508" t="str">
            <v>Grade 4.1</v>
          </cell>
          <cell r="G1508" t="str">
            <v>Certified</v>
          </cell>
          <cell r="H1508" t="str">
            <v>Yes</v>
          </cell>
          <cell r="I1508" t="str">
            <v>No</v>
          </cell>
          <cell r="J1508">
            <v>45300</v>
          </cell>
          <cell r="K1508" t="str">
            <v>Yes</v>
          </cell>
          <cell r="L1508">
            <v>44707</v>
          </cell>
          <cell r="M1508">
            <v>222</v>
          </cell>
          <cell r="N1508">
            <v>272</v>
          </cell>
          <cell r="O1508">
            <v>8542.5234375</v>
          </cell>
          <cell r="P1508">
            <v>9936.3894233106384</v>
          </cell>
          <cell r="Q1508">
            <v>8690.41796875</v>
          </cell>
        </row>
        <row r="1509">
          <cell r="A1509" t="str">
            <v>1C4PJMDS0FW682401</v>
          </cell>
          <cell r="B1509">
            <v>2015</v>
          </cell>
          <cell r="C1509" t="str">
            <v>JEEP</v>
          </cell>
          <cell r="D1509" t="str">
            <v>CHEROKEE</v>
          </cell>
          <cell r="E1509">
            <v>109522</v>
          </cell>
          <cell r="F1509" t="str">
            <v>Grade 3.5</v>
          </cell>
          <cell r="G1509" t="str">
            <v>Green Light</v>
          </cell>
          <cell r="H1509" t="str">
            <v>Yes</v>
          </cell>
          <cell r="I1509" t="str">
            <v>No</v>
          </cell>
          <cell r="J1509">
            <v>45664</v>
          </cell>
          <cell r="K1509" t="str">
            <v>Yes</v>
          </cell>
          <cell r="L1509">
            <v>44827</v>
          </cell>
          <cell r="M1509">
            <v>128</v>
          </cell>
          <cell r="N1509">
            <v>158</v>
          </cell>
          <cell r="O1509">
            <v>6222.640625</v>
          </cell>
          <cell r="P1509">
            <v>9216.579455101135</v>
          </cell>
          <cell r="Q1509">
            <v>6160.89794921875</v>
          </cell>
        </row>
        <row r="1510">
          <cell r="A1510" t="str">
            <v>1FADP3J20JL289174</v>
          </cell>
          <cell r="B1510">
            <v>2018</v>
          </cell>
          <cell r="C1510" t="str">
            <v>FORD</v>
          </cell>
          <cell r="D1510" t="str">
            <v>FOCUS FWD 4C</v>
          </cell>
          <cell r="E1510">
            <v>83784</v>
          </cell>
          <cell r="F1510" t="str">
            <v>Grade 2.6</v>
          </cell>
          <cell r="G1510" t="str">
            <v>Green Light</v>
          </cell>
          <cell r="H1510" t="str">
            <v>Yes</v>
          </cell>
          <cell r="I1510" t="str">
            <v>No</v>
          </cell>
          <cell r="J1510">
            <v>45582</v>
          </cell>
          <cell r="K1510" t="str">
            <v>Yes</v>
          </cell>
          <cell r="L1510">
            <v>44827</v>
          </cell>
          <cell r="M1510">
            <v>128</v>
          </cell>
          <cell r="N1510">
            <v>158</v>
          </cell>
          <cell r="O1510">
            <v>6237.3125</v>
          </cell>
          <cell r="P1510">
            <v>9593.5942605931232</v>
          </cell>
          <cell r="Q1510">
            <v>6180.5615234375</v>
          </cell>
        </row>
        <row r="1511">
          <cell r="A1511" t="str">
            <v>1FMCU9JX1EUD76722</v>
          </cell>
          <cell r="B1511">
            <v>2014</v>
          </cell>
          <cell r="C1511" t="str">
            <v>FORD</v>
          </cell>
          <cell r="D1511" t="str">
            <v>ESCAPE 4X4 4C</v>
          </cell>
          <cell r="E1511">
            <v>133546</v>
          </cell>
          <cell r="F1511" t="str">
            <v>Grade 3.7</v>
          </cell>
          <cell r="G1511" t="str">
            <v>Red Light</v>
          </cell>
          <cell r="H1511" t="str">
            <v>No</v>
          </cell>
          <cell r="I1511" t="str">
            <v>Yes</v>
          </cell>
          <cell r="J1511">
            <v>45659</v>
          </cell>
          <cell r="K1511" t="str">
            <v>Yes</v>
          </cell>
          <cell r="L1511">
            <v>44827</v>
          </cell>
          <cell r="M1511">
            <v>128</v>
          </cell>
          <cell r="N1511">
            <v>158</v>
          </cell>
          <cell r="O1511">
            <v>4116.67431640625</v>
          </cell>
          <cell r="P1511">
            <v>10021.726334401899</v>
          </cell>
          <cell r="Q1511">
            <v>3969.419189453125</v>
          </cell>
        </row>
        <row r="1512">
          <cell r="A1512" t="str">
            <v>1FMJK2ATXMEA38763</v>
          </cell>
          <cell r="B1512">
            <v>2021</v>
          </cell>
          <cell r="C1512" t="str">
            <v>FORD</v>
          </cell>
          <cell r="D1512" t="str">
            <v>EXPEDITION</v>
          </cell>
          <cell r="E1512">
            <v>72564</v>
          </cell>
          <cell r="F1512" t="str">
            <v>Grade 4.0</v>
          </cell>
          <cell r="G1512" t="str">
            <v>Certified</v>
          </cell>
          <cell r="H1512" t="str">
            <v>Yes</v>
          </cell>
          <cell r="I1512" t="str">
            <v>No</v>
          </cell>
          <cell r="J1512">
            <v>45622</v>
          </cell>
          <cell r="K1512" t="str">
            <v>Yes</v>
          </cell>
          <cell r="L1512">
            <v>44827</v>
          </cell>
          <cell r="M1512">
            <v>128</v>
          </cell>
          <cell r="N1512">
            <v>158</v>
          </cell>
          <cell r="O1512">
            <v>23552.189453125</v>
          </cell>
          <cell r="P1512">
            <v>13589.58159258128</v>
          </cell>
          <cell r="Q1512">
            <v>23672.9609375</v>
          </cell>
        </row>
        <row r="1513">
          <cell r="A1513" t="str">
            <v>1G1YB2D75F5110269</v>
          </cell>
          <cell r="B1513">
            <v>2015</v>
          </cell>
          <cell r="C1513" t="str">
            <v>CHEVROLET</v>
          </cell>
          <cell r="D1513" t="str">
            <v>CORVETTE</v>
          </cell>
          <cell r="E1513">
            <v>48468</v>
          </cell>
          <cell r="F1513" t="str">
            <v>Grade 1.3</v>
          </cell>
          <cell r="G1513" t="str">
            <v>Red Light</v>
          </cell>
          <cell r="H1513" t="str">
            <v>No</v>
          </cell>
          <cell r="I1513" t="str">
            <v>Yes</v>
          </cell>
          <cell r="J1513">
            <v>45608</v>
          </cell>
          <cell r="K1513" t="str">
            <v>Yes</v>
          </cell>
          <cell r="L1513">
            <v>44827</v>
          </cell>
          <cell r="M1513">
            <v>128</v>
          </cell>
          <cell r="N1513">
            <v>158</v>
          </cell>
          <cell r="O1513">
            <v>22464.46484375</v>
          </cell>
          <cell r="P1513">
            <v>17766.963281138091</v>
          </cell>
          <cell r="Q1513">
            <v>22576.84375</v>
          </cell>
        </row>
        <row r="1514">
          <cell r="A1514" t="str">
            <v>1GNKRHKD3EJ257868</v>
          </cell>
          <cell r="B1514">
            <v>2014</v>
          </cell>
          <cell r="C1514" t="str">
            <v>CHEVROLET</v>
          </cell>
          <cell r="D1514" t="str">
            <v>TRAVERSE FWD</v>
          </cell>
          <cell r="E1514">
            <v>126929</v>
          </cell>
          <cell r="F1514" t="str">
            <v>Grade 2.8</v>
          </cell>
          <cell r="G1514" t="str">
            <v>Red Light</v>
          </cell>
          <cell r="H1514" t="str">
            <v>No</v>
          </cell>
          <cell r="I1514" t="str">
            <v>Yes</v>
          </cell>
          <cell r="J1514">
            <v>45575</v>
          </cell>
          <cell r="K1514" t="str">
            <v>Yes</v>
          </cell>
          <cell r="L1514">
            <v>44827</v>
          </cell>
          <cell r="M1514">
            <v>128</v>
          </cell>
          <cell r="N1514">
            <v>158</v>
          </cell>
          <cell r="O1514">
            <v>2078.456298828125</v>
          </cell>
          <cell r="P1514">
            <v>9423.0264753820265</v>
          </cell>
          <cell r="Q1514">
            <v>2082.42431640625</v>
          </cell>
        </row>
        <row r="1515">
          <cell r="A1515" t="str">
            <v>1N6BA0EC1CN315077</v>
          </cell>
          <cell r="B1515">
            <v>2012</v>
          </cell>
          <cell r="C1515" t="str">
            <v>NISSAN</v>
          </cell>
          <cell r="D1515" t="str">
            <v>TITAN</v>
          </cell>
          <cell r="E1515">
            <v>115487</v>
          </cell>
          <cell r="F1515" t="str">
            <v>Grade 3.6</v>
          </cell>
          <cell r="G1515" t="str">
            <v>Green Light</v>
          </cell>
          <cell r="H1515" t="str">
            <v>Yes</v>
          </cell>
          <cell r="I1515" t="str">
            <v>No</v>
          </cell>
          <cell r="J1515">
            <v>45538</v>
          </cell>
          <cell r="K1515" t="str">
            <v>Yes</v>
          </cell>
          <cell r="L1515">
            <v>44827</v>
          </cell>
          <cell r="M1515">
            <v>128</v>
          </cell>
          <cell r="N1515">
            <v>158</v>
          </cell>
          <cell r="O1515">
            <v>3390.590576171875</v>
          </cell>
          <cell r="P1515">
            <v>10023.85132876551</v>
          </cell>
          <cell r="Q1515">
            <v>3290.729248046875</v>
          </cell>
        </row>
        <row r="1516">
          <cell r="A1516" t="str">
            <v>2GKALMEKXF6289812</v>
          </cell>
          <cell r="B1516">
            <v>2015</v>
          </cell>
          <cell r="C1516" t="str">
            <v>GMC TRUCK</v>
          </cell>
          <cell r="D1516" t="str">
            <v>TERRAIN FWD 4C</v>
          </cell>
          <cell r="E1516">
            <v>138922</v>
          </cell>
          <cell r="F1516" t="str">
            <v>Grade 2.6</v>
          </cell>
          <cell r="G1516" t="str">
            <v>Green Light</v>
          </cell>
          <cell r="H1516" t="str">
            <v>Yes</v>
          </cell>
          <cell r="I1516" t="str">
            <v>No</v>
          </cell>
          <cell r="J1516">
            <v>45470</v>
          </cell>
          <cell r="K1516" t="str">
            <v>Yes</v>
          </cell>
          <cell r="L1516">
            <v>44827</v>
          </cell>
          <cell r="M1516">
            <v>128</v>
          </cell>
          <cell r="N1516">
            <v>158</v>
          </cell>
          <cell r="O1516">
            <v>2843.375732421875</v>
          </cell>
          <cell r="P1516">
            <v>9299.3436487745803</v>
          </cell>
          <cell r="Q1516">
            <v>2708.66552734375</v>
          </cell>
        </row>
        <row r="1517">
          <cell r="A1517" t="str">
            <v>3GNCJKSB8HL280213</v>
          </cell>
          <cell r="B1517">
            <v>2017</v>
          </cell>
          <cell r="C1517" t="str">
            <v>CHEVROLET</v>
          </cell>
          <cell r="D1517" t="str">
            <v>TRAX</v>
          </cell>
          <cell r="E1517">
            <v>83570</v>
          </cell>
          <cell r="F1517" t="str">
            <v>Grade 3.4</v>
          </cell>
          <cell r="G1517" t="str">
            <v>Green Light</v>
          </cell>
          <cell r="H1517" t="str">
            <v>Yes</v>
          </cell>
          <cell r="I1517" t="str">
            <v>No</v>
          </cell>
          <cell r="J1517">
            <v>45594</v>
          </cell>
          <cell r="K1517" t="str">
            <v>Yes</v>
          </cell>
          <cell r="L1517">
            <v>44827</v>
          </cell>
          <cell r="M1517">
            <v>128</v>
          </cell>
          <cell r="N1517">
            <v>158</v>
          </cell>
          <cell r="O1517">
            <v>7864.1123046875</v>
          </cell>
          <cell r="P1517">
            <v>9580.8043685638295</v>
          </cell>
          <cell r="Q1517">
            <v>8028.48779296875</v>
          </cell>
        </row>
        <row r="1518">
          <cell r="A1518" t="str">
            <v>3GNCJPSB2JL265449</v>
          </cell>
          <cell r="B1518">
            <v>2018</v>
          </cell>
          <cell r="C1518" t="str">
            <v>CHEVROLET</v>
          </cell>
          <cell r="D1518" t="str">
            <v>TRAX AWD</v>
          </cell>
          <cell r="E1518">
            <v>68178</v>
          </cell>
          <cell r="F1518" t="str">
            <v>Grade 3.5</v>
          </cell>
          <cell r="G1518" t="str">
            <v>Red Light</v>
          </cell>
          <cell r="H1518" t="str">
            <v>No</v>
          </cell>
          <cell r="I1518" t="str">
            <v>Yes</v>
          </cell>
          <cell r="J1518">
            <v>45568</v>
          </cell>
          <cell r="K1518" t="str">
            <v>Yes</v>
          </cell>
          <cell r="L1518">
            <v>44827</v>
          </cell>
          <cell r="M1518">
            <v>128</v>
          </cell>
          <cell r="N1518">
            <v>158</v>
          </cell>
          <cell r="O1518">
            <v>12280.1318359375</v>
          </cell>
          <cell r="P1518">
            <v>10058.736274157231</v>
          </cell>
          <cell r="Q1518">
            <v>12452.2919921875</v>
          </cell>
        </row>
        <row r="1519">
          <cell r="A1519" t="str">
            <v>3KPF34AD6LE167601</v>
          </cell>
          <cell r="B1519">
            <v>2020</v>
          </cell>
          <cell r="C1519" t="str">
            <v>KIA</v>
          </cell>
          <cell r="D1519" t="str">
            <v>FORTE</v>
          </cell>
          <cell r="E1519">
            <v>20432</v>
          </cell>
          <cell r="F1519" t="str">
            <v>Grade 1.5</v>
          </cell>
          <cell r="G1519" t="str">
            <v>Inoperable</v>
          </cell>
          <cell r="H1519" t="str">
            <v>No</v>
          </cell>
          <cell r="I1519" t="str">
            <v>Yes</v>
          </cell>
          <cell r="J1519">
            <v>45482</v>
          </cell>
          <cell r="K1519" t="str">
            <v>Yes</v>
          </cell>
          <cell r="L1519">
            <v>44827</v>
          </cell>
          <cell r="M1519">
            <v>128</v>
          </cell>
          <cell r="N1519">
            <v>158</v>
          </cell>
          <cell r="O1519">
            <v>4456.125</v>
          </cell>
          <cell r="P1519">
            <v>12130.580955014289</v>
          </cell>
          <cell r="Q1519">
            <v>17729.408203125</v>
          </cell>
        </row>
        <row r="1520">
          <cell r="A1520" t="str">
            <v>JF1VA1F67F9814564</v>
          </cell>
          <cell r="B1520">
            <v>2015</v>
          </cell>
          <cell r="C1520" t="str">
            <v>SUBARU</v>
          </cell>
          <cell r="D1520" t="str">
            <v>WRX</v>
          </cell>
          <cell r="E1520">
            <v>101576</v>
          </cell>
          <cell r="F1520" t="str">
            <v>Grade 1.5</v>
          </cell>
          <cell r="G1520" t="str">
            <v>Inoperable</v>
          </cell>
          <cell r="H1520" t="str">
            <v>No</v>
          </cell>
          <cell r="I1520" t="str">
            <v>Yes</v>
          </cell>
          <cell r="J1520">
            <v>45678</v>
          </cell>
          <cell r="K1520" t="str">
            <v>Yes</v>
          </cell>
          <cell r="L1520">
            <v>44827</v>
          </cell>
          <cell r="M1520">
            <v>128</v>
          </cell>
          <cell r="N1520">
            <v>158</v>
          </cell>
          <cell r="O1520">
            <v>2551.68115234375</v>
          </cell>
          <cell r="P1520">
            <v>9093.7912444375397</v>
          </cell>
          <cell r="Q1520">
            <v>2338.3408203125</v>
          </cell>
        </row>
        <row r="1521">
          <cell r="A1521" t="str">
            <v>KNDJP3A54J7604235</v>
          </cell>
          <cell r="B1521">
            <v>2018</v>
          </cell>
          <cell r="C1521" t="str">
            <v>KIA</v>
          </cell>
          <cell r="D1521" t="str">
            <v>SOUL</v>
          </cell>
          <cell r="E1521">
            <v>159721</v>
          </cell>
          <cell r="F1521" t="str">
            <v>Grade 1.0</v>
          </cell>
          <cell r="G1521" t="str">
            <v>Inoperable</v>
          </cell>
          <cell r="H1521" t="str">
            <v>No</v>
          </cell>
          <cell r="I1521" t="str">
            <v>Yes</v>
          </cell>
          <cell r="J1521">
            <v>45715</v>
          </cell>
          <cell r="K1521" t="str">
            <v>Yes</v>
          </cell>
          <cell r="L1521">
            <v>44827</v>
          </cell>
          <cell r="M1521">
            <v>128</v>
          </cell>
          <cell r="N1521">
            <v>158</v>
          </cell>
          <cell r="O1521">
            <v>1401.3369140625</v>
          </cell>
          <cell r="P1521">
            <v>8585.5873804235489</v>
          </cell>
          <cell r="Q1521">
            <v>1390.846557617188</v>
          </cell>
        </row>
        <row r="1522">
          <cell r="A1522" t="str">
            <v>1FADP3M27HL281594</v>
          </cell>
          <cell r="B1522">
            <v>2017</v>
          </cell>
          <cell r="C1522" t="str">
            <v>FORD</v>
          </cell>
          <cell r="D1522" t="str">
            <v>FOCUS FWD 4C</v>
          </cell>
          <cell r="E1522">
            <v>103401</v>
          </cell>
          <cell r="F1522" t="str">
            <v>Grade 2.5</v>
          </cell>
          <cell r="G1522" t="str">
            <v>Red Light</v>
          </cell>
          <cell r="H1522" t="str">
            <v>No</v>
          </cell>
          <cell r="I1522" t="str">
            <v>Yes</v>
          </cell>
          <cell r="J1522">
            <v>45323</v>
          </cell>
          <cell r="K1522" t="str">
            <v>Yes</v>
          </cell>
          <cell r="L1522">
            <v>44905</v>
          </cell>
          <cell r="M1522">
            <v>128</v>
          </cell>
          <cell r="N1522">
            <v>158</v>
          </cell>
          <cell r="O1522">
            <v>4726.4072265625</v>
          </cell>
          <cell r="P1522">
            <v>9308.7480287517355</v>
          </cell>
          <cell r="Q1522">
            <v>4646.1630859375</v>
          </cell>
        </row>
        <row r="1523">
          <cell r="A1523" t="str">
            <v>1FMCU9GD7HUC04339</v>
          </cell>
          <cell r="B1523">
            <v>2017</v>
          </cell>
          <cell r="C1523" t="str">
            <v>FORD</v>
          </cell>
          <cell r="D1523" t="str">
            <v>ESCAPE 4X4 4C</v>
          </cell>
          <cell r="E1523">
            <v>184388</v>
          </cell>
          <cell r="F1523" t="str">
            <v>Grade 2.0</v>
          </cell>
          <cell r="G1523" t="str">
            <v>Inoperable</v>
          </cell>
          <cell r="H1523" t="str">
            <v>No</v>
          </cell>
          <cell r="I1523" t="str">
            <v>Yes</v>
          </cell>
          <cell r="J1523">
            <v>45330</v>
          </cell>
          <cell r="K1523" t="str">
            <v>Yes</v>
          </cell>
          <cell r="L1523">
            <v>44905</v>
          </cell>
          <cell r="M1523">
            <v>128</v>
          </cell>
          <cell r="N1523">
            <v>158</v>
          </cell>
          <cell r="O1523">
            <v>3478.4560546875</v>
          </cell>
          <cell r="P1523">
            <v>9188.1392071758946</v>
          </cell>
          <cell r="Q1523">
            <v>3388.529296875</v>
          </cell>
        </row>
        <row r="1524">
          <cell r="A1524" t="str">
            <v>1FMCU9GX3FUA68458</v>
          </cell>
          <cell r="B1524">
            <v>2015</v>
          </cell>
          <cell r="C1524" t="str">
            <v>FORD</v>
          </cell>
          <cell r="D1524" t="str">
            <v>ESCAPE 4X4 4C</v>
          </cell>
          <cell r="E1524">
            <v>139588</v>
          </cell>
          <cell r="F1524" t="str">
            <v>Grade 3.9</v>
          </cell>
          <cell r="G1524" t="str">
            <v>Red Light</v>
          </cell>
          <cell r="H1524" t="str">
            <v>No</v>
          </cell>
          <cell r="I1524" t="str">
            <v>Yes</v>
          </cell>
          <cell r="J1524">
            <v>45309</v>
          </cell>
          <cell r="K1524" t="str">
            <v>Yes</v>
          </cell>
          <cell r="L1524">
            <v>44905</v>
          </cell>
          <cell r="M1524">
            <v>128</v>
          </cell>
          <cell r="N1524">
            <v>158</v>
          </cell>
          <cell r="O1524">
            <v>6123.55908203125</v>
          </cell>
          <cell r="P1524">
            <v>10028.201270641879</v>
          </cell>
          <cell r="Q1524">
            <v>6060.548828125</v>
          </cell>
        </row>
        <row r="1525">
          <cell r="A1525" t="str">
            <v>1GNKRGED8CJ423904</v>
          </cell>
          <cell r="B1525">
            <v>2012</v>
          </cell>
          <cell r="C1525" t="str">
            <v>CHEVROLET</v>
          </cell>
          <cell r="D1525" t="str">
            <v>TRAVERSE FWD</v>
          </cell>
          <cell r="E1525">
            <v>112240</v>
          </cell>
          <cell r="F1525" t="str">
            <v>Grade 3.0</v>
          </cell>
          <cell r="G1525" t="str">
            <v>Inoperable</v>
          </cell>
          <cell r="H1525" t="str">
            <v>No</v>
          </cell>
          <cell r="I1525" t="str">
            <v>Yes</v>
          </cell>
          <cell r="J1525">
            <v>45337</v>
          </cell>
          <cell r="K1525" t="str">
            <v>Yes</v>
          </cell>
          <cell r="L1525">
            <v>44905</v>
          </cell>
          <cell r="M1525">
            <v>128</v>
          </cell>
          <cell r="N1525">
            <v>158</v>
          </cell>
          <cell r="O1525">
            <v>5139.86181640625</v>
          </cell>
          <cell r="P1525">
            <v>9415.0264441686468</v>
          </cell>
          <cell r="Q1525">
            <v>5047.1455078125</v>
          </cell>
        </row>
        <row r="1526">
          <cell r="A1526" t="str">
            <v>2GKFLVEK7F6332921</v>
          </cell>
          <cell r="B1526">
            <v>2015</v>
          </cell>
          <cell r="C1526" t="str">
            <v>GMC</v>
          </cell>
          <cell r="D1526" t="str">
            <v>TERRAIN</v>
          </cell>
          <cell r="E1526">
            <v>114381</v>
          </cell>
          <cell r="F1526" t="str">
            <v>Grade 2.2</v>
          </cell>
          <cell r="G1526" t="str">
            <v>Red Light</v>
          </cell>
          <cell r="H1526" t="str">
            <v>No</v>
          </cell>
          <cell r="I1526" t="str">
            <v>Yes</v>
          </cell>
          <cell r="J1526">
            <v>45412</v>
          </cell>
          <cell r="K1526" t="str">
            <v>Yes</v>
          </cell>
          <cell r="L1526">
            <v>44905</v>
          </cell>
          <cell r="M1526">
            <v>128</v>
          </cell>
          <cell r="N1526">
            <v>158</v>
          </cell>
          <cell r="O1526">
            <v>4475.68994140625</v>
          </cell>
          <cell r="P1526">
            <v>10010.47040408714</v>
          </cell>
          <cell r="Q1526">
            <v>4340.9296875</v>
          </cell>
        </row>
        <row r="1527">
          <cell r="A1527" t="str">
            <v>2GNALBEKXE6100856</v>
          </cell>
          <cell r="B1527">
            <v>2014</v>
          </cell>
          <cell r="C1527" t="str">
            <v>CHEVROLET</v>
          </cell>
          <cell r="D1527" t="str">
            <v>EQUINOX FWD 4C</v>
          </cell>
          <cell r="E1527">
            <v>150703</v>
          </cell>
          <cell r="F1527" t="str">
            <v>Grade 2.2</v>
          </cell>
          <cell r="G1527" t="str">
            <v>Red Light</v>
          </cell>
          <cell r="H1527" t="str">
            <v>No</v>
          </cell>
          <cell r="I1527" t="str">
            <v>Yes</v>
          </cell>
          <cell r="J1527">
            <v>45309</v>
          </cell>
          <cell r="K1527" t="str">
            <v>Yes</v>
          </cell>
          <cell r="L1527">
            <v>44905</v>
          </cell>
          <cell r="M1527">
            <v>128</v>
          </cell>
          <cell r="N1527">
            <v>158</v>
          </cell>
          <cell r="O1527">
            <v>2128.736328125</v>
          </cell>
          <cell r="P1527">
            <v>9295.8318657860473</v>
          </cell>
          <cell r="Q1527">
            <v>2082.649169921875</v>
          </cell>
        </row>
        <row r="1528">
          <cell r="A1528" t="str">
            <v>3GNAXKEX6JS517368</v>
          </cell>
          <cell r="B1528">
            <v>2018</v>
          </cell>
          <cell r="C1528" t="str">
            <v>CHEVROLET</v>
          </cell>
          <cell r="D1528" t="str">
            <v>EQUINOX</v>
          </cell>
          <cell r="E1528">
            <v>65947</v>
          </cell>
          <cell r="F1528" t="str">
            <v>Grade 2.5</v>
          </cell>
          <cell r="G1528" t="str">
            <v>Green/Yellow</v>
          </cell>
          <cell r="H1528" t="str">
            <v>Yes</v>
          </cell>
          <cell r="I1528" t="str">
            <v>No</v>
          </cell>
          <cell r="J1528">
            <v>45356</v>
          </cell>
          <cell r="K1528" t="str">
            <v>Yes</v>
          </cell>
          <cell r="L1528">
            <v>44905</v>
          </cell>
          <cell r="M1528">
            <v>128</v>
          </cell>
          <cell r="N1528">
            <v>158</v>
          </cell>
          <cell r="O1528">
            <v>6636.2080078125</v>
          </cell>
          <cell r="P1528">
            <v>10920.680713582469</v>
          </cell>
          <cell r="Q1528">
            <v>6409.05224609375</v>
          </cell>
        </row>
        <row r="1529">
          <cell r="A1529" t="str">
            <v>3GNAXSEV0JS628156</v>
          </cell>
          <cell r="B1529">
            <v>2018</v>
          </cell>
          <cell r="C1529" t="str">
            <v>CHEVROLET</v>
          </cell>
          <cell r="D1529" t="str">
            <v>EQUINOX</v>
          </cell>
          <cell r="E1529">
            <v>96599</v>
          </cell>
          <cell r="F1529" t="str">
            <v>Grade 2.7</v>
          </cell>
          <cell r="G1529" t="str">
            <v>Green Light</v>
          </cell>
          <cell r="H1529" t="str">
            <v>Yes</v>
          </cell>
          <cell r="I1529" t="str">
            <v>No</v>
          </cell>
          <cell r="J1529">
            <v>45426</v>
          </cell>
          <cell r="K1529" t="str">
            <v>Yes</v>
          </cell>
          <cell r="L1529">
            <v>44905</v>
          </cell>
          <cell r="M1529">
            <v>128</v>
          </cell>
          <cell r="N1529">
            <v>158</v>
          </cell>
          <cell r="O1529">
            <v>5223.4443359375</v>
          </cell>
          <cell r="P1529">
            <v>9650.2678262356312</v>
          </cell>
          <cell r="Q1529">
            <v>5204.9853515625</v>
          </cell>
        </row>
        <row r="1530">
          <cell r="A1530" t="str">
            <v>3MZBN1V74HM135008</v>
          </cell>
          <cell r="B1530">
            <v>2017</v>
          </cell>
          <cell r="C1530" t="str">
            <v>MAZDA</v>
          </cell>
          <cell r="D1530" t="str">
            <v>MAZDA3</v>
          </cell>
          <cell r="E1530">
            <v>109345</v>
          </cell>
          <cell r="F1530" t="str">
            <v>Grade 3.3</v>
          </cell>
          <cell r="G1530" t="str">
            <v>Green Light</v>
          </cell>
          <cell r="H1530" t="str">
            <v>Yes</v>
          </cell>
          <cell r="I1530" t="str">
            <v>No</v>
          </cell>
          <cell r="J1530">
            <v>45356</v>
          </cell>
          <cell r="K1530" t="str">
            <v>Yes</v>
          </cell>
          <cell r="L1530">
            <v>44905</v>
          </cell>
          <cell r="M1530">
            <v>128</v>
          </cell>
          <cell r="N1530">
            <v>158</v>
          </cell>
          <cell r="O1530">
            <v>8589.4990234375</v>
          </cell>
          <cell r="P1530">
            <v>9155.6438253062242</v>
          </cell>
          <cell r="Q1530">
            <v>8648.2099609375</v>
          </cell>
        </row>
        <row r="1531">
          <cell r="A1531" t="str">
            <v>1FMCU0F79KUB53697</v>
          </cell>
          <cell r="B1531">
            <v>2019</v>
          </cell>
          <cell r="C1531" t="str">
            <v>FORD</v>
          </cell>
          <cell r="D1531" t="str">
            <v>ESCAPE FWD 4C</v>
          </cell>
          <cell r="E1531">
            <v>119369</v>
          </cell>
          <cell r="F1531" t="str">
            <v>Grade 3.1</v>
          </cell>
          <cell r="G1531" t="str">
            <v>Red Light</v>
          </cell>
          <cell r="H1531" t="str">
            <v>No</v>
          </cell>
          <cell r="I1531" t="str">
            <v>Yes</v>
          </cell>
          <cell r="J1531">
            <v>45701</v>
          </cell>
          <cell r="K1531" t="str">
            <v>Yes</v>
          </cell>
          <cell r="L1531">
            <v>44907</v>
          </cell>
          <cell r="M1531">
            <v>128</v>
          </cell>
          <cell r="N1531">
            <v>158</v>
          </cell>
          <cell r="O1531">
            <v>9147.0908203125</v>
          </cell>
          <cell r="P1531">
            <v>9403.0774890316879</v>
          </cell>
          <cell r="Q1531">
            <v>9199.7333984375</v>
          </cell>
        </row>
        <row r="1532">
          <cell r="A1532" t="str">
            <v>1GCGTBEN7K1124074</v>
          </cell>
          <cell r="B1532">
            <v>2019</v>
          </cell>
          <cell r="C1532" t="str">
            <v>CHEVROLET</v>
          </cell>
          <cell r="D1532" t="str">
            <v>COLORADO</v>
          </cell>
          <cell r="E1532">
            <v>69321</v>
          </cell>
          <cell r="F1532" t="str">
            <v>Grade 2.9</v>
          </cell>
          <cell r="G1532" t="str">
            <v>Green Light</v>
          </cell>
          <cell r="H1532" t="str">
            <v>Yes</v>
          </cell>
          <cell r="I1532" t="str">
            <v>No</v>
          </cell>
          <cell r="J1532">
            <v>45538</v>
          </cell>
          <cell r="K1532" t="str">
            <v>Yes</v>
          </cell>
          <cell r="L1532">
            <v>44907</v>
          </cell>
          <cell r="M1532">
            <v>128</v>
          </cell>
          <cell r="N1532">
            <v>158</v>
          </cell>
          <cell r="O1532">
            <v>8165.0712890625</v>
          </cell>
          <cell r="P1532">
            <v>10254.57241127656</v>
          </cell>
          <cell r="Q1532">
            <v>8093.9970703125</v>
          </cell>
        </row>
        <row r="1533">
          <cell r="A1533" t="str">
            <v>1N4AL3AP5GC239423</v>
          </cell>
          <cell r="B1533">
            <v>2016</v>
          </cell>
          <cell r="C1533" t="str">
            <v>NISSAN</v>
          </cell>
          <cell r="D1533" t="str">
            <v>ALTIMA</v>
          </cell>
          <cell r="E1533">
            <v>100170</v>
          </cell>
          <cell r="F1533" t="str">
            <v>Grade 3.8</v>
          </cell>
          <cell r="G1533" t="str">
            <v>Certified</v>
          </cell>
          <cell r="H1533" t="str">
            <v>Yes</v>
          </cell>
          <cell r="I1533" t="str">
            <v>No</v>
          </cell>
          <cell r="J1533">
            <v>45300</v>
          </cell>
          <cell r="K1533" t="str">
            <v>Yes</v>
          </cell>
          <cell r="L1533">
            <v>44907</v>
          </cell>
          <cell r="M1533">
            <v>128</v>
          </cell>
          <cell r="N1533">
            <v>158</v>
          </cell>
          <cell r="O1533">
            <v>6549.9853515625</v>
          </cell>
          <cell r="P1533">
            <v>9696.7829323656479</v>
          </cell>
          <cell r="Q1533">
            <v>6526.119140625</v>
          </cell>
        </row>
        <row r="1534">
          <cell r="A1534" t="str">
            <v>1N6AA1E56KN529418</v>
          </cell>
          <cell r="B1534">
            <v>2019</v>
          </cell>
          <cell r="C1534" t="str">
            <v>NISSAN</v>
          </cell>
          <cell r="D1534" t="str">
            <v>TITAN</v>
          </cell>
          <cell r="E1534">
            <v>64433</v>
          </cell>
          <cell r="F1534" t="str">
            <v>Grade 2.8</v>
          </cell>
          <cell r="G1534" t="str">
            <v>Green/Yellow</v>
          </cell>
          <cell r="H1534" t="str">
            <v>Yes</v>
          </cell>
          <cell r="I1534" t="str">
            <v>No</v>
          </cell>
          <cell r="J1534">
            <v>45594</v>
          </cell>
          <cell r="K1534" t="str">
            <v>Yes</v>
          </cell>
          <cell r="L1534">
            <v>44907</v>
          </cell>
          <cell r="M1534">
            <v>128</v>
          </cell>
          <cell r="N1534">
            <v>158</v>
          </cell>
          <cell r="O1534">
            <v>6445.4208984375</v>
          </cell>
          <cell r="P1534">
            <v>11432.986745127</v>
          </cell>
          <cell r="Q1534">
            <v>6072.61572265625</v>
          </cell>
        </row>
        <row r="1535">
          <cell r="A1535" t="str">
            <v>5GAKRAKD4HJ336794</v>
          </cell>
          <cell r="B1535">
            <v>2017</v>
          </cell>
          <cell r="C1535" t="str">
            <v>BUICK</v>
          </cell>
          <cell r="D1535" t="str">
            <v>ENCLAVE</v>
          </cell>
          <cell r="E1535">
            <v>113122</v>
          </cell>
          <cell r="F1535" t="str">
            <v>Grade 2.7</v>
          </cell>
          <cell r="G1535" t="str">
            <v>Red Light</v>
          </cell>
          <cell r="H1535" t="str">
            <v>No</v>
          </cell>
          <cell r="I1535" t="str">
            <v>Yes</v>
          </cell>
          <cell r="J1535">
            <v>45664</v>
          </cell>
          <cell r="K1535" t="str">
            <v>Yes</v>
          </cell>
          <cell r="L1535">
            <v>44907</v>
          </cell>
          <cell r="M1535">
            <v>128</v>
          </cell>
          <cell r="N1535">
            <v>158</v>
          </cell>
          <cell r="O1535">
            <v>2870.773681640625</v>
          </cell>
          <cell r="P1535">
            <v>9054.4935934040259</v>
          </cell>
          <cell r="Q1535">
            <v>2692.84326171875</v>
          </cell>
        </row>
        <row r="1536">
          <cell r="A1536" t="str">
            <v>W04WT3N5XGG060533</v>
          </cell>
          <cell r="B1536">
            <v>2016</v>
          </cell>
          <cell r="C1536" t="str">
            <v>BUICK</v>
          </cell>
          <cell r="D1536" t="str">
            <v>CASCADA</v>
          </cell>
          <cell r="E1536">
            <v>89252</v>
          </cell>
          <cell r="F1536" t="str">
            <v>Grade 3.5</v>
          </cell>
          <cell r="G1536" t="str">
            <v>Red Light</v>
          </cell>
          <cell r="H1536" t="str">
            <v>No</v>
          </cell>
          <cell r="I1536" t="str">
            <v>Yes</v>
          </cell>
          <cell r="J1536">
            <v>45608</v>
          </cell>
          <cell r="K1536" t="str">
            <v>Yes</v>
          </cell>
          <cell r="L1536">
            <v>44907</v>
          </cell>
          <cell r="M1536">
            <v>128</v>
          </cell>
          <cell r="N1536">
            <v>158</v>
          </cell>
          <cell r="O1536">
            <v>7278.958984375</v>
          </cell>
          <cell r="P1536">
            <v>9320.1713283739355</v>
          </cell>
          <cell r="Q1536">
            <v>7289.4951171875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C7A7-60FF-438F-B062-3DF2225E0377}">
  <dimension ref="A1:AA1538"/>
  <sheetViews>
    <sheetView tabSelected="1" topLeftCell="A1483" workbookViewId="0">
      <selection activeCell="R1515" sqref="R1515"/>
    </sheetView>
  </sheetViews>
  <sheetFormatPr defaultRowHeight="14.4" x14ac:dyDescent="0.3"/>
  <cols>
    <col min="1" max="1" width="21.6640625" bestFit="1" customWidth="1"/>
    <col min="2" max="2" width="6.88671875" bestFit="1" customWidth="1"/>
    <col min="3" max="3" width="15.109375" bestFit="1" customWidth="1"/>
    <col min="4" max="4" width="20.44140625" style="17" bestFit="1" customWidth="1"/>
    <col min="5" max="5" width="9.6640625" bestFit="1" customWidth="1"/>
    <col min="6" max="6" width="27.6640625" bestFit="1" customWidth="1"/>
    <col min="7" max="7" width="16" bestFit="1" customWidth="1"/>
    <col min="8" max="8" width="21" bestFit="1" customWidth="1"/>
    <col min="9" max="9" width="19.109375" bestFit="1" customWidth="1"/>
    <col min="10" max="10" width="11.33203125" bestFit="1" customWidth="1"/>
    <col min="11" max="11" width="11" bestFit="1" customWidth="1"/>
    <col min="12" max="12" width="6" bestFit="1" customWidth="1"/>
    <col min="13" max="13" width="17.33203125" bestFit="1" customWidth="1"/>
    <col min="14" max="14" width="12.88671875" bestFit="1" customWidth="1"/>
    <col min="15" max="16" width="13.88671875" bestFit="1" customWidth="1"/>
    <col min="17" max="17" width="13.88671875" hidden="1" customWidth="1"/>
    <col min="18" max="18" width="16.6640625" customWidth="1"/>
    <col min="19" max="19" width="12" style="27" customWidth="1"/>
    <col min="20" max="20" width="14.33203125" bestFit="1" customWidth="1"/>
    <col min="21" max="21" width="12" style="27" customWidth="1"/>
    <col min="22" max="22" width="19.109375" bestFit="1" customWidth="1"/>
    <col min="23" max="23" width="10.88671875" style="27" customWidth="1"/>
  </cols>
  <sheetData>
    <row r="1" spans="1:27" x14ac:dyDescent="0.3">
      <c r="A1" s="1" t="s">
        <v>0</v>
      </c>
      <c r="B1" s="2" t="s">
        <v>1</v>
      </c>
      <c r="C1" s="2" t="s">
        <v>2</v>
      </c>
      <c r="D1" s="1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8" t="s">
        <v>1981</v>
      </c>
      <c r="N1" s="18" t="s">
        <v>1982</v>
      </c>
      <c r="O1" s="21" t="s">
        <v>1985</v>
      </c>
      <c r="P1" s="22" t="s">
        <v>1986</v>
      </c>
      <c r="Q1" s="21" t="s">
        <v>1987</v>
      </c>
      <c r="R1" s="25" t="s">
        <v>1989</v>
      </c>
      <c r="S1" s="26" t="s">
        <v>1992</v>
      </c>
      <c r="T1" s="25" t="s">
        <v>1990</v>
      </c>
      <c r="U1" s="26" t="s">
        <v>1992</v>
      </c>
      <c r="V1" s="25" t="s">
        <v>1991</v>
      </c>
      <c r="W1" s="26" t="s">
        <v>1992</v>
      </c>
    </row>
    <row r="2" spans="1:27" x14ac:dyDescent="0.3">
      <c r="A2" s="4" t="s">
        <v>1860</v>
      </c>
      <c r="B2" s="5">
        <v>2020</v>
      </c>
      <c r="C2" s="5" t="s">
        <v>1401</v>
      </c>
      <c r="D2" s="15" t="s">
        <v>1861</v>
      </c>
      <c r="E2" s="6">
        <v>35978</v>
      </c>
      <c r="F2" s="5" t="s">
        <v>199</v>
      </c>
      <c r="G2" s="5" t="s">
        <v>16</v>
      </c>
      <c r="H2" s="5" t="s">
        <v>17</v>
      </c>
      <c r="I2" s="5" t="s">
        <v>18</v>
      </c>
      <c r="J2" s="7">
        <v>45734</v>
      </c>
      <c r="K2" s="5" t="s">
        <v>17</v>
      </c>
      <c r="L2" s="8">
        <v>44028</v>
      </c>
      <c r="M2" s="19">
        <v>235</v>
      </c>
      <c r="N2" s="19">
        <v>285</v>
      </c>
      <c r="O2" s="24"/>
      <c r="P2" s="24">
        <v>12400</v>
      </c>
      <c r="R2" s="19">
        <f>VLOOKUP(A2,[1]Sheet1!$A$2:$Q$1536,15,FALSE)</f>
        <v>21306.357421875</v>
      </c>
      <c r="S2" s="27">
        <f>(R2-$P2)/R2</f>
        <v>0.41801408122117306</v>
      </c>
      <c r="T2" s="19">
        <f>VLOOKUP(A2,[1]Sheet1!$A$2:$Q$1536,16,FALSE)</f>
        <v>13960.787653071629</v>
      </c>
      <c r="U2" s="27">
        <f>(T2-$P2)/T2</f>
        <v>0.11179796526224131</v>
      </c>
      <c r="V2" s="19">
        <f>VLOOKUP(A2,[1]Sheet1!$A$2:$Q$1536,17,FALSE)</f>
        <v>21119.7890625</v>
      </c>
      <c r="W2" s="27">
        <f>(V2-$P2)/V2</f>
        <v>0.41287292390541602</v>
      </c>
    </row>
    <row r="3" spans="1:27" x14ac:dyDescent="0.3">
      <c r="A3" s="4" t="s">
        <v>1849</v>
      </c>
      <c r="B3" s="5">
        <v>2017</v>
      </c>
      <c r="C3" s="5" t="s">
        <v>1845</v>
      </c>
      <c r="D3" s="15" t="s">
        <v>1846</v>
      </c>
      <c r="E3" s="6">
        <v>55911</v>
      </c>
      <c r="F3" s="5" t="s">
        <v>59</v>
      </c>
      <c r="G3" s="5" t="s">
        <v>16</v>
      </c>
      <c r="H3" s="5" t="s">
        <v>17</v>
      </c>
      <c r="I3" s="5" t="s">
        <v>18</v>
      </c>
      <c r="J3" s="7">
        <v>45608</v>
      </c>
      <c r="K3" s="5" t="s">
        <v>17</v>
      </c>
      <c r="L3" s="8">
        <v>44451</v>
      </c>
      <c r="M3" s="19">
        <v>264</v>
      </c>
      <c r="N3" s="19">
        <v>314</v>
      </c>
      <c r="O3" s="24">
        <v>15250</v>
      </c>
      <c r="P3" s="24">
        <v>14300</v>
      </c>
      <c r="Q3" t="s">
        <v>1984</v>
      </c>
      <c r="R3" s="19">
        <f>VLOOKUP(A3,[1]Sheet1!$A$2:$Q$1536,15,FALSE)</f>
        <v>14421.6923828125</v>
      </c>
      <c r="S3" s="27">
        <f t="shared" ref="S3:S66" si="0">(R3-$P3)/R3</f>
        <v>8.4381485599797339E-3</v>
      </c>
      <c r="T3" s="19">
        <f>VLOOKUP(A3,[1]Sheet1!$A$2:$Q$1536,16,FALSE)</f>
        <v>12269.546950557349</v>
      </c>
      <c r="U3" s="27">
        <f t="shared" ref="U3:U66" si="1">(T3-$P3)/T3</f>
        <v>-0.1654872064653061</v>
      </c>
      <c r="V3" s="19">
        <f>VLOOKUP(A3,[1]Sheet1!$A$2:$Q$1536,17,FALSE)</f>
        <v>14464.45703125</v>
      </c>
      <c r="W3" s="27">
        <f t="shared" ref="W3:W66" si="2">(V3-$P3)/V3</f>
        <v>1.1369734162485035E-2</v>
      </c>
      <c r="Z3">
        <f>RSQ(P2:P1536,R2:R1536)</f>
        <v>0.33312536726220943</v>
      </c>
      <c r="AA3">
        <f>RSQ(P2:P1536,V2:V1536)</f>
        <v>0.32935124745232641</v>
      </c>
    </row>
    <row r="4" spans="1:27" x14ac:dyDescent="0.3">
      <c r="A4" s="4" t="s">
        <v>984</v>
      </c>
      <c r="B4" s="5">
        <v>2019</v>
      </c>
      <c r="C4" s="5" t="s">
        <v>83</v>
      </c>
      <c r="D4" s="15" t="s">
        <v>965</v>
      </c>
      <c r="E4" s="6">
        <v>61571</v>
      </c>
      <c r="F4" s="5" t="s">
        <v>125</v>
      </c>
      <c r="G4" s="5" t="s">
        <v>16</v>
      </c>
      <c r="H4" s="5" t="s">
        <v>17</v>
      </c>
      <c r="I4" s="5" t="s">
        <v>18</v>
      </c>
      <c r="J4" s="7">
        <v>45468</v>
      </c>
      <c r="K4" s="5" t="s">
        <v>17</v>
      </c>
      <c r="L4" s="8">
        <v>43612</v>
      </c>
      <c r="M4" s="19">
        <v>264</v>
      </c>
      <c r="N4" s="19">
        <v>314</v>
      </c>
      <c r="O4" s="24">
        <v>14400</v>
      </c>
      <c r="P4" s="24">
        <v>10200</v>
      </c>
      <c r="Q4" t="s">
        <v>1984</v>
      </c>
      <c r="R4" s="19">
        <f>VLOOKUP(A4,[1]Sheet1!$A$2:$Q$1536,15,FALSE)</f>
        <v>14247.73046875</v>
      </c>
      <c r="S4" s="27">
        <f t="shared" si="0"/>
        <v>0.28409650769489331</v>
      </c>
      <c r="T4" s="19">
        <f>VLOOKUP(A4,[1]Sheet1!$A$2:$Q$1536,16,FALSE)</f>
        <v>11974.74313324745</v>
      </c>
      <c r="U4" s="27">
        <f t="shared" si="1"/>
        <v>0.14820719855943618</v>
      </c>
      <c r="V4" s="19">
        <f>VLOOKUP(A4,[1]Sheet1!$A$2:$Q$1536,17,FALSE)</f>
        <v>14373.279296875</v>
      </c>
      <c r="W4" s="27">
        <f t="shared" si="2"/>
        <v>0.2903498367127913</v>
      </c>
    </row>
    <row r="5" spans="1:27" x14ac:dyDescent="0.3">
      <c r="A5" s="4" t="s">
        <v>1688</v>
      </c>
      <c r="B5" s="5">
        <v>2016</v>
      </c>
      <c r="C5" s="5" t="s">
        <v>1089</v>
      </c>
      <c r="D5" s="15" t="s">
        <v>1090</v>
      </c>
      <c r="E5" s="6">
        <v>92480</v>
      </c>
      <c r="F5" s="5" t="s">
        <v>36</v>
      </c>
      <c r="G5" s="5" t="s">
        <v>28</v>
      </c>
      <c r="H5" s="5" t="s">
        <v>17</v>
      </c>
      <c r="I5" s="5" t="s">
        <v>18</v>
      </c>
      <c r="J5" s="7">
        <v>45356</v>
      </c>
      <c r="K5" s="5" t="s">
        <v>17</v>
      </c>
      <c r="L5" s="8">
        <v>43935</v>
      </c>
      <c r="M5" s="19">
        <v>222</v>
      </c>
      <c r="N5" s="19">
        <v>272</v>
      </c>
      <c r="O5" s="24">
        <v>4700</v>
      </c>
      <c r="P5" s="24">
        <v>2200</v>
      </c>
      <c r="Q5" t="s">
        <v>1984</v>
      </c>
      <c r="R5" s="19">
        <f>VLOOKUP(A5,[1]Sheet1!$A$2:$Q$1536,15,FALSE)</f>
        <v>3429.3828125</v>
      </c>
      <c r="S5" s="27">
        <f t="shared" si="0"/>
        <v>0.35848515016140386</v>
      </c>
      <c r="T5" s="19">
        <f>VLOOKUP(A5,[1]Sheet1!$A$2:$Q$1536,16,FALSE)</f>
        <v>8923.0246962469409</v>
      </c>
      <c r="U5" s="27">
        <f t="shared" si="1"/>
        <v>0.75344683278470259</v>
      </c>
      <c r="V5" s="19">
        <f>VLOOKUP(A5,[1]Sheet1!$A$2:$Q$1536,17,FALSE)</f>
        <v>3351.8466796875</v>
      </c>
      <c r="W5" s="27">
        <f t="shared" si="2"/>
        <v>0.3436453960343106</v>
      </c>
    </row>
    <row r="6" spans="1:27" x14ac:dyDescent="0.3">
      <c r="A6" s="4" t="s">
        <v>1629</v>
      </c>
      <c r="B6" s="5">
        <v>2018</v>
      </c>
      <c r="C6" s="5" t="s">
        <v>519</v>
      </c>
      <c r="D6" s="15" t="s">
        <v>1607</v>
      </c>
      <c r="E6" s="6">
        <v>48678</v>
      </c>
      <c r="F6" s="5" t="s">
        <v>77</v>
      </c>
      <c r="G6" s="5" t="s">
        <v>28</v>
      </c>
      <c r="H6" s="5" t="s">
        <v>17</v>
      </c>
      <c r="I6" s="5" t="s">
        <v>18</v>
      </c>
      <c r="J6" s="7">
        <v>45314</v>
      </c>
      <c r="K6" s="5" t="s">
        <v>17</v>
      </c>
      <c r="L6" s="8">
        <v>44113</v>
      </c>
      <c r="M6" s="19">
        <v>264</v>
      </c>
      <c r="N6" s="19">
        <v>314</v>
      </c>
      <c r="O6" s="24">
        <v>10800</v>
      </c>
      <c r="P6" s="24">
        <v>10300</v>
      </c>
      <c r="Q6" t="s">
        <v>1984</v>
      </c>
      <c r="R6" s="19">
        <f>VLOOKUP(A6,[1]Sheet1!$A$2:$Q$1536,15,FALSE)</f>
        <v>12084.2509765625</v>
      </c>
      <c r="S6" s="27">
        <f t="shared" si="0"/>
        <v>0.14765093674594054</v>
      </c>
      <c r="T6" s="19">
        <f>VLOOKUP(A6,[1]Sheet1!$A$2:$Q$1536,16,FALSE)</f>
        <v>11161.76744676116</v>
      </c>
      <c r="U6" s="27">
        <f t="shared" si="1"/>
        <v>7.7207077720582773E-2</v>
      </c>
      <c r="V6" s="19">
        <f>VLOOKUP(A6,[1]Sheet1!$A$2:$Q$1536,17,FALSE)</f>
        <v>12106.640625</v>
      </c>
      <c r="W6" s="27">
        <f t="shared" si="2"/>
        <v>0.14922724486174296</v>
      </c>
    </row>
    <row r="7" spans="1:27" x14ac:dyDescent="0.3">
      <c r="A7" s="4" t="s">
        <v>1851</v>
      </c>
      <c r="B7" s="5">
        <v>2011</v>
      </c>
      <c r="C7" s="5" t="s">
        <v>1845</v>
      </c>
      <c r="D7" s="15" t="s">
        <v>1846</v>
      </c>
      <c r="E7" s="6">
        <v>99999</v>
      </c>
      <c r="F7" s="5" t="s">
        <v>40</v>
      </c>
      <c r="G7" s="5" t="s">
        <v>25</v>
      </c>
      <c r="H7" s="5" t="s">
        <v>18</v>
      </c>
      <c r="I7" s="5" t="s">
        <v>17</v>
      </c>
      <c r="J7" s="7">
        <v>45706</v>
      </c>
      <c r="K7" s="5" t="s">
        <v>17</v>
      </c>
      <c r="L7" s="8">
        <v>44224</v>
      </c>
      <c r="M7" s="19">
        <v>235</v>
      </c>
      <c r="N7" s="19">
        <v>285</v>
      </c>
      <c r="O7" s="24">
        <v>1800</v>
      </c>
      <c r="P7" s="24">
        <v>1600</v>
      </c>
      <c r="Q7" t="s">
        <v>1984</v>
      </c>
      <c r="R7" s="19">
        <f>VLOOKUP(A7,[1]Sheet1!$A$2:$Q$1536,15,FALSE)</f>
        <v>2534.6220703125</v>
      </c>
      <c r="S7" s="27">
        <f t="shared" si="0"/>
        <v>0.36874218103737577</v>
      </c>
      <c r="T7" s="19">
        <f>VLOOKUP(A7,[1]Sheet1!$A$2:$Q$1536,16,FALSE)</f>
        <v>9386.5687519884341</v>
      </c>
      <c r="U7" s="27">
        <f t="shared" si="1"/>
        <v>0.82954367647271976</v>
      </c>
      <c r="V7" s="19">
        <f>VLOOKUP(A7,[1]Sheet1!$A$2:$Q$1536,17,FALSE)</f>
        <v>2401.01171875</v>
      </c>
      <c r="W7" s="27">
        <f t="shared" si="2"/>
        <v>0.33361424790005517</v>
      </c>
    </row>
    <row r="8" spans="1:27" x14ac:dyDescent="0.3">
      <c r="A8" s="4" t="s">
        <v>1541</v>
      </c>
      <c r="B8" s="5">
        <v>2010</v>
      </c>
      <c r="C8" s="5" t="s">
        <v>1139</v>
      </c>
      <c r="D8" s="15" t="s">
        <v>1540</v>
      </c>
      <c r="E8" s="6">
        <v>141211</v>
      </c>
      <c r="F8" s="5" t="s">
        <v>87</v>
      </c>
      <c r="G8" s="5" t="s">
        <v>25</v>
      </c>
      <c r="H8" s="5" t="s">
        <v>18</v>
      </c>
      <c r="I8" s="5" t="s">
        <v>17</v>
      </c>
      <c r="J8" s="7">
        <v>45664</v>
      </c>
      <c r="K8" s="5" t="s">
        <v>17</v>
      </c>
      <c r="L8" s="8">
        <v>44121</v>
      </c>
      <c r="M8" s="19">
        <v>280</v>
      </c>
      <c r="N8" s="19">
        <v>330</v>
      </c>
      <c r="O8" s="24">
        <v>1300</v>
      </c>
      <c r="P8" s="24">
        <v>1000</v>
      </c>
      <c r="Q8" t="s">
        <v>1984</v>
      </c>
      <c r="R8" s="19">
        <f>VLOOKUP(A8,[1]Sheet1!$A$2:$Q$1536,15,FALSE)</f>
        <v>887.5302734375</v>
      </c>
      <c r="S8" s="27">
        <f t="shared" si="0"/>
        <v>-0.1267221298569261</v>
      </c>
      <c r="T8" s="19">
        <f>VLOOKUP(A8,[1]Sheet1!$A$2:$Q$1536,16,FALSE)</f>
        <v>8986.164644020746</v>
      </c>
      <c r="U8" s="27">
        <f t="shared" si="1"/>
        <v>0.88871781904581681</v>
      </c>
      <c r="V8" s="19">
        <f>VLOOKUP(A8,[1]Sheet1!$A$2:$Q$1536,17,FALSE)</f>
        <v>1083.871215820312</v>
      </c>
      <c r="W8" s="27">
        <f t="shared" si="2"/>
        <v>7.7381163551645149E-2</v>
      </c>
    </row>
    <row r="9" spans="1:27" x14ac:dyDescent="0.3">
      <c r="A9" s="4" t="s">
        <v>361</v>
      </c>
      <c r="B9" s="5">
        <v>2016</v>
      </c>
      <c r="C9" s="5" t="s">
        <v>237</v>
      </c>
      <c r="D9" s="15" t="s">
        <v>339</v>
      </c>
      <c r="E9" s="6">
        <v>136149</v>
      </c>
      <c r="F9" s="5" t="s">
        <v>79</v>
      </c>
      <c r="G9" s="5" t="s">
        <v>22</v>
      </c>
      <c r="H9" s="5" t="s">
        <v>18</v>
      </c>
      <c r="I9" s="5" t="s">
        <v>17</v>
      </c>
      <c r="J9" s="7">
        <v>45295</v>
      </c>
      <c r="K9" s="5" t="s">
        <v>17</v>
      </c>
      <c r="L9" s="8">
        <v>43935</v>
      </c>
      <c r="M9" s="19">
        <v>222</v>
      </c>
      <c r="N9" s="19">
        <v>272</v>
      </c>
      <c r="O9" s="24">
        <v>0</v>
      </c>
      <c r="P9" s="24">
        <v>10300</v>
      </c>
      <c r="Q9" t="s">
        <v>1983</v>
      </c>
      <c r="R9" s="19">
        <f>VLOOKUP(A9,[1]Sheet1!$A$2:$Q$1536,15,FALSE)</f>
        <v>3285.192626953125</v>
      </c>
      <c r="S9" s="27">
        <f t="shared" si="0"/>
        <v>-2.1352803837115655</v>
      </c>
      <c r="T9" s="19">
        <f>VLOOKUP(A9,[1]Sheet1!$A$2:$Q$1536,16,FALSE)</f>
        <v>9244.7031987398877</v>
      </c>
      <c r="U9" s="27">
        <f t="shared" si="1"/>
        <v>-0.11415150693036376</v>
      </c>
      <c r="V9" s="19">
        <f>VLOOKUP(A9,[1]Sheet1!$A$2:$Q$1536,17,FALSE)</f>
        <v>3241.23095703125</v>
      </c>
      <c r="W9" s="27">
        <f t="shared" si="2"/>
        <v>-2.1778050180768695</v>
      </c>
    </row>
    <row r="10" spans="1:27" x14ac:dyDescent="0.3">
      <c r="A10" s="4" t="s">
        <v>1723</v>
      </c>
      <c r="B10" s="5">
        <v>2017</v>
      </c>
      <c r="C10" s="5" t="s">
        <v>1089</v>
      </c>
      <c r="D10" s="15" t="s">
        <v>1720</v>
      </c>
      <c r="E10" s="6">
        <v>103620</v>
      </c>
      <c r="F10" s="5" t="s">
        <v>21</v>
      </c>
      <c r="G10" s="5" t="s">
        <v>22</v>
      </c>
      <c r="H10" s="5" t="s">
        <v>18</v>
      </c>
      <c r="I10" s="5" t="s">
        <v>17</v>
      </c>
      <c r="J10" s="7">
        <v>45664</v>
      </c>
      <c r="K10" s="5" t="s">
        <v>17</v>
      </c>
      <c r="L10" s="8">
        <v>43612</v>
      </c>
      <c r="M10" s="19">
        <v>264</v>
      </c>
      <c r="N10" s="19">
        <v>314</v>
      </c>
      <c r="O10" s="24">
        <v>800</v>
      </c>
      <c r="P10" s="24">
        <v>800</v>
      </c>
      <c r="Q10" t="s">
        <v>1984</v>
      </c>
      <c r="R10" s="19">
        <f>VLOOKUP(A10,[1]Sheet1!$A$2:$Q$1536,15,FALSE)</f>
        <v>2378.755615234375</v>
      </c>
      <c r="S10" s="27">
        <f t="shared" si="0"/>
        <v>0.66368970613184353</v>
      </c>
      <c r="T10" s="19">
        <f>VLOOKUP(A10,[1]Sheet1!$A$2:$Q$1536,16,FALSE)</f>
        <v>8678.450593179783</v>
      </c>
      <c r="U10" s="27">
        <f t="shared" si="1"/>
        <v>0.90781764654756414</v>
      </c>
      <c r="V10" s="19">
        <f>VLOOKUP(A10,[1]Sheet1!$A$2:$Q$1536,17,FALSE)</f>
        <v>2319.4345703125</v>
      </c>
      <c r="W10" s="27">
        <f t="shared" si="2"/>
        <v>0.65508835203218729</v>
      </c>
    </row>
    <row r="11" spans="1:27" x14ac:dyDescent="0.3">
      <c r="A11" s="4" t="s">
        <v>1799</v>
      </c>
      <c r="B11" s="5">
        <v>2017</v>
      </c>
      <c r="C11" s="5" t="s">
        <v>1086</v>
      </c>
      <c r="D11" s="15" t="s">
        <v>1788</v>
      </c>
      <c r="E11" s="6">
        <v>69612</v>
      </c>
      <c r="F11" s="5" t="s">
        <v>158</v>
      </c>
      <c r="G11" s="5" t="s">
        <v>16</v>
      </c>
      <c r="H11" s="5" t="s">
        <v>17</v>
      </c>
      <c r="I11" s="5" t="s">
        <v>18</v>
      </c>
      <c r="J11" s="7">
        <v>45440</v>
      </c>
      <c r="K11" s="5" t="s">
        <v>17</v>
      </c>
      <c r="L11" s="8">
        <v>44307</v>
      </c>
      <c r="M11" s="19">
        <v>235</v>
      </c>
      <c r="N11" s="19">
        <v>285</v>
      </c>
      <c r="O11" s="24">
        <v>12500</v>
      </c>
      <c r="P11" s="24">
        <v>12000</v>
      </c>
      <c r="Q11" t="s">
        <v>1984</v>
      </c>
      <c r="R11" s="19">
        <f>VLOOKUP(A11,[1]Sheet1!$A$2:$Q$1536,15,FALSE)</f>
        <v>9340.134765625</v>
      </c>
      <c r="S11" s="27">
        <f t="shared" si="0"/>
        <v>-0.28477803598340412</v>
      </c>
      <c r="T11" s="19">
        <f>VLOOKUP(A11,[1]Sheet1!$A$2:$Q$1536,16,FALSE)</f>
        <v>10082.33935996867</v>
      </c>
      <c r="U11" s="27">
        <f t="shared" si="1"/>
        <v>-0.19019996962662139</v>
      </c>
      <c r="V11" s="19">
        <f>VLOOKUP(A11,[1]Sheet1!$A$2:$Q$1536,17,FALSE)</f>
        <v>9504.462890625</v>
      </c>
      <c r="W11" s="27">
        <f t="shared" si="2"/>
        <v>-0.2625647696343309</v>
      </c>
    </row>
    <row r="12" spans="1:27" x14ac:dyDescent="0.3">
      <c r="A12" s="4" t="s">
        <v>1416</v>
      </c>
      <c r="B12" s="5">
        <v>2014</v>
      </c>
      <c r="C12" s="5" t="s">
        <v>1086</v>
      </c>
      <c r="D12" s="15" t="s">
        <v>1411</v>
      </c>
      <c r="E12" s="6">
        <v>150642</v>
      </c>
      <c r="F12" s="5" t="s">
        <v>66</v>
      </c>
      <c r="G12" s="5" t="s">
        <v>25</v>
      </c>
      <c r="H12" s="5" t="s">
        <v>18</v>
      </c>
      <c r="I12" s="5" t="s">
        <v>17</v>
      </c>
      <c r="J12" s="7">
        <v>45566</v>
      </c>
      <c r="K12" s="5" t="s">
        <v>17</v>
      </c>
      <c r="L12" s="8">
        <v>43950</v>
      </c>
      <c r="M12" s="19">
        <v>264</v>
      </c>
      <c r="N12" s="19">
        <v>314</v>
      </c>
      <c r="O12" s="24">
        <v>3000</v>
      </c>
      <c r="P12" s="24">
        <v>2300</v>
      </c>
      <c r="Q12" t="s">
        <v>1984</v>
      </c>
      <c r="R12" s="19">
        <f>VLOOKUP(A12,[1]Sheet1!$A$2:$Q$1536,15,FALSE)</f>
        <v>552.16729736328125</v>
      </c>
      <c r="S12" s="27">
        <f t="shared" si="0"/>
        <v>-3.1654042370546018</v>
      </c>
      <c r="T12" s="19">
        <f>VLOOKUP(A12,[1]Sheet1!$A$2:$Q$1536,16,FALSE)</f>
        <v>8547.4042835727287</v>
      </c>
      <c r="U12" s="27">
        <f t="shared" si="1"/>
        <v>0.73091245907013269</v>
      </c>
      <c r="V12" s="19">
        <f>VLOOKUP(A12,[1]Sheet1!$A$2:$Q$1536,17,FALSE)</f>
        <v>933.41363525390625</v>
      </c>
      <c r="W12" s="27">
        <f t="shared" si="2"/>
        <v>-1.4640737108734825</v>
      </c>
    </row>
    <row r="13" spans="1:27" x14ac:dyDescent="0.3">
      <c r="A13" s="4" t="s">
        <v>906</v>
      </c>
      <c r="B13" s="5">
        <v>2014</v>
      </c>
      <c r="C13" s="5" t="s">
        <v>30</v>
      </c>
      <c r="D13" s="15" t="s">
        <v>31</v>
      </c>
      <c r="E13" s="6">
        <v>113284</v>
      </c>
      <c r="F13" s="5" t="s">
        <v>77</v>
      </c>
      <c r="G13" s="5" t="s">
        <v>28</v>
      </c>
      <c r="H13" s="5" t="s">
        <v>17</v>
      </c>
      <c r="I13" s="5" t="s">
        <v>18</v>
      </c>
      <c r="J13" s="7">
        <v>45454</v>
      </c>
      <c r="K13" s="5" t="s">
        <v>17</v>
      </c>
      <c r="L13" s="8">
        <v>44310</v>
      </c>
      <c r="M13" s="19">
        <v>235</v>
      </c>
      <c r="N13" s="19">
        <v>285</v>
      </c>
      <c r="O13" s="24">
        <v>8900</v>
      </c>
      <c r="P13" s="24">
        <v>4900</v>
      </c>
      <c r="Q13" t="s">
        <v>1984</v>
      </c>
      <c r="R13" s="19">
        <f>VLOOKUP(A13,[1]Sheet1!$A$2:$Q$1536,15,FALSE)</f>
        <v>6606.3037109375</v>
      </c>
      <c r="S13" s="27">
        <f t="shared" si="0"/>
        <v>0.25828417608359677</v>
      </c>
      <c r="T13" s="19">
        <f>VLOOKUP(A13,[1]Sheet1!$A$2:$Q$1536,16,FALSE)</f>
        <v>9123.1572516842189</v>
      </c>
      <c r="U13" s="27">
        <f t="shared" si="1"/>
        <v>0.46290523501659309</v>
      </c>
      <c r="V13" s="19">
        <f>VLOOKUP(A13,[1]Sheet1!$A$2:$Q$1536,17,FALSE)</f>
        <v>6627.66259765625</v>
      </c>
      <c r="W13" s="27">
        <f t="shared" si="2"/>
        <v>0.2606744945446085</v>
      </c>
    </row>
    <row r="14" spans="1:27" x14ac:dyDescent="0.3">
      <c r="A14" s="4" t="s">
        <v>834</v>
      </c>
      <c r="B14" s="5">
        <v>2015</v>
      </c>
      <c r="C14" s="5" t="s">
        <v>571</v>
      </c>
      <c r="D14" s="15" t="s">
        <v>826</v>
      </c>
      <c r="E14" s="6">
        <v>63493</v>
      </c>
      <c r="F14" s="5" t="s">
        <v>125</v>
      </c>
      <c r="G14" s="5" t="s">
        <v>16</v>
      </c>
      <c r="H14" s="5" t="s">
        <v>17</v>
      </c>
      <c r="I14" s="5" t="s">
        <v>18</v>
      </c>
      <c r="J14" s="7">
        <v>45386</v>
      </c>
      <c r="K14" s="5" t="s">
        <v>17</v>
      </c>
      <c r="L14" s="8">
        <v>44307</v>
      </c>
      <c r="M14" s="19">
        <v>235</v>
      </c>
      <c r="N14" s="19">
        <v>285</v>
      </c>
      <c r="O14" s="24">
        <v>0</v>
      </c>
      <c r="P14" s="24">
        <v>2600</v>
      </c>
      <c r="Q14" t="s">
        <v>1983</v>
      </c>
      <c r="R14" s="19">
        <f>VLOOKUP(A14,[1]Sheet1!$A$2:$Q$1536,15,FALSE)</f>
        <v>12158.224609375</v>
      </c>
      <c r="S14" s="27">
        <f t="shared" si="0"/>
        <v>0.78615298832403668</v>
      </c>
      <c r="T14" s="19">
        <f>VLOOKUP(A14,[1]Sheet1!$A$2:$Q$1536,16,FALSE)</f>
        <v>12136.02185862543</v>
      </c>
      <c r="U14" s="27">
        <f t="shared" si="1"/>
        <v>0.78576175700012418</v>
      </c>
      <c r="V14" s="19">
        <f>VLOOKUP(A14,[1]Sheet1!$A$2:$Q$1536,17,FALSE)</f>
        <v>12070.8740234375</v>
      </c>
      <c r="W14" s="27">
        <f t="shared" si="2"/>
        <v>0.78460548963134802</v>
      </c>
    </row>
    <row r="15" spans="1:27" x14ac:dyDescent="0.3">
      <c r="A15" s="4" t="s">
        <v>1249</v>
      </c>
      <c r="B15" s="5">
        <v>2014</v>
      </c>
      <c r="C15" s="5" t="s">
        <v>920</v>
      </c>
      <c r="D15" s="15" t="s">
        <v>1241</v>
      </c>
      <c r="E15" s="6">
        <v>53748</v>
      </c>
      <c r="F15" s="5" t="s">
        <v>246</v>
      </c>
      <c r="G15" s="5" t="s">
        <v>16</v>
      </c>
      <c r="H15" s="5" t="s">
        <v>17</v>
      </c>
      <c r="I15" s="5" t="s">
        <v>18</v>
      </c>
      <c r="J15" s="7">
        <v>45594</v>
      </c>
      <c r="K15" s="5" t="s">
        <v>17</v>
      </c>
      <c r="L15" s="8">
        <v>44310</v>
      </c>
      <c r="M15" s="19">
        <v>235</v>
      </c>
      <c r="N15" s="19">
        <v>285</v>
      </c>
      <c r="O15" s="24">
        <v>13700</v>
      </c>
      <c r="P15" s="24">
        <v>12000</v>
      </c>
      <c r="Q15" t="s">
        <v>1984</v>
      </c>
      <c r="R15" s="19">
        <f>VLOOKUP(A15,[1]Sheet1!$A$2:$Q$1536,15,FALSE)</f>
        <v>12099.74609375</v>
      </c>
      <c r="S15" s="27">
        <f t="shared" si="0"/>
        <v>8.2436518070013731E-3</v>
      </c>
      <c r="T15" s="19">
        <f>VLOOKUP(A15,[1]Sheet1!$A$2:$Q$1536,16,FALSE)</f>
        <v>12480.811549847869</v>
      </c>
      <c r="U15" s="27">
        <f t="shared" si="1"/>
        <v>3.852406135029976E-2</v>
      </c>
      <c r="V15" s="19">
        <f>VLOOKUP(A15,[1]Sheet1!$A$2:$Q$1536,17,FALSE)</f>
        <v>11980.67578125</v>
      </c>
      <c r="W15" s="27">
        <f t="shared" si="2"/>
        <v>-1.6129489774059985E-3</v>
      </c>
    </row>
    <row r="16" spans="1:27" x14ac:dyDescent="0.3">
      <c r="A16" s="4" t="s">
        <v>1857</v>
      </c>
      <c r="B16" s="5">
        <v>2018</v>
      </c>
      <c r="C16" s="5" t="s">
        <v>1845</v>
      </c>
      <c r="D16" s="15" t="s">
        <v>1853</v>
      </c>
      <c r="E16" s="6">
        <v>74366</v>
      </c>
      <c r="F16" s="5" t="s">
        <v>42</v>
      </c>
      <c r="G16" s="5" t="s">
        <v>25</v>
      </c>
      <c r="H16" s="5" t="s">
        <v>18</v>
      </c>
      <c r="I16" s="5" t="s">
        <v>17</v>
      </c>
      <c r="J16" s="7">
        <v>45594</v>
      </c>
      <c r="K16" s="5" t="s">
        <v>17</v>
      </c>
      <c r="L16" s="8">
        <v>43612</v>
      </c>
      <c r="M16" s="19">
        <v>264</v>
      </c>
      <c r="N16" s="19">
        <v>314</v>
      </c>
      <c r="O16" s="24">
        <v>9400</v>
      </c>
      <c r="P16" s="24">
        <v>7000</v>
      </c>
      <c r="Q16" t="s">
        <v>1984</v>
      </c>
      <c r="R16" s="19">
        <f>VLOOKUP(A16,[1]Sheet1!$A$2:$Q$1536,15,FALSE)</f>
        <v>6898.240234375</v>
      </c>
      <c r="S16" s="27">
        <f t="shared" si="0"/>
        <v>-1.4751554333801731E-2</v>
      </c>
      <c r="T16" s="19">
        <f>VLOOKUP(A16,[1]Sheet1!$A$2:$Q$1536,16,FALSE)</f>
        <v>9448.5837605043835</v>
      </c>
      <c r="U16" s="27">
        <f t="shared" si="1"/>
        <v>0.25914823031358442</v>
      </c>
      <c r="V16" s="19">
        <f>VLOOKUP(A16,[1]Sheet1!$A$2:$Q$1536,17,FALSE)</f>
        <v>6932.6611328125</v>
      </c>
      <c r="W16" s="27">
        <f t="shared" si="2"/>
        <v>-9.7132783353253861E-3</v>
      </c>
    </row>
    <row r="17" spans="1:23" x14ac:dyDescent="0.3">
      <c r="A17" s="4" t="s">
        <v>407</v>
      </c>
      <c r="B17" s="5">
        <v>2015</v>
      </c>
      <c r="C17" s="5" t="s">
        <v>391</v>
      </c>
      <c r="D17" s="15" t="s">
        <v>394</v>
      </c>
      <c r="E17" s="6">
        <v>127644</v>
      </c>
      <c r="F17" s="5" t="s">
        <v>42</v>
      </c>
      <c r="G17" s="5" t="s">
        <v>28</v>
      </c>
      <c r="H17" s="5" t="s">
        <v>17</v>
      </c>
      <c r="I17" s="5" t="s">
        <v>18</v>
      </c>
      <c r="J17" s="7">
        <v>45498</v>
      </c>
      <c r="K17" s="5" t="s">
        <v>17</v>
      </c>
      <c r="L17" s="8">
        <v>44137</v>
      </c>
      <c r="M17" s="19">
        <v>280</v>
      </c>
      <c r="N17" s="19">
        <v>330</v>
      </c>
      <c r="O17" s="24">
        <v>4800</v>
      </c>
      <c r="P17" s="24">
        <v>3200</v>
      </c>
      <c r="Q17" t="s">
        <v>1984</v>
      </c>
      <c r="R17" s="19">
        <f>VLOOKUP(A17,[1]Sheet1!$A$2:$Q$1536,15,FALSE)</f>
        <v>1553.473999023438</v>
      </c>
      <c r="S17" s="27">
        <f t="shared" si="0"/>
        <v>-1.0598992979680506</v>
      </c>
      <c r="T17" s="19">
        <f>VLOOKUP(A17,[1]Sheet1!$A$2:$Q$1536,16,FALSE)</f>
        <v>9347.2070446318994</v>
      </c>
      <c r="U17" s="27">
        <f t="shared" si="1"/>
        <v>0.65765174723098063</v>
      </c>
      <c r="V17" s="19">
        <f>VLOOKUP(A17,[1]Sheet1!$A$2:$Q$1536,17,FALSE)</f>
        <v>1553.711303710938</v>
      </c>
      <c r="W17" s="27">
        <f t="shared" si="2"/>
        <v>-1.059584681116118</v>
      </c>
    </row>
    <row r="18" spans="1:23" x14ac:dyDescent="0.3">
      <c r="A18" s="4" t="s">
        <v>366</v>
      </c>
      <c r="B18" s="5">
        <v>2014</v>
      </c>
      <c r="C18" s="5" t="s">
        <v>237</v>
      </c>
      <c r="D18" s="15" t="s">
        <v>339</v>
      </c>
      <c r="E18" s="6">
        <v>133546</v>
      </c>
      <c r="F18" s="5" t="s">
        <v>92</v>
      </c>
      <c r="G18" s="5" t="s">
        <v>25</v>
      </c>
      <c r="H18" s="5" t="s">
        <v>18</v>
      </c>
      <c r="I18" s="5" t="s">
        <v>17</v>
      </c>
      <c r="J18" s="7">
        <v>45659</v>
      </c>
      <c r="K18" s="5" t="s">
        <v>17</v>
      </c>
      <c r="L18" s="8">
        <v>44827</v>
      </c>
      <c r="M18" s="19">
        <v>128</v>
      </c>
      <c r="N18" s="19">
        <v>158</v>
      </c>
      <c r="O18" s="24">
        <v>0</v>
      </c>
      <c r="P18" s="24">
        <v>3700</v>
      </c>
      <c r="Q18" t="s">
        <v>1983</v>
      </c>
      <c r="R18" s="19">
        <f>VLOOKUP(A18,[1]Sheet1!$A$2:$Q$1536,15,FALSE)</f>
        <v>4116.67431640625</v>
      </c>
      <c r="S18" s="27">
        <f t="shared" si="0"/>
        <v>0.1012162450514171</v>
      </c>
      <c r="T18" s="19">
        <f>VLOOKUP(A18,[1]Sheet1!$A$2:$Q$1536,16,FALSE)</f>
        <v>10021.726334401899</v>
      </c>
      <c r="U18" s="27">
        <f t="shared" si="1"/>
        <v>0.63080213163485699</v>
      </c>
      <c r="V18" s="19">
        <f>VLOOKUP(A18,[1]Sheet1!$A$2:$Q$1536,17,FALSE)</f>
        <v>3969.419189453125</v>
      </c>
      <c r="W18" s="27">
        <f t="shared" si="2"/>
        <v>6.7873705596269721E-2</v>
      </c>
    </row>
    <row r="19" spans="1:23" x14ac:dyDescent="0.3">
      <c r="A19" s="4" t="s">
        <v>1527</v>
      </c>
      <c r="B19" s="5">
        <v>2015</v>
      </c>
      <c r="C19" s="5" t="s">
        <v>1139</v>
      </c>
      <c r="D19" s="15" t="s">
        <v>1528</v>
      </c>
      <c r="E19" s="6">
        <v>70025</v>
      </c>
      <c r="F19" s="5" t="s">
        <v>87</v>
      </c>
      <c r="G19" s="5" t="s">
        <v>28</v>
      </c>
      <c r="H19" s="5" t="s">
        <v>17</v>
      </c>
      <c r="I19" s="5" t="s">
        <v>18</v>
      </c>
      <c r="J19" s="7">
        <v>45365</v>
      </c>
      <c r="K19" s="5" t="s">
        <v>17</v>
      </c>
      <c r="L19" s="8">
        <v>44054</v>
      </c>
      <c r="M19" s="19">
        <v>235</v>
      </c>
      <c r="N19" s="19">
        <v>285</v>
      </c>
      <c r="O19" s="24">
        <v>8000</v>
      </c>
      <c r="P19" s="24">
        <v>4000</v>
      </c>
      <c r="Q19" t="s">
        <v>1984</v>
      </c>
      <c r="R19" s="19">
        <f>VLOOKUP(A19,[1]Sheet1!$A$2:$Q$1536,15,FALSE)</f>
        <v>4404.2509765625</v>
      </c>
      <c r="S19" s="27">
        <f t="shared" si="0"/>
        <v>9.1786544116978605E-2</v>
      </c>
      <c r="T19" s="19">
        <f>VLOOKUP(A19,[1]Sheet1!$A$2:$Q$1536,16,FALSE)</f>
        <v>9458.8672811137621</v>
      </c>
      <c r="U19" s="27">
        <f t="shared" si="1"/>
        <v>0.5771163839050073</v>
      </c>
      <c r="V19" s="19">
        <f>VLOOKUP(A19,[1]Sheet1!$A$2:$Q$1536,17,FALSE)</f>
        <v>4499.12060546875</v>
      </c>
      <c r="W19" s="27">
        <f t="shared" si="2"/>
        <v>0.11093736959664101</v>
      </c>
    </row>
    <row r="20" spans="1:23" x14ac:dyDescent="0.3">
      <c r="A20" s="4" t="s">
        <v>287</v>
      </c>
      <c r="B20" s="5">
        <v>2013</v>
      </c>
      <c r="C20" s="5" t="s">
        <v>237</v>
      </c>
      <c r="D20" s="15" t="s">
        <v>288</v>
      </c>
      <c r="E20" s="6">
        <v>201631</v>
      </c>
      <c r="F20" s="5" t="s">
        <v>77</v>
      </c>
      <c r="G20" s="5" t="s">
        <v>25</v>
      </c>
      <c r="H20" s="5" t="s">
        <v>18</v>
      </c>
      <c r="I20" s="5" t="s">
        <v>17</v>
      </c>
      <c r="J20" s="7">
        <v>45323</v>
      </c>
      <c r="K20" s="5" t="s">
        <v>17</v>
      </c>
      <c r="L20" s="8">
        <v>44128</v>
      </c>
      <c r="M20" s="19">
        <v>264</v>
      </c>
      <c r="N20" s="19">
        <v>314</v>
      </c>
      <c r="O20" s="24">
        <v>0</v>
      </c>
      <c r="P20" s="24">
        <v>8800</v>
      </c>
      <c r="Q20" t="s">
        <v>1983</v>
      </c>
      <c r="R20" s="19">
        <f>VLOOKUP(A20,[1]Sheet1!$A$2:$Q$1536,15,FALSE)</f>
        <v>3351.07275390625</v>
      </c>
      <c r="S20" s="27">
        <f t="shared" si="0"/>
        <v>-1.6260247527428615</v>
      </c>
      <c r="T20" s="19">
        <f>VLOOKUP(A20,[1]Sheet1!$A$2:$Q$1536,16,FALSE)</f>
        <v>9298.1553125163864</v>
      </c>
      <c r="U20" s="27">
        <f t="shared" si="1"/>
        <v>5.3575714297416831E-2</v>
      </c>
      <c r="V20" s="19">
        <f>VLOOKUP(A20,[1]Sheet1!$A$2:$Q$1536,17,FALSE)</f>
        <v>3278.65771484375</v>
      </c>
      <c r="W20" s="27">
        <f t="shared" si="2"/>
        <v>-1.6840252217116172</v>
      </c>
    </row>
    <row r="21" spans="1:23" x14ac:dyDescent="0.3">
      <c r="A21" s="4" t="s">
        <v>1144</v>
      </c>
      <c r="B21" s="5">
        <v>2014</v>
      </c>
      <c r="C21" s="5" t="s">
        <v>636</v>
      </c>
      <c r="D21" s="15" t="s">
        <v>1142</v>
      </c>
      <c r="E21" s="6">
        <v>119104</v>
      </c>
      <c r="F21" s="5" t="s">
        <v>32</v>
      </c>
      <c r="G21" s="5" t="s">
        <v>25</v>
      </c>
      <c r="H21" s="5" t="s">
        <v>18</v>
      </c>
      <c r="I21" s="5" t="s">
        <v>17</v>
      </c>
      <c r="J21" s="7">
        <v>45454</v>
      </c>
      <c r="K21" s="5" t="s">
        <v>17</v>
      </c>
      <c r="L21" s="8">
        <v>44067</v>
      </c>
      <c r="M21" s="19">
        <v>235</v>
      </c>
      <c r="N21" s="19">
        <v>285</v>
      </c>
      <c r="O21" s="24">
        <v>2600</v>
      </c>
      <c r="P21" s="24">
        <v>2000</v>
      </c>
      <c r="Q21" t="s">
        <v>1984</v>
      </c>
      <c r="R21" s="19">
        <f>VLOOKUP(A21,[1]Sheet1!$A$2:$Q$1536,15,FALSE)</f>
        <v>1655.741821289062</v>
      </c>
      <c r="S21" s="27">
        <f t="shared" si="0"/>
        <v>-0.20791778904450153</v>
      </c>
      <c r="T21" s="19">
        <f>VLOOKUP(A21,[1]Sheet1!$A$2:$Q$1536,16,FALSE)</f>
        <v>8641.4273217065711</v>
      </c>
      <c r="U21" s="27">
        <f t="shared" si="1"/>
        <v>0.76855675277437552</v>
      </c>
      <c r="V21" s="19">
        <f>VLOOKUP(A21,[1]Sheet1!$A$2:$Q$1536,17,FALSE)</f>
        <v>1609.140869140625</v>
      </c>
      <c r="W21" s="27">
        <f t="shared" si="2"/>
        <v>-0.24289926280234034</v>
      </c>
    </row>
    <row r="22" spans="1:23" x14ac:dyDescent="0.3">
      <c r="A22" s="4" t="s">
        <v>706</v>
      </c>
      <c r="B22" s="5">
        <v>2014</v>
      </c>
      <c r="C22" s="5" t="s">
        <v>237</v>
      </c>
      <c r="D22" s="15" t="s">
        <v>245</v>
      </c>
      <c r="E22" s="6">
        <v>70710</v>
      </c>
      <c r="F22" s="5" t="s">
        <v>144</v>
      </c>
      <c r="G22" s="5" t="s">
        <v>25</v>
      </c>
      <c r="H22" s="5" t="s">
        <v>18</v>
      </c>
      <c r="I22" s="5" t="s">
        <v>17</v>
      </c>
      <c r="J22" s="7">
        <v>45622</v>
      </c>
      <c r="K22" s="5" t="s">
        <v>17</v>
      </c>
      <c r="L22" s="8">
        <v>44224</v>
      </c>
      <c r="M22" s="19">
        <v>235</v>
      </c>
      <c r="N22" s="19">
        <v>285</v>
      </c>
      <c r="O22" s="24">
        <v>7500</v>
      </c>
      <c r="P22" s="24">
        <v>1400</v>
      </c>
      <c r="Q22" t="s">
        <v>1984</v>
      </c>
      <c r="R22" s="19">
        <f>VLOOKUP(A22,[1]Sheet1!$A$2:$Q$1536,15,FALSE)</f>
        <v>5251.00927734375</v>
      </c>
      <c r="S22" s="27">
        <f t="shared" si="0"/>
        <v>0.73338458836084985</v>
      </c>
      <c r="T22" s="19">
        <f>VLOOKUP(A22,[1]Sheet1!$A$2:$Q$1536,16,FALSE)</f>
        <v>9808.3482427821473</v>
      </c>
      <c r="U22" s="27">
        <f t="shared" si="1"/>
        <v>0.8572644480654279</v>
      </c>
      <c r="V22" s="19">
        <f>VLOOKUP(A22,[1]Sheet1!$A$2:$Q$1536,17,FALSE)</f>
        <v>5204.9853515625</v>
      </c>
      <c r="W22" s="27">
        <f t="shared" si="2"/>
        <v>0.7310271008582705</v>
      </c>
    </row>
    <row r="23" spans="1:23" x14ac:dyDescent="0.3">
      <c r="A23" s="4" t="s">
        <v>1938</v>
      </c>
      <c r="B23" s="5">
        <v>2014</v>
      </c>
      <c r="C23" s="5" t="s">
        <v>684</v>
      </c>
      <c r="D23" s="15" t="s">
        <v>1939</v>
      </c>
      <c r="E23" s="6">
        <v>142897</v>
      </c>
      <c r="F23" s="5" t="s">
        <v>32</v>
      </c>
      <c r="G23" s="5" t="s">
        <v>25</v>
      </c>
      <c r="H23" s="5" t="s">
        <v>18</v>
      </c>
      <c r="I23" s="5" t="s">
        <v>17</v>
      </c>
      <c r="J23" s="7">
        <v>45300</v>
      </c>
      <c r="K23" s="5" t="s">
        <v>17</v>
      </c>
      <c r="L23" s="8">
        <v>44113</v>
      </c>
      <c r="M23" s="19">
        <v>264</v>
      </c>
      <c r="N23" s="19">
        <v>314</v>
      </c>
      <c r="O23" s="24">
        <v>1500</v>
      </c>
      <c r="P23" s="24">
        <v>800</v>
      </c>
      <c r="Q23" t="s">
        <v>1984</v>
      </c>
      <c r="R23" s="19">
        <f>VLOOKUP(A23,[1]Sheet1!$A$2:$Q$1536,15,FALSE)</f>
        <v>1101.86376953125</v>
      </c>
      <c r="S23" s="27">
        <f t="shared" si="0"/>
        <v>0.27395743274113421</v>
      </c>
      <c r="T23" s="19">
        <f>VLOOKUP(A23,[1]Sheet1!$A$2:$Q$1536,16,FALSE)</f>
        <v>8403.3033115530143</v>
      </c>
      <c r="U23" s="27">
        <f t="shared" si="1"/>
        <v>0.9047993425513815</v>
      </c>
      <c r="V23" s="19">
        <f>VLOOKUP(A23,[1]Sheet1!$A$2:$Q$1536,17,FALSE)</f>
        <v>1182.089599609375</v>
      </c>
      <c r="W23" s="27">
        <f t="shared" si="2"/>
        <v>0.32323235035283082</v>
      </c>
    </row>
    <row r="24" spans="1:23" x14ac:dyDescent="0.3">
      <c r="A24" s="4" t="s">
        <v>623</v>
      </c>
      <c r="B24" s="5">
        <v>2014</v>
      </c>
      <c r="C24" s="5" t="s">
        <v>30</v>
      </c>
      <c r="D24" s="15" t="s">
        <v>616</v>
      </c>
      <c r="E24" s="6">
        <v>125420</v>
      </c>
      <c r="F24" s="5" t="s">
        <v>21</v>
      </c>
      <c r="G24" s="5" t="s">
        <v>25</v>
      </c>
      <c r="H24" s="5" t="s">
        <v>18</v>
      </c>
      <c r="I24" s="5" t="s">
        <v>17</v>
      </c>
      <c r="J24" s="7">
        <v>45309</v>
      </c>
      <c r="K24" s="5" t="s">
        <v>17</v>
      </c>
      <c r="L24" s="8">
        <v>44067</v>
      </c>
      <c r="M24" s="19">
        <v>235</v>
      </c>
      <c r="N24" s="19">
        <v>285</v>
      </c>
      <c r="O24" s="24">
        <v>0</v>
      </c>
      <c r="P24" s="24">
        <v>4400</v>
      </c>
      <c r="Q24" t="s">
        <v>1983</v>
      </c>
      <c r="R24" s="19">
        <f>VLOOKUP(A24,[1]Sheet1!$A$2:$Q$1536,15,FALSE)</f>
        <v>3186.99609375</v>
      </c>
      <c r="S24" s="27">
        <f t="shared" si="0"/>
        <v>-0.38061041512690119</v>
      </c>
      <c r="T24" s="19">
        <f>VLOOKUP(A24,[1]Sheet1!$A$2:$Q$1536,16,FALSE)</f>
        <v>9007.7370691510041</v>
      </c>
      <c r="U24" s="27">
        <f t="shared" si="1"/>
        <v>0.51153103535084554</v>
      </c>
      <c r="V24" s="19">
        <f>VLOOKUP(A24,[1]Sheet1!$A$2:$Q$1536,17,FALSE)</f>
        <v>3044.94580078125</v>
      </c>
      <c r="W24" s="27">
        <f t="shared" si="2"/>
        <v>-0.44501751028575948</v>
      </c>
    </row>
    <row r="25" spans="1:23" x14ac:dyDescent="0.3">
      <c r="A25" s="4" t="s">
        <v>226</v>
      </c>
      <c r="B25" s="5">
        <v>2015</v>
      </c>
      <c r="C25" s="5" t="s">
        <v>223</v>
      </c>
      <c r="D25" s="15" t="s">
        <v>227</v>
      </c>
      <c r="E25" s="6">
        <v>121249</v>
      </c>
      <c r="F25" s="5" t="s">
        <v>77</v>
      </c>
      <c r="G25" s="5" t="s">
        <v>33</v>
      </c>
      <c r="H25" s="5" t="s">
        <v>17</v>
      </c>
      <c r="I25" s="5" t="s">
        <v>18</v>
      </c>
      <c r="J25" s="7">
        <v>45519</v>
      </c>
      <c r="K25" s="5" t="s">
        <v>17</v>
      </c>
      <c r="L25" s="8">
        <v>43612</v>
      </c>
      <c r="M25" s="19">
        <v>264</v>
      </c>
      <c r="N25" s="19">
        <v>314</v>
      </c>
      <c r="O25" s="24">
        <v>0</v>
      </c>
      <c r="P25" s="24">
        <v>20250</v>
      </c>
      <c r="Q25" t="s">
        <v>1983</v>
      </c>
      <c r="R25" s="19">
        <f>VLOOKUP(A25,[1]Sheet1!$A$2:$Q$1536,15,FALSE)</f>
        <v>9696.5244140625</v>
      </c>
      <c r="S25" s="27">
        <f t="shared" si="0"/>
        <v>-1.0883771478605464</v>
      </c>
      <c r="T25" s="19">
        <f>VLOOKUP(A25,[1]Sheet1!$A$2:$Q$1536,16,FALSE)</f>
        <v>10421.895521486829</v>
      </c>
      <c r="U25" s="27">
        <f t="shared" si="1"/>
        <v>-0.94302465978962857</v>
      </c>
      <c r="V25" s="19">
        <f>VLOOKUP(A25,[1]Sheet1!$A$2:$Q$1536,17,FALSE)</f>
        <v>9740.4873046875</v>
      </c>
      <c r="W25" s="27">
        <f t="shared" si="2"/>
        <v>-1.0789514288730622</v>
      </c>
    </row>
    <row r="26" spans="1:23" x14ac:dyDescent="0.3">
      <c r="A26" s="4" t="s">
        <v>822</v>
      </c>
      <c r="B26" s="5">
        <v>2012</v>
      </c>
      <c r="C26" s="5" t="s">
        <v>559</v>
      </c>
      <c r="D26" s="15" t="s">
        <v>760</v>
      </c>
      <c r="E26" s="6">
        <v>88650</v>
      </c>
      <c r="F26" s="5" t="s">
        <v>87</v>
      </c>
      <c r="G26" s="5" t="s">
        <v>33</v>
      </c>
      <c r="H26" s="5" t="s">
        <v>17</v>
      </c>
      <c r="I26" s="5" t="s">
        <v>18</v>
      </c>
      <c r="J26" s="7">
        <v>45384</v>
      </c>
      <c r="K26" s="5" t="s">
        <v>17</v>
      </c>
      <c r="L26" s="8">
        <v>44310</v>
      </c>
      <c r="M26" s="19">
        <v>235</v>
      </c>
      <c r="N26" s="19">
        <v>285</v>
      </c>
      <c r="O26" s="24">
        <v>4300</v>
      </c>
      <c r="P26" s="24">
        <v>4000</v>
      </c>
      <c r="Q26" t="s">
        <v>1984</v>
      </c>
      <c r="R26" s="19">
        <f>VLOOKUP(A26,[1]Sheet1!$A$2:$Q$1536,15,FALSE)</f>
        <v>2696.27099609375</v>
      </c>
      <c r="S26" s="27">
        <f t="shared" si="0"/>
        <v>-0.48353040395236258</v>
      </c>
      <c r="T26" s="19">
        <f>VLOOKUP(A26,[1]Sheet1!$A$2:$Q$1536,16,FALSE)</f>
        <v>10152.42053180459</v>
      </c>
      <c r="U26" s="27">
        <f t="shared" si="1"/>
        <v>0.60600528834782208</v>
      </c>
      <c r="V26" s="19">
        <f>VLOOKUP(A26,[1]Sheet1!$A$2:$Q$1536,17,FALSE)</f>
        <v>2488.593017578125</v>
      </c>
      <c r="W26" s="27">
        <f t="shared" si="2"/>
        <v>-0.60733393196319496</v>
      </c>
    </row>
    <row r="27" spans="1:23" x14ac:dyDescent="0.3">
      <c r="A27" s="4" t="s">
        <v>126</v>
      </c>
      <c r="B27" s="5">
        <v>2016</v>
      </c>
      <c r="C27" s="5" t="s">
        <v>96</v>
      </c>
      <c r="D27" s="15" t="s">
        <v>127</v>
      </c>
      <c r="E27" s="6">
        <v>134209</v>
      </c>
      <c r="F27" s="5" t="s">
        <v>73</v>
      </c>
      <c r="G27" s="5" t="s">
        <v>25</v>
      </c>
      <c r="H27" s="5" t="s">
        <v>18</v>
      </c>
      <c r="I27" s="5" t="s">
        <v>17</v>
      </c>
      <c r="J27" s="7">
        <v>45729</v>
      </c>
      <c r="K27" s="5" t="s">
        <v>17</v>
      </c>
      <c r="L27" s="8">
        <v>44067</v>
      </c>
      <c r="M27" s="19">
        <v>235</v>
      </c>
      <c r="N27" s="19">
        <v>285</v>
      </c>
      <c r="O27" s="24">
        <v>0</v>
      </c>
      <c r="P27" s="24">
        <v>1600</v>
      </c>
      <c r="Q27" t="s">
        <v>1983</v>
      </c>
      <c r="R27" s="19">
        <f>VLOOKUP(A27,[1]Sheet1!$A$2:$Q$1536,15,FALSE)</f>
        <v>2565.341064453125</v>
      </c>
      <c r="S27" s="27">
        <f t="shared" si="0"/>
        <v>0.37630125593413627</v>
      </c>
      <c r="T27" s="19">
        <f>VLOOKUP(A27,[1]Sheet1!$A$2:$Q$1536,16,FALSE)</f>
        <v>9146.1040235817454</v>
      </c>
      <c r="U27" s="27">
        <f t="shared" si="1"/>
        <v>0.82506212526397471</v>
      </c>
      <c r="V27" s="19">
        <f>VLOOKUP(A27,[1]Sheet1!$A$2:$Q$1536,17,FALSE)</f>
        <v>2395.5732421875</v>
      </c>
      <c r="W27" s="27">
        <f t="shared" si="2"/>
        <v>0.3321014061173217</v>
      </c>
    </row>
    <row r="28" spans="1:23" x14ac:dyDescent="0.3">
      <c r="A28" s="4" t="s">
        <v>320</v>
      </c>
      <c r="B28" s="5">
        <v>2019</v>
      </c>
      <c r="C28" s="5" t="s">
        <v>237</v>
      </c>
      <c r="D28" s="15" t="s">
        <v>310</v>
      </c>
      <c r="E28" s="6">
        <v>34686</v>
      </c>
      <c r="F28" s="5" t="s">
        <v>101</v>
      </c>
      <c r="G28" s="5" t="s">
        <v>16</v>
      </c>
      <c r="H28" s="5" t="s">
        <v>17</v>
      </c>
      <c r="I28" s="5" t="s">
        <v>18</v>
      </c>
      <c r="J28" s="7">
        <v>45454</v>
      </c>
      <c r="K28" s="5" t="s">
        <v>17</v>
      </c>
      <c r="L28" s="8">
        <v>44128</v>
      </c>
      <c r="M28" s="19">
        <v>264</v>
      </c>
      <c r="N28" s="19">
        <v>314</v>
      </c>
      <c r="O28" s="24">
        <v>15100</v>
      </c>
      <c r="P28" s="24">
        <v>9200</v>
      </c>
      <c r="Q28" t="s">
        <v>1984</v>
      </c>
      <c r="R28" s="19">
        <f>VLOOKUP(A28,[1]Sheet1!$A$2:$Q$1536,15,FALSE)</f>
        <v>13859.6591796875</v>
      </c>
      <c r="S28" s="27">
        <f t="shared" si="0"/>
        <v>0.33620301331194519</v>
      </c>
      <c r="T28" s="19">
        <f>VLOOKUP(A28,[1]Sheet1!$A$2:$Q$1536,16,FALSE)</f>
        <v>12353.43879558584</v>
      </c>
      <c r="U28" s="27">
        <f t="shared" si="1"/>
        <v>0.2552680956101579</v>
      </c>
      <c r="V28" s="19">
        <f>VLOOKUP(A28,[1]Sheet1!$A$2:$Q$1536,17,FALSE)</f>
        <v>13795.61328125</v>
      </c>
      <c r="W28" s="27">
        <f t="shared" si="2"/>
        <v>0.33312134716736552</v>
      </c>
    </row>
    <row r="29" spans="1:23" x14ac:dyDescent="0.3">
      <c r="A29" s="4" t="s">
        <v>1248</v>
      </c>
      <c r="B29" s="5">
        <v>2012</v>
      </c>
      <c r="C29" s="5" t="s">
        <v>920</v>
      </c>
      <c r="D29" s="15" t="s">
        <v>1241</v>
      </c>
      <c r="E29" s="6">
        <v>73427</v>
      </c>
      <c r="F29" s="5" t="s">
        <v>125</v>
      </c>
      <c r="G29" s="5" t="s">
        <v>16</v>
      </c>
      <c r="H29" s="5" t="s">
        <v>17</v>
      </c>
      <c r="I29" s="5" t="s">
        <v>18</v>
      </c>
      <c r="J29" s="7">
        <v>45300</v>
      </c>
      <c r="K29" s="5" t="s">
        <v>17</v>
      </c>
      <c r="L29" s="8">
        <v>43605</v>
      </c>
      <c r="M29" s="19">
        <v>264</v>
      </c>
      <c r="N29" s="19">
        <v>314</v>
      </c>
      <c r="O29" s="24">
        <v>9000</v>
      </c>
      <c r="P29" s="24">
        <v>7000</v>
      </c>
      <c r="Q29" t="s">
        <v>1984</v>
      </c>
      <c r="R29" s="19">
        <f>VLOOKUP(A29,[1]Sheet1!$A$2:$Q$1536,15,FALSE)</f>
        <v>8582.27734375</v>
      </c>
      <c r="S29" s="27">
        <f t="shared" si="0"/>
        <v>0.18436567362883996</v>
      </c>
      <c r="T29" s="19">
        <f>VLOOKUP(A29,[1]Sheet1!$A$2:$Q$1536,16,FALSE)</f>
        <v>10342.571815308131</v>
      </c>
      <c r="U29" s="27">
        <f t="shared" si="1"/>
        <v>0.32318574867043814</v>
      </c>
      <c r="V29" s="19">
        <f>VLOOKUP(A29,[1]Sheet1!$A$2:$Q$1536,17,FALSE)</f>
        <v>8541.11328125</v>
      </c>
      <c r="W29" s="27">
        <f t="shared" si="2"/>
        <v>0.18043470804129841</v>
      </c>
    </row>
    <row r="30" spans="1:23" x14ac:dyDescent="0.3">
      <c r="A30" s="4" t="s">
        <v>1850</v>
      </c>
      <c r="B30" s="5">
        <v>2015</v>
      </c>
      <c r="C30" s="5" t="s">
        <v>1845</v>
      </c>
      <c r="D30" s="15" t="s">
        <v>1846</v>
      </c>
      <c r="E30" s="6">
        <v>105027</v>
      </c>
      <c r="F30" s="5" t="s">
        <v>144</v>
      </c>
      <c r="G30" s="5" t="s">
        <v>25</v>
      </c>
      <c r="H30" s="5" t="s">
        <v>18</v>
      </c>
      <c r="I30" s="5" t="s">
        <v>17</v>
      </c>
      <c r="J30" s="7">
        <v>45496</v>
      </c>
      <c r="K30" s="5" t="s">
        <v>17</v>
      </c>
      <c r="L30" s="8">
        <v>44662</v>
      </c>
      <c r="M30" s="19">
        <v>235</v>
      </c>
      <c r="N30" s="19">
        <v>285</v>
      </c>
      <c r="O30" s="24">
        <v>6000</v>
      </c>
      <c r="P30" s="24">
        <v>5600</v>
      </c>
      <c r="Q30" t="s">
        <v>1984</v>
      </c>
      <c r="R30" s="19">
        <f>VLOOKUP(A30,[1]Sheet1!$A$2:$Q$1536,15,FALSE)</f>
        <v>2892.1669921875</v>
      </c>
      <c r="S30" s="27">
        <f t="shared" si="0"/>
        <v>-0.93626440490022378</v>
      </c>
      <c r="T30" s="19">
        <f>VLOOKUP(A30,[1]Sheet1!$A$2:$Q$1536,16,FALSE)</f>
        <v>9189.1399532464966</v>
      </c>
      <c r="U30" s="27">
        <f t="shared" si="1"/>
        <v>0.39058497003067888</v>
      </c>
      <c r="V30" s="19">
        <f>VLOOKUP(A30,[1]Sheet1!$A$2:$Q$1536,17,FALSE)</f>
        <v>2700.09423828125</v>
      </c>
      <c r="W30" s="27">
        <f t="shared" si="2"/>
        <v>-1.0740016850540337</v>
      </c>
    </row>
    <row r="31" spans="1:23" x14ac:dyDescent="0.3">
      <c r="A31" s="4" t="s">
        <v>217</v>
      </c>
      <c r="B31" s="5">
        <v>2015</v>
      </c>
      <c r="C31" s="5" t="s">
        <v>96</v>
      </c>
      <c r="D31" s="15" t="s">
        <v>211</v>
      </c>
      <c r="E31" s="6">
        <v>84476</v>
      </c>
      <c r="F31" s="5" t="s">
        <v>59</v>
      </c>
      <c r="G31" s="5" t="s">
        <v>33</v>
      </c>
      <c r="H31" s="5" t="s">
        <v>17</v>
      </c>
      <c r="I31" s="5" t="s">
        <v>18</v>
      </c>
      <c r="J31" s="7">
        <v>45538</v>
      </c>
      <c r="K31" s="5" t="s">
        <v>17</v>
      </c>
      <c r="L31" s="8">
        <v>44662</v>
      </c>
      <c r="M31" s="19">
        <v>235</v>
      </c>
      <c r="N31" s="19">
        <v>285</v>
      </c>
      <c r="O31" s="24">
        <v>13700</v>
      </c>
      <c r="P31" s="24">
        <v>5500</v>
      </c>
      <c r="Q31" t="s">
        <v>1984</v>
      </c>
      <c r="R31" s="19">
        <f>VLOOKUP(A31,[1]Sheet1!$A$2:$Q$1536,15,FALSE)</f>
        <v>9457.16015625</v>
      </c>
      <c r="S31" s="27">
        <f t="shared" si="0"/>
        <v>0.41843006683510714</v>
      </c>
      <c r="T31" s="19">
        <f>VLOOKUP(A31,[1]Sheet1!$A$2:$Q$1536,16,FALSE)</f>
        <v>10004.850958887429</v>
      </c>
      <c r="U31" s="27">
        <f t="shared" si="1"/>
        <v>0.45026667337665</v>
      </c>
      <c r="V31" s="19">
        <f>VLOOKUP(A31,[1]Sheet1!$A$2:$Q$1536,17,FALSE)</f>
        <v>9504.462890625</v>
      </c>
      <c r="W31" s="27">
        <f t="shared" si="2"/>
        <v>0.42132448058426503</v>
      </c>
    </row>
    <row r="32" spans="1:23" x14ac:dyDescent="0.3">
      <c r="A32" s="4" t="s">
        <v>556</v>
      </c>
      <c r="B32" s="5">
        <v>2016</v>
      </c>
      <c r="C32" s="5" t="s">
        <v>391</v>
      </c>
      <c r="D32" s="15" t="s">
        <v>547</v>
      </c>
      <c r="E32" s="6">
        <v>73526</v>
      </c>
      <c r="F32" s="5" t="s">
        <v>59</v>
      </c>
      <c r="G32" s="5" t="s">
        <v>16</v>
      </c>
      <c r="H32" s="5" t="s">
        <v>17</v>
      </c>
      <c r="I32" s="5" t="s">
        <v>18</v>
      </c>
      <c r="J32" s="7">
        <v>45356</v>
      </c>
      <c r="K32" s="5" t="s">
        <v>17</v>
      </c>
      <c r="L32" s="8">
        <v>43605</v>
      </c>
      <c r="M32" s="19">
        <v>264</v>
      </c>
      <c r="N32" s="19">
        <v>314</v>
      </c>
      <c r="O32" s="24">
        <v>21200</v>
      </c>
      <c r="P32" s="24">
        <v>19000</v>
      </c>
      <c r="Q32" t="s">
        <v>1984</v>
      </c>
      <c r="R32" s="19">
        <f>VLOOKUP(A32,[1]Sheet1!$A$2:$Q$1536,15,FALSE)</f>
        <v>15163.5380859375</v>
      </c>
      <c r="S32" s="27">
        <f t="shared" si="0"/>
        <v>-0.25300572282799838</v>
      </c>
      <c r="T32" s="19">
        <f>VLOOKUP(A32,[1]Sheet1!$A$2:$Q$1536,16,FALSE)</f>
        <v>11683.89007569865</v>
      </c>
      <c r="U32" s="27">
        <f t="shared" si="1"/>
        <v>-0.62617072540918073</v>
      </c>
      <c r="V32" s="19">
        <f>VLOOKUP(A32,[1]Sheet1!$A$2:$Q$1536,17,FALSE)</f>
        <v>15255.796875</v>
      </c>
      <c r="W32" s="27">
        <f t="shared" si="2"/>
        <v>-0.24542822349291407</v>
      </c>
    </row>
    <row r="33" spans="1:23" x14ac:dyDescent="0.3">
      <c r="A33" s="4" t="s">
        <v>800</v>
      </c>
      <c r="B33" s="5">
        <v>2013</v>
      </c>
      <c r="C33" s="5" t="s">
        <v>519</v>
      </c>
      <c r="D33" s="15" t="s">
        <v>801</v>
      </c>
      <c r="E33" s="6">
        <v>73135</v>
      </c>
      <c r="F33" s="5" t="s">
        <v>59</v>
      </c>
      <c r="G33" s="5" t="s">
        <v>16</v>
      </c>
      <c r="H33" s="5" t="s">
        <v>17</v>
      </c>
      <c r="I33" s="5" t="s">
        <v>18</v>
      </c>
      <c r="J33" s="7">
        <v>45510</v>
      </c>
      <c r="K33" s="5" t="s">
        <v>17</v>
      </c>
      <c r="L33" s="8">
        <v>43605</v>
      </c>
      <c r="M33" s="19">
        <v>264</v>
      </c>
      <c r="N33" s="19">
        <v>314</v>
      </c>
      <c r="O33" s="24">
        <v>8500</v>
      </c>
      <c r="P33" s="24">
        <v>1000</v>
      </c>
      <c r="Q33" t="s">
        <v>1984</v>
      </c>
      <c r="R33" s="19">
        <f>VLOOKUP(A33,[1]Sheet1!$A$2:$Q$1536,15,FALSE)</f>
        <v>7054.51513671875</v>
      </c>
      <c r="S33" s="27">
        <f t="shared" si="0"/>
        <v>0.85824681347765486</v>
      </c>
      <c r="T33" s="19">
        <f>VLOOKUP(A33,[1]Sheet1!$A$2:$Q$1536,16,FALSE)</f>
        <v>9995.755006736792</v>
      </c>
      <c r="U33" s="27">
        <f t="shared" si="1"/>
        <v>0.89995753203974738</v>
      </c>
      <c r="V33" s="19">
        <f>VLOOKUP(A33,[1]Sheet1!$A$2:$Q$1536,17,FALSE)</f>
        <v>7038.099609375</v>
      </c>
      <c r="W33" s="27">
        <f t="shared" si="2"/>
        <v>0.85791619108829265</v>
      </c>
    </row>
    <row r="34" spans="1:23" x14ac:dyDescent="0.3">
      <c r="A34" s="4" t="s">
        <v>1315</v>
      </c>
      <c r="B34" s="5">
        <v>2018</v>
      </c>
      <c r="C34" s="5" t="s">
        <v>636</v>
      </c>
      <c r="D34" s="15" t="s">
        <v>1286</v>
      </c>
      <c r="E34" s="6">
        <v>92457</v>
      </c>
      <c r="F34" s="5" t="s">
        <v>42</v>
      </c>
      <c r="G34" s="5" t="s">
        <v>33</v>
      </c>
      <c r="H34" s="5" t="s">
        <v>17</v>
      </c>
      <c r="I34" s="5" t="s">
        <v>18</v>
      </c>
      <c r="J34" s="7">
        <v>45440</v>
      </c>
      <c r="K34" s="5" t="s">
        <v>17</v>
      </c>
      <c r="L34" s="8">
        <v>43608</v>
      </c>
      <c r="M34" s="19">
        <v>264</v>
      </c>
      <c r="N34" s="19">
        <v>314</v>
      </c>
      <c r="O34" s="24">
        <v>9000</v>
      </c>
      <c r="P34" s="24">
        <v>6800</v>
      </c>
      <c r="Q34" t="s">
        <v>1984</v>
      </c>
      <c r="R34" s="19">
        <f>VLOOKUP(A34,[1]Sheet1!$A$2:$Q$1536,15,FALSE)</f>
        <v>4886.14404296875</v>
      </c>
      <c r="S34" s="27">
        <f t="shared" si="0"/>
        <v>-0.39169044960623367</v>
      </c>
      <c r="T34" s="19">
        <f>VLOOKUP(A34,[1]Sheet1!$A$2:$Q$1536,16,FALSE)</f>
        <v>9263.6349825124635</v>
      </c>
      <c r="U34" s="27">
        <f t="shared" si="1"/>
        <v>0.26594689742884081</v>
      </c>
      <c r="V34" s="19">
        <f>VLOOKUP(A34,[1]Sheet1!$A$2:$Q$1536,17,FALSE)</f>
        <v>4802.310546875</v>
      </c>
      <c r="W34" s="27">
        <f t="shared" si="2"/>
        <v>-0.41598506252890149</v>
      </c>
    </row>
    <row r="35" spans="1:23" x14ac:dyDescent="0.3">
      <c r="A35" s="4" t="s">
        <v>531</v>
      </c>
      <c r="B35" s="5">
        <v>2012</v>
      </c>
      <c r="C35" s="5" t="s">
        <v>519</v>
      </c>
      <c r="D35" s="15" t="s">
        <v>530</v>
      </c>
      <c r="E35" s="6">
        <v>129700</v>
      </c>
      <c r="F35" s="5" t="s">
        <v>132</v>
      </c>
      <c r="G35" s="5" t="s">
        <v>25</v>
      </c>
      <c r="H35" s="5" t="s">
        <v>18</v>
      </c>
      <c r="I35" s="5" t="s">
        <v>17</v>
      </c>
      <c r="J35" s="7">
        <v>45638</v>
      </c>
      <c r="K35" s="5" t="s">
        <v>17</v>
      </c>
      <c r="L35" s="8">
        <v>43612</v>
      </c>
      <c r="M35" s="19">
        <v>264</v>
      </c>
      <c r="N35" s="19">
        <v>314</v>
      </c>
      <c r="O35" s="24">
        <v>1000</v>
      </c>
      <c r="P35" s="24">
        <v>500</v>
      </c>
      <c r="Q35" t="s">
        <v>1984</v>
      </c>
      <c r="R35" s="19">
        <f>VLOOKUP(A35,[1]Sheet1!$A$2:$Q$1536,15,FALSE)</f>
        <v>945.7838134765625</v>
      </c>
      <c r="S35" s="27">
        <f t="shared" si="0"/>
        <v>0.47133796024476948</v>
      </c>
      <c r="T35" s="19">
        <f>VLOOKUP(A35,[1]Sheet1!$A$2:$Q$1536,16,FALSE)</f>
        <v>9001.7853457319325</v>
      </c>
      <c r="U35" s="27">
        <f t="shared" si="1"/>
        <v>0.94445546291135818</v>
      </c>
      <c r="V35" s="19">
        <f>VLOOKUP(A35,[1]Sheet1!$A$2:$Q$1536,17,FALSE)</f>
        <v>1083.871215820312</v>
      </c>
      <c r="W35" s="27">
        <f t="shared" si="2"/>
        <v>0.53869058177582263</v>
      </c>
    </row>
    <row r="36" spans="1:23" x14ac:dyDescent="0.3">
      <c r="A36" s="4" t="s">
        <v>240</v>
      </c>
      <c r="B36" s="5">
        <v>2015</v>
      </c>
      <c r="C36" s="5" t="s">
        <v>237</v>
      </c>
      <c r="D36" s="15" t="s">
        <v>241</v>
      </c>
      <c r="E36" s="6">
        <v>139745</v>
      </c>
      <c r="F36" s="5" t="s">
        <v>40</v>
      </c>
      <c r="G36" s="5" t="s">
        <v>28</v>
      </c>
      <c r="H36" s="5" t="s">
        <v>17</v>
      </c>
      <c r="I36" s="5" t="s">
        <v>18</v>
      </c>
      <c r="J36" s="7">
        <v>45510</v>
      </c>
      <c r="K36" s="5" t="s">
        <v>17</v>
      </c>
      <c r="L36" s="8">
        <v>44483</v>
      </c>
      <c r="M36" s="19">
        <v>264</v>
      </c>
      <c r="N36" s="19">
        <v>314</v>
      </c>
      <c r="O36" s="24">
        <v>4600</v>
      </c>
      <c r="P36" s="24">
        <v>1900</v>
      </c>
      <c r="Q36" t="s">
        <v>1984</v>
      </c>
      <c r="R36" s="19">
        <f>VLOOKUP(A36,[1]Sheet1!$A$2:$Q$1536,15,FALSE)</f>
        <v>2679.718017578125</v>
      </c>
      <c r="S36" s="27">
        <f t="shared" si="0"/>
        <v>0.29097017390016966</v>
      </c>
      <c r="T36" s="19">
        <f>VLOOKUP(A36,[1]Sheet1!$A$2:$Q$1536,16,FALSE)</f>
        <v>9182.215870479964</v>
      </c>
      <c r="U36" s="27">
        <f t="shared" si="1"/>
        <v>0.793078269254338</v>
      </c>
      <c r="V36" s="19">
        <f>VLOOKUP(A36,[1]Sheet1!$A$2:$Q$1536,17,FALSE)</f>
        <v>2505.3798828125</v>
      </c>
      <c r="W36" s="27">
        <f t="shared" si="2"/>
        <v>0.24163197244679321</v>
      </c>
    </row>
    <row r="37" spans="1:23" x14ac:dyDescent="0.3">
      <c r="A37" s="4" t="s">
        <v>664</v>
      </c>
      <c r="B37" s="5">
        <v>2016</v>
      </c>
      <c r="C37" s="5" t="s">
        <v>636</v>
      </c>
      <c r="D37" s="15" t="s">
        <v>646</v>
      </c>
      <c r="E37" s="6">
        <v>100170</v>
      </c>
      <c r="F37" s="5" t="s">
        <v>184</v>
      </c>
      <c r="G37" s="5" t="s">
        <v>16</v>
      </c>
      <c r="H37" s="5" t="s">
        <v>17</v>
      </c>
      <c r="I37" s="5" t="s">
        <v>18</v>
      </c>
      <c r="J37" s="7">
        <v>45300</v>
      </c>
      <c r="K37" s="5" t="s">
        <v>17</v>
      </c>
      <c r="L37" s="8">
        <v>44907</v>
      </c>
      <c r="M37" s="19">
        <v>128</v>
      </c>
      <c r="N37" s="19">
        <v>158</v>
      </c>
      <c r="O37" s="24">
        <v>8700</v>
      </c>
      <c r="P37" s="24">
        <v>6100</v>
      </c>
      <c r="Q37" t="s">
        <v>1984</v>
      </c>
      <c r="R37" s="19">
        <f>VLOOKUP(A37,[1]Sheet1!$A$2:$Q$1536,15,FALSE)</f>
        <v>6549.9853515625</v>
      </c>
      <c r="S37" s="27">
        <f t="shared" si="0"/>
        <v>6.870020731499131E-2</v>
      </c>
      <c r="T37" s="19">
        <f>VLOOKUP(A37,[1]Sheet1!$A$2:$Q$1536,16,FALSE)</f>
        <v>9696.7829323656479</v>
      </c>
      <c r="U37" s="27">
        <f t="shared" si="1"/>
        <v>0.37092538396011809</v>
      </c>
      <c r="V37" s="19">
        <f>VLOOKUP(A37,[1]Sheet1!$A$2:$Q$1536,17,FALSE)</f>
        <v>6526.119140625</v>
      </c>
      <c r="W37" s="27">
        <f t="shared" si="2"/>
        <v>6.5294416397091853E-2</v>
      </c>
    </row>
    <row r="38" spans="1:23" x14ac:dyDescent="0.3">
      <c r="A38" s="4" t="s">
        <v>1711</v>
      </c>
      <c r="B38" s="5">
        <v>2017</v>
      </c>
      <c r="C38" s="5" t="s">
        <v>1089</v>
      </c>
      <c r="D38" s="15" t="s">
        <v>1712</v>
      </c>
      <c r="E38" s="6">
        <v>124252</v>
      </c>
      <c r="F38" s="5" t="s">
        <v>24</v>
      </c>
      <c r="G38" s="5" t="s">
        <v>25</v>
      </c>
      <c r="H38" s="5" t="s">
        <v>18</v>
      </c>
      <c r="I38" s="5" t="s">
        <v>17</v>
      </c>
      <c r="J38" s="7">
        <v>45370</v>
      </c>
      <c r="K38" s="5" t="s">
        <v>17</v>
      </c>
      <c r="L38" s="8">
        <v>44067</v>
      </c>
      <c r="M38" s="19">
        <v>235</v>
      </c>
      <c r="N38" s="19">
        <v>285</v>
      </c>
      <c r="O38" s="24">
        <v>0</v>
      </c>
      <c r="P38" s="24">
        <v>13800</v>
      </c>
      <c r="Q38" t="s">
        <v>1983</v>
      </c>
      <c r="R38" s="19">
        <f>VLOOKUP(A38,[1]Sheet1!$A$2:$Q$1536,15,FALSE)</f>
        <v>3025.92822265625</v>
      </c>
      <c r="S38" s="27">
        <f t="shared" si="0"/>
        <v>-3.5605840537373847</v>
      </c>
      <c r="T38" s="19">
        <f>VLOOKUP(A38,[1]Sheet1!$A$2:$Q$1536,16,FALSE)</f>
        <v>8748.8459234978909</v>
      </c>
      <c r="U38" s="27">
        <f t="shared" si="1"/>
        <v>-0.5773509009840464</v>
      </c>
      <c r="V38" s="19">
        <f>VLOOKUP(A38,[1]Sheet1!$A$2:$Q$1536,17,FALSE)</f>
        <v>2868.453125</v>
      </c>
      <c r="W38" s="27">
        <f t="shared" si="2"/>
        <v>-3.8109553820929181</v>
      </c>
    </row>
    <row r="39" spans="1:23" x14ac:dyDescent="0.3">
      <c r="A39" s="4" t="s">
        <v>885</v>
      </c>
      <c r="B39" s="5">
        <v>2016</v>
      </c>
      <c r="C39" s="5" t="s">
        <v>391</v>
      </c>
      <c r="D39" s="15" t="s">
        <v>582</v>
      </c>
      <c r="E39" s="6">
        <v>133130</v>
      </c>
      <c r="F39" s="5" t="s">
        <v>24</v>
      </c>
      <c r="G39" s="5" t="s">
        <v>28</v>
      </c>
      <c r="H39" s="5" t="s">
        <v>17</v>
      </c>
      <c r="I39" s="5" t="s">
        <v>18</v>
      </c>
      <c r="J39" s="7">
        <v>45664</v>
      </c>
      <c r="K39" s="5" t="s">
        <v>17</v>
      </c>
      <c r="L39" s="8">
        <v>44113</v>
      </c>
      <c r="M39" s="19">
        <v>264</v>
      </c>
      <c r="N39" s="19">
        <v>314</v>
      </c>
      <c r="O39" s="24">
        <v>3500</v>
      </c>
      <c r="P39" s="24">
        <v>2000</v>
      </c>
      <c r="Q39" t="s">
        <v>1984</v>
      </c>
      <c r="R39" s="19">
        <f>VLOOKUP(A39,[1]Sheet1!$A$2:$Q$1536,15,FALSE)</f>
        <v>1574.315551757812</v>
      </c>
      <c r="S39" s="27">
        <f t="shared" si="0"/>
        <v>-0.27039334507423701</v>
      </c>
      <c r="T39" s="19">
        <f>VLOOKUP(A39,[1]Sheet1!$A$2:$Q$1536,16,FALSE)</f>
        <v>9411.795700470122</v>
      </c>
      <c r="U39" s="27">
        <f t="shared" si="1"/>
        <v>0.78750069979737247</v>
      </c>
      <c r="V39" s="19">
        <f>VLOOKUP(A39,[1]Sheet1!$A$2:$Q$1536,17,FALSE)</f>
        <v>1584.925903320312</v>
      </c>
      <c r="W39" s="27">
        <f t="shared" si="2"/>
        <v>-0.26188864464271544</v>
      </c>
    </row>
    <row r="40" spans="1:23" x14ac:dyDescent="0.3">
      <c r="A40" s="4" t="s">
        <v>1503</v>
      </c>
      <c r="B40" s="5">
        <v>2020</v>
      </c>
      <c r="C40" s="5" t="s">
        <v>1228</v>
      </c>
      <c r="D40" s="15" t="s">
        <v>1504</v>
      </c>
      <c r="E40" s="6">
        <v>36199</v>
      </c>
      <c r="F40" s="5" t="s">
        <v>158</v>
      </c>
      <c r="G40" s="5" t="s">
        <v>16</v>
      </c>
      <c r="H40" s="5" t="s">
        <v>17</v>
      </c>
      <c r="I40" s="5" t="s">
        <v>18</v>
      </c>
      <c r="J40" s="7">
        <v>45482</v>
      </c>
      <c r="K40" s="5" t="s">
        <v>17</v>
      </c>
      <c r="L40" s="8">
        <v>43605</v>
      </c>
      <c r="M40" s="19">
        <v>264</v>
      </c>
      <c r="N40" s="19">
        <v>314</v>
      </c>
      <c r="O40" s="24">
        <v>24600</v>
      </c>
      <c r="P40" s="24">
        <v>23000</v>
      </c>
      <c r="Q40" t="s">
        <v>1984</v>
      </c>
      <c r="R40" s="19">
        <f>VLOOKUP(A40,[1]Sheet1!$A$2:$Q$1536,15,FALSE)</f>
        <v>19191.791015625</v>
      </c>
      <c r="S40" s="27">
        <f t="shared" si="0"/>
        <v>-0.19842905653122972</v>
      </c>
      <c r="T40" s="19">
        <f>VLOOKUP(A40,[1]Sheet1!$A$2:$Q$1536,16,FALSE)</f>
        <v>13623.38810314795</v>
      </c>
      <c r="U40" s="27">
        <f t="shared" si="1"/>
        <v>-0.68827312456035805</v>
      </c>
      <c r="V40" s="19">
        <f>VLOOKUP(A40,[1]Sheet1!$A$2:$Q$1536,17,FALSE)</f>
        <v>19317.044921875</v>
      </c>
      <c r="W40" s="27">
        <f t="shared" si="2"/>
        <v>-0.19065830684870178</v>
      </c>
    </row>
    <row r="41" spans="1:23" x14ac:dyDescent="0.3">
      <c r="A41" s="4" t="s">
        <v>1815</v>
      </c>
      <c r="B41" s="5">
        <v>2019</v>
      </c>
      <c r="C41" s="5" t="s">
        <v>237</v>
      </c>
      <c r="D41" s="15" t="s">
        <v>1816</v>
      </c>
      <c r="E41" s="6">
        <v>86419</v>
      </c>
      <c r="F41" s="5" t="s">
        <v>1000</v>
      </c>
      <c r="G41" s="5" t="s">
        <v>134</v>
      </c>
      <c r="H41" s="5" t="s">
        <v>18</v>
      </c>
      <c r="I41" s="5" t="s">
        <v>17</v>
      </c>
      <c r="J41" s="7">
        <v>45596</v>
      </c>
      <c r="K41" s="5" t="s">
        <v>17</v>
      </c>
      <c r="L41" s="8">
        <v>44128</v>
      </c>
      <c r="M41" s="19">
        <v>264</v>
      </c>
      <c r="N41" s="19">
        <v>314</v>
      </c>
      <c r="O41" s="24">
        <v>0</v>
      </c>
      <c r="P41" s="24">
        <v>10494.258373205699</v>
      </c>
      <c r="Q41" t="s">
        <v>1983</v>
      </c>
      <c r="R41" s="19">
        <f>VLOOKUP(A41,[1]Sheet1!$A$2:$Q$1536,15,FALSE)</f>
        <v>12211.7626953125</v>
      </c>
      <c r="S41" s="27">
        <f t="shared" si="0"/>
        <v>0.14064344066938567</v>
      </c>
      <c r="T41" s="19">
        <f>VLOOKUP(A41,[1]Sheet1!$A$2:$Q$1536,16,FALSE)</f>
        <v>9593.5942605931232</v>
      </c>
      <c r="U41" s="27">
        <f t="shared" si="1"/>
        <v>-9.3881822406453583E-2</v>
      </c>
      <c r="V41" s="19">
        <f>VLOOKUP(A41,[1]Sheet1!$A$2:$Q$1536,17,FALSE)</f>
        <v>12414.1337890625</v>
      </c>
      <c r="W41" s="27">
        <f t="shared" si="2"/>
        <v>0.15465238642331303</v>
      </c>
    </row>
    <row r="42" spans="1:23" x14ac:dyDescent="0.3">
      <c r="A42" s="4" t="s">
        <v>522</v>
      </c>
      <c r="B42" s="5">
        <v>2015</v>
      </c>
      <c r="C42" s="5" t="s">
        <v>519</v>
      </c>
      <c r="D42" s="15" t="s">
        <v>520</v>
      </c>
      <c r="E42" s="6">
        <v>63598</v>
      </c>
      <c r="F42" s="5" t="s">
        <v>64</v>
      </c>
      <c r="G42" s="5" t="s">
        <v>33</v>
      </c>
      <c r="H42" s="5" t="s">
        <v>17</v>
      </c>
      <c r="I42" s="5" t="s">
        <v>18</v>
      </c>
      <c r="J42" s="7">
        <v>45342</v>
      </c>
      <c r="K42" s="5" t="s">
        <v>17</v>
      </c>
      <c r="L42" s="8">
        <v>44451</v>
      </c>
      <c r="M42" s="19">
        <v>264</v>
      </c>
      <c r="N42" s="19">
        <v>314</v>
      </c>
      <c r="O42" s="24">
        <v>9700</v>
      </c>
      <c r="P42" s="24">
        <v>7300</v>
      </c>
      <c r="Q42" t="s">
        <v>1984</v>
      </c>
      <c r="R42" s="19">
        <f>VLOOKUP(A42,[1]Sheet1!$A$2:$Q$1536,15,FALSE)</f>
        <v>9074.26953125</v>
      </c>
      <c r="S42" s="27">
        <f t="shared" si="0"/>
        <v>0.19552753256223707</v>
      </c>
      <c r="T42" s="19">
        <f>VLOOKUP(A42,[1]Sheet1!$A$2:$Q$1536,16,FALSE)</f>
        <v>10925.03720298026</v>
      </c>
      <c r="U42" s="27">
        <f t="shared" si="1"/>
        <v>0.33181005571233935</v>
      </c>
      <c r="V42" s="19">
        <f>VLOOKUP(A42,[1]Sheet1!$A$2:$Q$1536,17,FALSE)</f>
        <v>9032.2666015625</v>
      </c>
      <c r="W42" s="27">
        <f t="shared" si="2"/>
        <v>0.19178647818730613</v>
      </c>
    </row>
    <row r="43" spans="1:23" x14ac:dyDescent="0.3">
      <c r="A43" s="4" t="s">
        <v>351</v>
      </c>
      <c r="B43" s="5">
        <v>2017</v>
      </c>
      <c r="C43" s="5" t="s">
        <v>237</v>
      </c>
      <c r="D43" s="15" t="s">
        <v>339</v>
      </c>
      <c r="E43" s="6">
        <v>178102</v>
      </c>
      <c r="F43" s="5" t="s">
        <v>15</v>
      </c>
      <c r="G43" s="5" t="s">
        <v>22</v>
      </c>
      <c r="H43" s="5" t="s">
        <v>18</v>
      </c>
      <c r="I43" s="5" t="s">
        <v>17</v>
      </c>
      <c r="J43" s="7">
        <v>45589</v>
      </c>
      <c r="K43" s="5" t="s">
        <v>17</v>
      </c>
      <c r="L43" s="8">
        <v>43612</v>
      </c>
      <c r="M43" s="19">
        <v>264</v>
      </c>
      <c r="N43" s="19">
        <v>314</v>
      </c>
      <c r="O43" s="24">
        <v>0</v>
      </c>
      <c r="P43" s="24">
        <v>10500</v>
      </c>
      <c r="Q43" t="s">
        <v>1983</v>
      </c>
      <c r="R43" s="19">
        <f>VLOOKUP(A43,[1]Sheet1!$A$2:$Q$1536,15,FALSE)</f>
        <v>6329.7705078125</v>
      </c>
      <c r="S43" s="27">
        <f t="shared" si="0"/>
        <v>-0.65882791280353792</v>
      </c>
      <c r="T43" s="19">
        <f>VLOOKUP(A43,[1]Sheet1!$A$2:$Q$1536,16,FALSE)</f>
        <v>10035.69921789778</v>
      </c>
      <c r="U43" s="27">
        <f t="shared" si="1"/>
        <v>-4.6264916078212162E-2</v>
      </c>
      <c r="V43" s="19">
        <f>VLOOKUP(A43,[1]Sheet1!$A$2:$Q$1536,17,FALSE)</f>
        <v>6272.39501953125</v>
      </c>
      <c r="W43" s="27">
        <f t="shared" si="2"/>
        <v>-0.67400171183489788</v>
      </c>
    </row>
    <row r="44" spans="1:23" x14ac:dyDescent="0.3">
      <c r="A44" s="4" t="s">
        <v>1480</v>
      </c>
      <c r="B44" s="5">
        <v>2016</v>
      </c>
      <c r="C44" s="5" t="s">
        <v>920</v>
      </c>
      <c r="D44" s="15" t="s">
        <v>921</v>
      </c>
      <c r="E44" s="6">
        <v>62906</v>
      </c>
      <c r="F44" s="5" t="s">
        <v>199</v>
      </c>
      <c r="G44" s="5" t="s">
        <v>16</v>
      </c>
      <c r="H44" s="5" t="s">
        <v>17</v>
      </c>
      <c r="I44" s="5" t="s">
        <v>18</v>
      </c>
      <c r="J44" s="7">
        <v>45622</v>
      </c>
      <c r="K44" s="5" t="s">
        <v>17</v>
      </c>
      <c r="L44" s="8">
        <v>43608</v>
      </c>
      <c r="M44" s="19">
        <v>264</v>
      </c>
      <c r="N44" s="19">
        <v>314</v>
      </c>
      <c r="O44" s="24">
        <v>12700</v>
      </c>
      <c r="P44" s="24">
        <v>12300</v>
      </c>
      <c r="Q44" t="s">
        <v>1984</v>
      </c>
      <c r="R44" s="19">
        <f>VLOOKUP(A44,[1]Sheet1!$A$2:$Q$1536,15,FALSE)</f>
        <v>13994.6572265625</v>
      </c>
      <c r="S44" s="27">
        <f t="shared" si="0"/>
        <v>0.12109315713327819</v>
      </c>
      <c r="T44" s="19">
        <f>VLOOKUP(A44,[1]Sheet1!$A$2:$Q$1536,16,FALSE)</f>
        <v>12295.321743378059</v>
      </c>
      <c r="U44" s="27">
        <f t="shared" si="1"/>
        <v>-3.8049078499799368E-4</v>
      </c>
      <c r="V44" s="19">
        <f>VLOOKUP(A44,[1]Sheet1!$A$2:$Q$1536,17,FALSE)</f>
        <v>13914.982421875</v>
      </c>
      <c r="W44" s="27">
        <f t="shared" si="2"/>
        <v>0.11606068717242304</v>
      </c>
    </row>
    <row r="45" spans="1:23" x14ac:dyDescent="0.3">
      <c r="A45" s="4" t="s">
        <v>163</v>
      </c>
      <c r="B45" s="5">
        <v>2016</v>
      </c>
      <c r="C45" s="5" t="s">
        <v>96</v>
      </c>
      <c r="D45" s="15" t="s">
        <v>154</v>
      </c>
      <c r="E45" s="6">
        <v>104647</v>
      </c>
      <c r="F45" s="5" t="s">
        <v>164</v>
      </c>
      <c r="G45" s="5" t="s">
        <v>28</v>
      </c>
      <c r="H45" s="5" t="s">
        <v>17</v>
      </c>
      <c r="I45" s="5" t="s">
        <v>18</v>
      </c>
      <c r="J45" s="7">
        <v>45636</v>
      </c>
      <c r="K45" s="5" t="s">
        <v>17</v>
      </c>
      <c r="L45" s="8">
        <v>44113</v>
      </c>
      <c r="M45" s="19">
        <v>264</v>
      </c>
      <c r="N45" s="19">
        <v>314</v>
      </c>
      <c r="O45" s="24">
        <v>9000</v>
      </c>
      <c r="P45" s="24">
        <v>3400</v>
      </c>
      <c r="Q45" t="s">
        <v>1984</v>
      </c>
      <c r="R45" s="19">
        <f>VLOOKUP(A45,[1]Sheet1!$A$2:$Q$1536,15,FALSE)</f>
        <v>7679.302734375</v>
      </c>
      <c r="S45" s="27">
        <f t="shared" si="0"/>
        <v>0.55725146961839134</v>
      </c>
      <c r="T45" s="19">
        <f>VLOOKUP(A45,[1]Sheet1!$A$2:$Q$1536,16,FALSE)</f>
        <v>9331.8760510569118</v>
      </c>
      <c r="U45" s="27">
        <f t="shared" si="1"/>
        <v>0.63565739821255751</v>
      </c>
      <c r="V45" s="19">
        <f>VLOOKUP(A45,[1]Sheet1!$A$2:$Q$1536,17,FALSE)</f>
        <v>7752.19091796875</v>
      </c>
      <c r="W45" s="27">
        <f t="shared" si="2"/>
        <v>0.5614143103571968</v>
      </c>
    </row>
    <row r="46" spans="1:23" x14ac:dyDescent="0.3">
      <c r="A46" s="4" t="s">
        <v>1497</v>
      </c>
      <c r="B46" s="5">
        <v>2016</v>
      </c>
      <c r="C46" s="5" t="s">
        <v>1219</v>
      </c>
      <c r="D46" s="15" t="s">
        <v>1489</v>
      </c>
      <c r="E46" s="6">
        <v>105910</v>
      </c>
      <c r="F46" s="5" t="s">
        <v>21</v>
      </c>
      <c r="G46" s="5" t="s">
        <v>33</v>
      </c>
      <c r="H46" s="5" t="s">
        <v>17</v>
      </c>
      <c r="I46" s="5" t="s">
        <v>18</v>
      </c>
      <c r="J46" s="7">
        <v>45608</v>
      </c>
      <c r="K46" s="5" t="s">
        <v>17</v>
      </c>
      <c r="L46" s="8">
        <v>44128</v>
      </c>
      <c r="M46" s="19">
        <v>264</v>
      </c>
      <c r="N46" s="19">
        <v>314</v>
      </c>
      <c r="O46" s="24">
        <v>5200</v>
      </c>
      <c r="P46" s="24">
        <v>4400</v>
      </c>
      <c r="Q46" t="s">
        <v>1984</v>
      </c>
      <c r="R46" s="19">
        <f>VLOOKUP(A46,[1]Sheet1!$A$2:$Q$1536,15,FALSE)</f>
        <v>1267.205932617188</v>
      </c>
      <c r="S46" s="27">
        <f t="shared" si="0"/>
        <v>-2.4722059664861136</v>
      </c>
      <c r="T46" s="19">
        <f>VLOOKUP(A46,[1]Sheet1!$A$2:$Q$1536,16,FALSE)</f>
        <v>9142.2530479380857</v>
      </c>
      <c r="U46" s="27">
        <f t="shared" si="1"/>
        <v>0.51871820032455107</v>
      </c>
      <c r="V46" s="19">
        <f>VLOOKUP(A46,[1]Sheet1!$A$2:$Q$1536,17,FALSE)</f>
        <v>1325.587768554688</v>
      </c>
      <c r="W46" s="27">
        <f t="shared" si="2"/>
        <v>-2.3192822869793064</v>
      </c>
    </row>
    <row r="47" spans="1:23" x14ac:dyDescent="0.3">
      <c r="A47" s="4" t="s">
        <v>1900</v>
      </c>
      <c r="B47" s="5">
        <v>2011</v>
      </c>
      <c r="C47" s="5" t="s">
        <v>1223</v>
      </c>
      <c r="D47" s="15" t="s">
        <v>1901</v>
      </c>
      <c r="E47" s="6">
        <v>113172</v>
      </c>
      <c r="F47" s="5" t="s">
        <v>21</v>
      </c>
      <c r="G47" s="5" t="s">
        <v>25</v>
      </c>
      <c r="H47" s="5" t="s">
        <v>18</v>
      </c>
      <c r="I47" s="5" t="s">
        <v>17</v>
      </c>
      <c r="J47" s="7">
        <v>45300</v>
      </c>
      <c r="K47" s="5" t="s">
        <v>17</v>
      </c>
      <c r="L47" s="8">
        <v>44035</v>
      </c>
      <c r="M47" s="19">
        <v>222</v>
      </c>
      <c r="N47" s="19">
        <v>272</v>
      </c>
      <c r="O47" s="24">
        <v>0</v>
      </c>
      <c r="P47" s="24">
        <v>2000</v>
      </c>
      <c r="Q47" t="s">
        <v>1983</v>
      </c>
      <c r="R47" s="19">
        <f>VLOOKUP(A47,[1]Sheet1!$A$2:$Q$1536,15,FALSE)</f>
        <v>2286.292236328125</v>
      </c>
      <c r="S47" s="27">
        <f t="shared" si="0"/>
        <v>0.12522119079051836</v>
      </c>
      <c r="T47" s="19">
        <f>VLOOKUP(A47,[1]Sheet1!$A$2:$Q$1536,16,FALSE)</f>
        <v>9684.9443493206818</v>
      </c>
      <c r="U47" s="27">
        <f t="shared" si="1"/>
        <v>0.79349390891024751</v>
      </c>
      <c r="V47" s="19">
        <f>VLOOKUP(A47,[1]Sheet1!$A$2:$Q$1536,17,FALSE)</f>
        <v>2255.45654296875</v>
      </c>
      <c r="W47" s="27">
        <f t="shared" si="2"/>
        <v>0.11326156727121185</v>
      </c>
    </row>
    <row r="48" spans="1:23" x14ac:dyDescent="0.3">
      <c r="A48" s="4" t="s">
        <v>622</v>
      </c>
      <c r="B48" s="5">
        <v>2016</v>
      </c>
      <c r="C48" s="5" t="s">
        <v>30</v>
      </c>
      <c r="D48" s="15" t="s">
        <v>614</v>
      </c>
      <c r="E48" s="6">
        <v>73757</v>
      </c>
      <c r="F48" s="5" t="s">
        <v>92</v>
      </c>
      <c r="G48" s="5" t="s">
        <v>28</v>
      </c>
      <c r="H48" s="5" t="s">
        <v>17</v>
      </c>
      <c r="I48" s="5" t="s">
        <v>18</v>
      </c>
      <c r="J48" s="7">
        <v>45692</v>
      </c>
      <c r="K48" s="5" t="s">
        <v>17</v>
      </c>
      <c r="L48" s="8">
        <v>43612</v>
      </c>
      <c r="M48" s="19">
        <v>264</v>
      </c>
      <c r="N48" s="19">
        <v>314</v>
      </c>
      <c r="O48" s="24">
        <v>13100</v>
      </c>
      <c r="P48" s="24">
        <v>5800</v>
      </c>
      <c r="Q48" t="s">
        <v>1984</v>
      </c>
      <c r="R48" s="19">
        <f>VLOOKUP(A48,[1]Sheet1!$A$2:$Q$1536,15,FALSE)</f>
        <v>11043.1044921875</v>
      </c>
      <c r="S48" s="27">
        <f t="shared" si="0"/>
        <v>0.47478537361452666</v>
      </c>
      <c r="T48" s="19">
        <f>VLOOKUP(A48,[1]Sheet1!$A$2:$Q$1536,16,FALSE)</f>
        <v>10045.966134095281</v>
      </c>
      <c r="U48" s="27">
        <f t="shared" si="1"/>
        <v>0.42265383711426019</v>
      </c>
      <c r="V48" s="19">
        <f>VLOOKUP(A48,[1]Sheet1!$A$2:$Q$1536,17,FALSE)</f>
        <v>11175.064453125</v>
      </c>
      <c r="W48" s="27">
        <f t="shared" si="2"/>
        <v>0.48098733351125456</v>
      </c>
    </row>
    <row r="49" spans="1:23" x14ac:dyDescent="0.3">
      <c r="A49" s="4" t="s">
        <v>477</v>
      </c>
      <c r="B49" s="5">
        <v>2013</v>
      </c>
      <c r="C49" s="5" t="s">
        <v>391</v>
      </c>
      <c r="D49" s="15" t="s">
        <v>478</v>
      </c>
      <c r="E49" s="6">
        <v>61168</v>
      </c>
      <c r="F49" s="5" t="s">
        <v>81</v>
      </c>
      <c r="G49" s="5" t="s">
        <v>28</v>
      </c>
      <c r="H49" s="5" t="s">
        <v>17</v>
      </c>
      <c r="I49" s="5" t="s">
        <v>18</v>
      </c>
      <c r="J49" s="7">
        <v>45398</v>
      </c>
      <c r="K49" s="5" t="s">
        <v>17</v>
      </c>
      <c r="L49" s="8">
        <v>44113</v>
      </c>
      <c r="M49" s="19">
        <v>264</v>
      </c>
      <c r="N49" s="19">
        <v>314</v>
      </c>
      <c r="O49" s="24">
        <v>8100</v>
      </c>
      <c r="P49" s="24">
        <v>5600</v>
      </c>
      <c r="Q49" t="s">
        <v>1984</v>
      </c>
      <c r="R49" s="19">
        <f>VLOOKUP(A49,[1]Sheet1!$A$2:$Q$1536,15,FALSE)</f>
        <v>4583.8828125</v>
      </c>
      <c r="S49" s="27">
        <f t="shared" si="0"/>
        <v>-0.22167172003810906</v>
      </c>
      <c r="T49" s="19">
        <f>VLOOKUP(A49,[1]Sheet1!$A$2:$Q$1536,16,FALSE)</f>
        <v>11338.50902020713</v>
      </c>
      <c r="U49" s="27">
        <f t="shared" si="1"/>
        <v>0.50610790272161377</v>
      </c>
      <c r="V49" s="19">
        <f>VLOOKUP(A49,[1]Sheet1!$A$2:$Q$1536,17,FALSE)</f>
        <v>4384.09033203125</v>
      </c>
      <c r="W49" s="27">
        <f t="shared" si="2"/>
        <v>-0.27734594314469591</v>
      </c>
    </row>
    <row r="50" spans="1:23" x14ac:dyDescent="0.3">
      <c r="A50" s="4" t="s">
        <v>1132</v>
      </c>
      <c r="B50" s="5">
        <v>2012</v>
      </c>
      <c r="C50" s="5" t="s">
        <v>633</v>
      </c>
      <c r="D50" s="15" t="s">
        <v>1119</v>
      </c>
      <c r="E50" s="6">
        <v>80529</v>
      </c>
      <c r="F50" s="5" t="s">
        <v>27</v>
      </c>
      <c r="G50" s="5" t="s">
        <v>33</v>
      </c>
      <c r="H50" s="5" t="s">
        <v>17</v>
      </c>
      <c r="I50" s="5" t="s">
        <v>18</v>
      </c>
      <c r="J50" s="7">
        <v>45314</v>
      </c>
      <c r="K50" s="5" t="s">
        <v>17</v>
      </c>
      <c r="L50" s="8">
        <v>44444</v>
      </c>
      <c r="M50" s="19">
        <v>264</v>
      </c>
      <c r="N50" s="19">
        <v>314</v>
      </c>
      <c r="O50" s="24">
        <v>5800</v>
      </c>
      <c r="P50" s="24">
        <v>500</v>
      </c>
      <c r="Q50" t="s">
        <v>1984</v>
      </c>
      <c r="R50" s="19">
        <f>VLOOKUP(A50,[1]Sheet1!$A$2:$Q$1536,15,FALSE)</f>
        <v>3596.874755859375</v>
      </c>
      <c r="S50" s="27">
        <f t="shared" si="0"/>
        <v>0.86099043365758265</v>
      </c>
      <c r="T50" s="19">
        <f>VLOOKUP(A50,[1]Sheet1!$A$2:$Q$1536,16,FALSE)</f>
        <v>8940.2583248623723</v>
      </c>
      <c r="U50" s="27">
        <f t="shared" si="1"/>
        <v>0.94407320439393483</v>
      </c>
      <c r="V50" s="19">
        <f>VLOOKUP(A50,[1]Sheet1!$A$2:$Q$1536,17,FALSE)</f>
        <v>3488.23046875</v>
      </c>
      <c r="W50" s="27">
        <f t="shared" si="2"/>
        <v>0.85666084724637648</v>
      </c>
    </row>
    <row r="51" spans="1:23" x14ac:dyDescent="0.3">
      <c r="A51" s="4" t="s">
        <v>267</v>
      </c>
      <c r="B51" s="5">
        <v>2014</v>
      </c>
      <c r="C51" s="5" t="s">
        <v>237</v>
      </c>
      <c r="D51" s="15" t="s">
        <v>250</v>
      </c>
      <c r="E51" s="6">
        <v>93134</v>
      </c>
      <c r="F51" s="5" t="s">
        <v>115</v>
      </c>
      <c r="G51" s="5" t="s">
        <v>16</v>
      </c>
      <c r="H51" s="5" t="s">
        <v>17</v>
      </c>
      <c r="I51" s="5" t="s">
        <v>18</v>
      </c>
      <c r="J51" s="7">
        <v>45594</v>
      </c>
      <c r="K51" s="5" t="s">
        <v>17</v>
      </c>
      <c r="L51" s="8">
        <v>44662</v>
      </c>
      <c r="M51" s="19">
        <v>235</v>
      </c>
      <c r="N51" s="19">
        <v>285</v>
      </c>
      <c r="O51" s="24">
        <v>6200</v>
      </c>
      <c r="P51" s="24">
        <v>6000</v>
      </c>
      <c r="Q51" t="s">
        <v>1984</v>
      </c>
      <c r="R51" s="19">
        <f>VLOOKUP(A51,[1]Sheet1!$A$2:$Q$1536,15,FALSE)</f>
        <v>8251.6826171875</v>
      </c>
      <c r="S51" s="27">
        <f t="shared" si="0"/>
        <v>0.27287557237083393</v>
      </c>
      <c r="T51" s="19">
        <f>VLOOKUP(A51,[1]Sheet1!$A$2:$Q$1536,16,FALSE)</f>
        <v>10098.847322066331</v>
      </c>
      <c r="U51" s="27">
        <f t="shared" si="1"/>
        <v>0.40587278838350271</v>
      </c>
      <c r="V51" s="19">
        <f>VLOOKUP(A51,[1]Sheet1!$A$2:$Q$1536,17,FALSE)</f>
        <v>8255.8642578125</v>
      </c>
      <c r="W51" s="27">
        <f t="shared" si="2"/>
        <v>0.2732438648900728</v>
      </c>
    </row>
    <row r="52" spans="1:23" x14ac:dyDescent="0.3">
      <c r="A52" s="4" t="s">
        <v>957</v>
      </c>
      <c r="B52" s="5">
        <v>2018</v>
      </c>
      <c r="C52" s="5" t="s">
        <v>96</v>
      </c>
      <c r="D52" s="15" t="s">
        <v>107</v>
      </c>
      <c r="E52" s="6">
        <v>42800</v>
      </c>
      <c r="F52" s="5" t="s">
        <v>101</v>
      </c>
      <c r="G52" s="5" t="s">
        <v>16</v>
      </c>
      <c r="H52" s="5" t="s">
        <v>17</v>
      </c>
      <c r="I52" s="5" t="s">
        <v>18</v>
      </c>
      <c r="J52" s="7">
        <v>45314</v>
      </c>
      <c r="K52" s="5" t="s">
        <v>17</v>
      </c>
      <c r="L52" s="8">
        <v>44224</v>
      </c>
      <c r="M52" s="19">
        <v>235</v>
      </c>
      <c r="N52" s="19">
        <v>285</v>
      </c>
      <c r="O52" s="24">
        <v>16600</v>
      </c>
      <c r="P52" s="24">
        <v>13500</v>
      </c>
      <c r="Q52" t="s">
        <v>1984</v>
      </c>
      <c r="R52" s="19">
        <f>VLOOKUP(A52,[1]Sheet1!$A$2:$Q$1536,15,FALSE)</f>
        <v>14230.525390625</v>
      </c>
      <c r="S52" s="27">
        <f t="shared" si="0"/>
        <v>5.1335096250646271E-2</v>
      </c>
      <c r="T52" s="19">
        <f>VLOOKUP(A52,[1]Sheet1!$A$2:$Q$1536,16,FALSE)</f>
        <v>12489.10369382034</v>
      </c>
      <c r="U52" s="27">
        <f t="shared" si="1"/>
        <v>-8.0942262228141798E-2</v>
      </c>
      <c r="V52" s="19">
        <f>VLOOKUP(A52,[1]Sheet1!$A$2:$Q$1536,17,FALSE)</f>
        <v>14380.79296875</v>
      </c>
      <c r="W52" s="27">
        <f t="shared" si="2"/>
        <v>6.1247872121099022E-2</v>
      </c>
    </row>
    <row r="53" spans="1:23" x14ac:dyDescent="0.3">
      <c r="A53" s="4" t="s">
        <v>903</v>
      </c>
      <c r="B53" s="5">
        <v>2010</v>
      </c>
      <c r="C53" s="5" t="s">
        <v>30</v>
      </c>
      <c r="D53" s="15" t="s">
        <v>31</v>
      </c>
      <c r="E53" s="6">
        <v>100580</v>
      </c>
      <c r="F53" s="5" t="s">
        <v>15</v>
      </c>
      <c r="G53" s="5" t="s">
        <v>28</v>
      </c>
      <c r="H53" s="5" t="s">
        <v>17</v>
      </c>
      <c r="I53" s="5" t="s">
        <v>18</v>
      </c>
      <c r="J53" s="7">
        <v>45356</v>
      </c>
      <c r="K53" s="5" t="s">
        <v>17</v>
      </c>
      <c r="L53" s="8">
        <v>44035</v>
      </c>
      <c r="M53" s="19">
        <v>222</v>
      </c>
      <c r="N53" s="19">
        <v>272</v>
      </c>
      <c r="O53" s="24">
        <v>6800</v>
      </c>
      <c r="P53" s="24">
        <v>2700</v>
      </c>
      <c r="Q53" t="s">
        <v>1984</v>
      </c>
      <c r="R53" s="19">
        <f>VLOOKUP(A53,[1]Sheet1!$A$2:$Q$1536,15,FALSE)</f>
        <v>4766.31787109375</v>
      </c>
      <c r="S53" s="27">
        <f t="shared" si="0"/>
        <v>0.43352498238217207</v>
      </c>
      <c r="T53" s="19">
        <f>VLOOKUP(A53,[1]Sheet1!$A$2:$Q$1536,16,FALSE)</f>
        <v>9881.8677186227906</v>
      </c>
      <c r="U53" s="27">
        <f t="shared" si="1"/>
        <v>0.726772298832564</v>
      </c>
      <c r="V53" s="19">
        <f>VLOOKUP(A53,[1]Sheet1!$A$2:$Q$1536,17,FALSE)</f>
        <v>4716.2373046875</v>
      </c>
      <c r="W53" s="27">
        <f t="shared" si="2"/>
        <v>0.42750972320318747</v>
      </c>
    </row>
    <row r="54" spans="1:23" x14ac:dyDescent="0.3">
      <c r="A54" s="4" t="s">
        <v>110</v>
      </c>
      <c r="B54" s="5">
        <v>2014</v>
      </c>
      <c r="C54" s="5" t="s">
        <v>96</v>
      </c>
      <c r="D54" s="15" t="s">
        <v>105</v>
      </c>
      <c r="E54" s="6">
        <v>0</v>
      </c>
      <c r="F54" s="5"/>
      <c r="G54" s="5"/>
      <c r="H54" s="5" t="s">
        <v>18</v>
      </c>
      <c r="I54" s="5" t="s">
        <v>18</v>
      </c>
      <c r="J54" s="7">
        <v>45713</v>
      </c>
      <c r="K54" s="5" t="s">
        <v>17</v>
      </c>
      <c r="L54" s="8">
        <v>44028</v>
      </c>
      <c r="M54" s="19">
        <v>235</v>
      </c>
      <c r="N54" s="19">
        <v>285</v>
      </c>
      <c r="O54" s="24">
        <v>0</v>
      </c>
      <c r="P54" s="24">
        <v>11768.0811808118</v>
      </c>
      <c r="Q54" t="s">
        <v>1983</v>
      </c>
      <c r="R54" s="19">
        <f>VLOOKUP(A54,[1]Sheet1!$A$2:$Q$1536,15,FALSE)</f>
        <v>7205.81005859375</v>
      </c>
      <c r="S54" s="27">
        <f t="shared" si="0"/>
        <v>-0.63313785474778383</v>
      </c>
      <c r="T54" s="19">
        <f>VLOOKUP(A54,[1]Sheet1!$A$2:$Q$1536,16,FALSE)</f>
        <v>11719.446598404011</v>
      </c>
      <c r="U54" s="27">
        <f t="shared" si="1"/>
        <v>-4.1499043491022959E-3</v>
      </c>
      <c r="V54" s="19">
        <f>VLOOKUP(A54,[1]Sheet1!$A$2:$Q$1536,17,FALSE)</f>
        <v>6773.31884765625</v>
      </c>
      <c r="W54" s="27">
        <f t="shared" si="2"/>
        <v>-0.7374172758578863</v>
      </c>
    </row>
    <row r="55" spans="1:23" x14ac:dyDescent="0.3">
      <c r="A55" s="4" t="s">
        <v>1213</v>
      </c>
      <c r="B55" s="5">
        <v>2020</v>
      </c>
      <c r="C55" s="5" t="s">
        <v>684</v>
      </c>
      <c r="D55" s="15" t="s">
        <v>1187</v>
      </c>
      <c r="E55" s="6">
        <v>22144</v>
      </c>
      <c r="F55" s="5" t="s">
        <v>59</v>
      </c>
      <c r="G55" s="5" t="s">
        <v>16</v>
      </c>
      <c r="H55" s="5" t="s">
        <v>17</v>
      </c>
      <c r="I55" s="5" t="s">
        <v>18</v>
      </c>
      <c r="J55" s="7">
        <v>45580</v>
      </c>
      <c r="K55" s="5" t="s">
        <v>17</v>
      </c>
      <c r="L55" s="8">
        <v>44203</v>
      </c>
      <c r="M55" s="19">
        <v>235</v>
      </c>
      <c r="N55" s="19">
        <v>285</v>
      </c>
      <c r="O55" s="24">
        <v>12750</v>
      </c>
      <c r="P55" s="24">
        <v>8200</v>
      </c>
      <c r="Q55" t="s">
        <v>1984</v>
      </c>
      <c r="R55" s="19">
        <f>VLOOKUP(A55,[1]Sheet1!$A$2:$Q$1536,15,FALSE)</f>
        <v>16631.111328125</v>
      </c>
      <c r="S55" s="27">
        <f t="shared" si="0"/>
        <v>0.50694816249994568</v>
      </c>
      <c r="T55" s="19">
        <f>VLOOKUP(A55,[1]Sheet1!$A$2:$Q$1536,16,FALSE)</f>
        <v>13385.26832872233</v>
      </c>
      <c r="U55" s="27">
        <f t="shared" si="1"/>
        <v>0.38738620708825805</v>
      </c>
      <c r="V55" s="19">
        <f>VLOOKUP(A55,[1]Sheet1!$A$2:$Q$1536,17,FALSE)</f>
        <v>16748.99609375</v>
      </c>
      <c r="W55" s="27">
        <f t="shared" si="2"/>
        <v>0.51041841826807255</v>
      </c>
    </row>
    <row r="56" spans="1:23" x14ac:dyDescent="0.3">
      <c r="A56" s="4" t="s">
        <v>1526</v>
      </c>
      <c r="B56" s="5">
        <v>2016</v>
      </c>
      <c r="C56" s="5" t="s">
        <v>1139</v>
      </c>
      <c r="D56" s="15" t="s">
        <v>1525</v>
      </c>
      <c r="E56" s="6">
        <v>112985</v>
      </c>
      <c r="F56" s="5" t="s">
        <v>87</v>
      </c>
      <c r="G56" s="5" t="s">
        <v>28</v>
      </c>
      <c r="H56" s="5" t="s">
        <v>17</v>
      </c>
      <c r="I56" s="5" t="s">
        <v>18</v>
      </c>
      <c r="J56" s="7">
        <v>45692</v>
      </c>
      <c r="K56" s="5" t="s">
        <v>17</v>
      </c>
      <c r="L56" s="8">
        <v>44128</v>
      </c>
      <c r="M56" s="19">
        <v>264</v>
      </c>
      <c r="N56" s="19">
        <v>314</v>
      </c>
      <c r="O56" s="24">
        <v>6100</v>
      </c>
      <c r="P56" s="24">
        <v>3500</v>
      </c>
      <c r="Q56" t="s">
        <v>1984</v>
      </c>
      <c r="R56" s="19">
        <f>VLOOKUP(A56,[1]Sheet1!$A$2:$Q$1536,15,FALSE)</f>
        <v>2555.303955078125</v>
      </c>
      <c r="S56" s="27">
        <f t="shared" si="0"/>
        <v>-0.36970006759645629</v>
      </c>
      <c r="T56" s="19">
        <f>VLOOKUP(A56,[1]Sheet1!$A$2:$Q$1536,16,FALSE)</f>
        <v>9076.6185628883268</v>
      </c>
      <c r="U56" s="27">
        <f t="shared" si="1"/>
        <v>0.61439384328537394</v>
      </c>
      <c r="V56" s="19">
        <f>VLOOKUP(A56,[1]Sheet1!$A$2:$Q$1536,17,FALSE)</f>
        <v>2338.3408203125</v>
      </c>
      <c r="W56" s="27">
        <f t="shared" si="2"/>
        <v>-0.49678779483148816</v>
      </c>
    </row>
    <row r="57" spans="1:23" x14ac:dyDescent="0.3">
      <c r="A57" s="4" t="s">
        <v>564</v>
      </c>
      <c r="B57" s="5">
        <v>2019</v>
      </c>
      <c r="C57" s="5" t="s">
        <v>559</v>
      </c>
      <c r="D57" s="15" t="s">
        <v>560</v>
      </c>
      <c r="E57" s="6">
        <v>75606</v>
      </c>
      <c r="F57" s="5" t="s">
        <v>161</v>
      </c>
      <c r="G57" s="5" t="s">
        <v>16</v>
      </c>
      <c r="H57" s="5" t="s">
        <v>17</v>
      </c>
      <c r="I57" s="5" t="s">
        <v>18</v>
      </c>
      <c r="J57" s="7">
        <v>45370</v>
      </c>
      <c r="K57" s="5" t="s">
        <v>17</v>
      </c>
      <c r="L57" s="8">
        <v>44310</v>
      </c>
      <c r="M57" s="19">
        <v>235</v>
      </c>
      <c r="N57" s="19">
        <v>285</v>
      </c>
      <c r="O57" s="24">
        <v>20900</v>
      </c>
      <c r="P57" s="24">
        <v>16900</v>
      </c>
      <c r="Q57" t="s">
        <v>1984</v>
      </c>
      <c r="R57" s="19">
        <f>VLOOKUP(A57,[1]Sheet1!$A$2:$Q$1536,15,FALSE)</f>
        <v>18672.30078125</v>
      </c>
      <c r="S57" s="27">
        <f t="shared" si="0"/>
        <v>9.4916036433478818E-2</v>
      </c>
      <c r="T57" s="19">
        <f>VLOOKUP(A57,[1]Sheet1!$A$2:$Q$1536,16,FALSE)</f>
        <v>11380.547180896159</v>
      </c>
      <c r="U57" s="27">
        <f t="shared" si="1"/>
        <v>-0.48499010911962254</v>
      </c>
      <c r="V57" s="19">
        <f>VLOOKUP(A57,[1]Sheet1!$A$2:$Q$1536,17,FALSE)</f>
        <v>19535.35546875</v>
      </c>
      <c r="W57" s="27">
        <f t="shared" si="2"/>
        <v>0.13490184363246846</v>
      </c>
    </row>
    <row r="58" spans="1:23" x14ac:dyDescent="0.3">
      <c r="A58" s="4" t="s">
        <v>1520</v>
      </c>
      <c r="B58" s="5">
        <v>2014</v>
      </c>
      <c r="C58" s="5" t="s">
        <v>1139</v>
      </c>
      <c r="D58" s="15" t="s">
        <v>1140</v>
      </c>
      <c r="E58" s="6">
        <v>139149</v>
      </c>
      <c r="F58" s="5" t="s">
        <v>32</v>
      </c>
      <c r="G58" s="5" t="s">
        <v>25</v>
      </c>
      <c r="H58" s="5" t="s">
        <v>18</v>
      </c>
      <c r="I58" s="5" t="s">
        <v>17</v>
      </c>
      <c r="J58" s="7">
        <v>45720</v>
      </c>
      <c r="K58" s="5" t="s">
        <v>17</v>
      </c>
      <c r="L58" s="8">
        <v>44128</v>
      </c>
      <c r="M58" s="19">
        <v>264</v>
      </c>
      <c r="N58" s="19">
        <v>314</v>
      </c>
      <c r="O58" s="24">
        <v>5300</v>
      </c>
      <c r="P58" s="24">
        <v>2200</v>
      </c>
      <c r="Q58" t="s">
        <v>1984</v>
      </c>
      <c r="R58" s="19">
        <f>VLOOKUP(A58,[1]Sheet1!$A$2:$Q$1536,15,FALSE)</f>
        <v>1140.654907226562</v>
      </c>
      <c r="S58" s="27">
        <f t="shared" si="0"/>
        <v>-0.92871655227361949</v>
      </c>
      <c r="T58" s="19">
        <f>VLOOKUP(A58,[1]Sheet1!$A$2:$Q$1536,16,FALSE)</f>
        <v>9033.1353048840119</v>
      </c>
      <c r="U58" s="27">
        <f t="shared" si="1"/>
        <v>0.75645222552899105</v>
      </c>
      <c r="V58" s="19">
        <f>VLOOKUP(A58,[1]Sheet1!$A$2:$Q$1536,17,FALSE)</f>
        <v>1276.312622070312</v>
      </c>
      <c r="W58" s="27">
        <f t="shared" si="2"/>
        <v>-0.72371561791136307</v>
      </c>
    </row>
    <row r="59" spans="1:23" x14ac:dyDescent="0.3">
      <c r="A59" s="4" t="s">
        <v>1765</v>
      </c>
      <c r="B59" s="5">
        <v>2020</v>
      </c>
      <c r="C59" s="5" t="s">
        <v>1086</v>
      </c>
      <c r="D59" s="15" t="s">
        <v>1758</v>
      </c>
      <c r="E59" s="6">
        <v>51404</v>
      </c>
      <c r="F59" s="5" t="s">
        <v>125</v>
      </c>
      <c r="G59" s="5" t="s">
        <v>16</v>
      </c>
      <c r="H59" s="5" t="s">
        <v>18</v>
      </c>
      <c r="I59" s="5" t="s">
        <v>18</v>
      </c>
      <c r="J59" s="7">
        <v>45428</v>
      </c>
      <c r="K59" s="5" t="s">
        <v>17</v>
      </c>
      <c r="L59" s="8">
        <v>43617</v>
      </c>
      <c r="M59" s="19">
        <v>264</v>
      </c>
      <c r="N59" s="19">
        <v>314</v>
      </c>
      <c r="O59" s="24">
        <v>12800</v>
      </c>
      <c r="P59" s="24">
        <v>11400</v>
      </c>
      <c r="Q59" t="s">
        <v>1984</v>
      </c>
      <c r="R59" s="19">
        <f>VLOOKUP(A59,[1]Sheet1!$A$2:$Q$1536,15,FALSE)</f>
        <v>13801.84765625</v>
      </c>
      <c r="S59" s="27">
        <f t="shared" si="0"/>
        <v>0.17402363191296003</v>
      </c>
      <c r="T59" s="19">
        <f>VLOOKUP(A59,[1]Sheet1!$A$2:$Q$1536,16,FALSE)</f>
        <v>13024.708671764231</v>
      </c>
      <c r="U59" s="27">
        <f t="shared" si="1"/>
        <v>0.12474049997650807</v>
      </c>
      <c r="V59" s="19">
        <f>VLOOKUP(A59,[1]Sheet1!$A$2:$Q$1536,17,FALSE)</f>
        <v>13797.9951171875</v>
      </c>
      <c r="W59" s="27">
        <f t="shared" si="2"/>
        <v>0.1737930110005933</v>
      </c>
    </row>
    <row r="60" spans="1:23" x14ac:dyDescent="0.3">
      <c r="A60" s="4" t="s">
        <v>1498</v>
      </c>
      <c r="B60" s="5">
        <v>2014</v>
      </c>
      <c r="C60" s="5" t="s">
        <v>1219</v>
      </c>
      <c r="D60" s="15" t="s">
        <v>1489</v>
      </c>
      <c r="E60" s="6">
        <v>100776</v>
      </c>
      <c r="F60" s="5" t="s">
        <v>79</v>
      </c>
      <c r="G60" s="5" t="s">
        <v>22</v>
      </c>
      <c r="H60" s="5" t="s">
        <v>18</v>
      </c>
      <c r="I60" s="5" t="s">
        <v>17</v>
      </c>
      <c r="J60" s="7">
        <v>45370</v>
      </c>
      <c r="K60" s="5" t="s">
        <v>17</v>
      </c>
      <c r="L60" s="8">
        <v>44067</v>
      </c>
      <c r="M60" s="19">
        <v>235</v>
      </c>
      <c r="N60" s="19">
        <v>285</v>
      </c>
      <c r="O60" s="24">
        <v>1000</v>
      </c>
      <c r="P60" s="24">
        <v>900</v>
      </c>
      <c r="Q60" t="s">
        <v>1984</v>
      </c>
      <c r="R60" s="19">
        <f>VLOOKUP(A60,[1]Sheet1!$A$2:$Q$1536,15,FALSE)</f>
        <v>1927.290771484375</v>
      </c>
      <c r="S60" s="27">
        <f t="shared" si="0"/>
        <v>0.5330232400236985</v>
      </c>
      <c r="T60" s="19">
        <f>VLOOKUP(A60,[1]Sheet1!$A$2:$Q$1536,16,FALSE)</f>
        <v>9185.4663320793534</v>
      </c>
      <c r="U60" s="27">
        <f t="shared" si="1"/>
        <v>0.90201912810274676</v>
      </c>
      <c r="V60" s="19">
        <f>VLOOKUP(A60,[1]Sheet1!$A$2:$Q$1536,17,FALSE)</f>
        <v>1892.78857421875</v>
      </c>
      <c r="W60" s="27">
        <f t="shared" si="2"/>
        <v>0.52451107732860458</v>
      </c>
    </row>
    <row r="61" spans="1:23" x14ac:dyDescent="0.3">
      <c r="A61" s="4" t="s">
        <v>609</v>
      </c>
      <c r="B61" s="5">
        <v>2018</v>
      </c>
      <c r="C61" s="5" t="s">
        <v>535</v>
      </c>
      <c r="D61" s="15" t="s">
        <v>610</v>
      </c>
      <c r="E61" s="6">
        <v>78098</v>
      </c>
      <c r="F61" s="5" t="s">
        <v>101</v>
      </c>
      <c r="G61" s="5" t="s">
        <v>16</v>
      </c>
      <c r="H61" s="5" t="s">
        <v>17</v>
      </c>
      <c r="I61" s="5" t="s">
        <v>18</v>
      </c>
      <c r="J61" s="7">
        <v>45342</v>
      </c>
      <c r="K61" s="5" t="s">
        <v>17</v>
      </c>
      <c r="L61" s="8">
        <v>44473</v>
      </c>
      <c r="M61" s="19">
        <v>307</v>
      </c>
      <c r="N61" s="19">
        <v>357</v>
      </c>
      <c r="O61" s="24">
        <v>18500</v>
      </c>
      <c r="P61" s="24">
        <v>14200</v>
      </c>
      <c r="Q61" t="s">
        <v>1984</v>
      </c>
      <c r="R61" s="19">
        <f>VLOOKUP(A61,[1]Sheet1!$A$2:$Q$1536,15,FALSE)</f>
        <v>14235.8994140625</v>
      </c>
      <c r="S61" s="27">
        <f t="shared" si="0"/>
        <v>2.5217524385595094E-3</v>
      </c>
      <c r="T61" s="19">
        <f>VLOOKUP(A61,[1]Sheet1!$A$2:$Q$1536,16,FALSE)</f>
        <v>10780.329884291299</v>
      </c>
      <c r="U61" s="27">
        <f t="shared" si="1"/>
        <v>-0.31721386566209986</v>
      </c>
      <c r="V61" s="19">
        <f>VLOOKUP(A61,[1]Sheet1!$A$2:$Q$1536,17,FALSE)</f>
        <v>14522.990234375</v>
      </c>
      <c r="W61" s="27">
        <f t="shared" si="2"/>
        <v>2.2239926431300804E-2</v>
      </c>
    </row>
    <row r="62" spans="1:23" x14ac:dyDescent="0.3">
      <c r="A62" s="4" t="s">
        <v>188</v>
      </c>
      <c r="B62" s="5">
        <v>2014</v>
      </c>
      <c r="C62" s="5" t="s">
        <v>96</v>
      </c>
      <c r="D62" s="15" t="s">
        <v>177</v>
      </c>
      <c r="E62" s="6">
        <v>102179</v>
      </c>
      <c r="F62" s="5" t="s">
        <v>36</v>
      </c>
      <c r="G62" s="5" t="s">
        <v>33</v>
      </c>
      <c r="H62" s="5" t="s">
        <v>17</v>
      </c>
      <c r="I62" s="5" t="s">
        <v>18</v>
      </c>
      <c r="J62" s="7">
        <v>45736</v>
      </c>
      <c r="K62" s="5" t="s">
        <v>17</v>
      </c>
      <c r="L62" s="8">
        <v>44054</v>
      </c>
      <c r="M62" s="19">
        <v>235</v>
      </c>
      <c r="N62" s="19">
        <v>285</v>
      </c>
      <c r="O62" s="24">
        <v>0</v>
      </c>
      <c r="P62" s="24">
        <v>9000</v>
      </c>
      <c r="Q62" t="s">
        <v>1983</v>
      </c>
      <c r="R62" s="19">
        <f>VLOOKUP(A62,[1]Sheet1!$A$2:$Q$1536,15,FALSE)</f>
        <v>2794.559326171875</v>
      </c>
      <c r="S62" s="27">
        <f t="shared" si="0"/>
        <v>-2.220543545349829</v>
      </c>
      <c r="T62" s="19">
        <f>VLOOKUP(A62,[1]Sheet1!$A$2:$Q$1536,16,FALSE)</f>
        <v>9260.0998907527264</v>
      </c>
      <c r="U62" s="27">
        <f t="shared" si="1"/>
        <v>2.8088238120677948E-2</v>
      </c>
      <c r="V62" s="19">
        <f>VLOOKUP(A62,[1]Sheet1!$A$2:$Q$1536,17,FALSE)</f>
        <v>2645.82568359375</v>
      </c>
      <c r="W62" s="27">
        <f t="shared" si="2"/>
        <v>-2.4015846379477108</v>
      </c>
    </row>
    <row r="63" spans="1:23" x14ac:dyDescent="0.3">
      <c r="A63" s="4" t="s">
        <v>976</v>
      </c>
      <c r="B63" s="5">
        <v>2017</v>
      </c>
      <c r="C63" s="5" t="s">
        <v>83</v>
      </c>
      <c r="D63" s="15" t="s">
        <v>965</v>
      </c>
      <c r="E63" s="6">
        <v>115238</v>
      </c>
      <c r="F63" s="5" t="s">
        <v>24</v>
      </c>
      <c r="G63" s="5" t="s">
        <v>33</v>
      </c>
      <c r="H63" s="5" t="s">
        <v>17</v>
      </c>
      <c r="I63" s="5" t="s">
        <v>18</v>
      </c>
      <c r="J63" s="7">
        <v>45314</v>
      </c>
      <c r="K63" s="5" t="s">
        <v>17</v>
      </c>
      <c r="L63" s="8">
        <v>43612</v>
      </c>
      <c r="M63" s="19">
        <v>264</v>
      </c>
      <c r="N63" s="19">
        <v>314</v>
      </c>
      <c r="O63" s="24">
        <v>4600</v>
      </c>
      <c r="P63" s="24">
        <v>2200</v>
      </c>
      <c r="Q63" t="s">
        <v>1984</v>
      </c>
      <c r="R63" s="19">
        <f>VLOOKUP(A63,[1]Sheet1!$A$2:$Q$1536,15,FALSE)</f>
        <v>4301.5751953125</v>
      </c>
      <c r="S63" s="27">
        <f t="shared" si="0"/>
        <v>0.48855944622393732</v>
      </c>
      <c r="T63" s="19">
        <f>VLOOKUP(A63,[1]Sheet1!$A$2:$Q$1536,16,FALSE)</f>
        <v>8889.0746219346365</v>
      </c>
      <c r="U63" s="27">
        <f t="shared" si="1"/>
        <v>0.75250517139643636</v>
      </c>
      <c r="V63" s="19">
        <f>VLOOKUP(A63,[1]Sheet1!$A$2:$Q$1536,17,FALSE)</f>
        <v>4277.77783203125</v>
      </c>
      <c r="W63" s="27">
        <f t="shared" si="2"/>
        <v>0.48571429223678098</v>
      </c>
    </row>
    <row r="64" spans="1:23" x14ac:dyDescent="0.3">
      <c r="A64" s="4" t="s">
        <v>1321</v>
      </c>
      <c r="B64" s="5">
        <v>2009</v>
      </c>
      <c r="C64" s="5" t="s">
        <v>1089</v>
      </c>
      <c r="D64" s="15" t="s">
        <v>1322</v>
      </c>
      <c r="E64" s="6">
        <v>172584</v>
      </c>
      <c r="F64" s="5" t="s">
        <v>32</v>
      </c>
      <c r="G64" s="5" t="s">
        <v>25</v>
      </c>
      <c r="H64" s="5" t="s">
        <v>18</v>
      </c>
      <c r="I64" s="5" t="s">
        <v>17</v>
      </c>
      <c r="J64" s="7">
        <v>45379</v>
      </c>
      <c r="K64" s="5" t="s">
        <v>17</v>
      </c>
      <c r="L64" s="8">
        <v>44137</v>
      </c>
      <c r="M64" s="19">
        <v>280</v>
      </c>
      <c r="N64" s="19">
        <v>330</v>
      </c>
      <c r="O64" s="24">
        <v>0</v>
      </c>
      <c r="P64" s="24">
        <v>2600</v>
      </c>
      <c r="Q64" t="s">
        <v>1983</v>
      </c>
      <c r="R64" s="19">
        <f>VLOOKUP(A64,[1]Sheet1!$A$2:$Q$1536,15,FALSE)</f>
        <v>578.72381591796875</v>
      </c>
      <c r="S64" s="27">
        <f t="shared" si="0"/>
        <v>-3.4926438630763679</v>
      </c>
      <c r="T64" s="19">
        <f>VLOOKUP(A64,[1]Sheet1!$A$2:$Q$1536,16,FALSE)</f>
        <v>8642.2147529196227</v>
      </c>
      <c r="U64" s="27">
        <f t="shared" si="1"/>
        <v>0.69915119279793003</v>
      </c>
      <c r="V64" s="19">
        <f>VLOOKUP(A64,[1]Sheet1!$A$2:$Q$1536,17,FALSE)</f>
        <v>935.48895263671875</v>
      </c>
      <c r="W64" s="27">
        <f t="shared" si="2"/>
        <v>-1.7792952473375341</v>
      </c>
    </row>
    <row r="65" spans="1:23" x14ac:dyDescent="0.3">
      <c r="A65" s="4" t="s">
        <v>584</v>
      </c>
      <c r="B65" s="5">
        <v>2019</v>
      </c>
      <c r="C65" s="5" t="s">
        <v>391</v>
      </c>
      <c r="D65" s="15" t="s">
        <v>585</v>
      </c>
      <c r="E65" s="6">
        <v>120500</v>
      </c>
      <c r="F65" s="5" t="s">
        <v>246</v>
      </c>
      <c r="G65" s="5" t="s">
        <v>25</v>
      </c>
      <c r="H65" s="5" t="s">
        <v>18</v>
      </c>
      <c r="I65" s="5" t="s">
        <v>17</v>
      </c>
      <c r="J65" s="7">
        <v>45631</v>
      </c>
      <c r="K65" s="5" t="s">
        <v>17</v>
      </c>
      <c r="L65" s="8">
        <v>44067</v>
      </c>
      <c r="M65" s="19">
        <v>235</v>
      </c>
      <c r="N65" s="19">
        <v>285</v>
      </c>
      <c r="O65" s="24">
        <v>0</v>
      </c>
      <c r="P65" s="24">
        <v>18000</v>
      </c>
      <c r="Q65" t="s">
        <v>1983</v>
      </c>
      <c r="R65" s="19">
        <f>VLOOKUP(A65,[1]Sheet1!$A$2:$Q$1536,15,FALSE)</f>
        <v>11072.2001953125</v>
      </c>
      <c r="S65" s="27">
        <f t="shared" si="0"/>
        <v>-0.62569314883056726</v>
      </c>
      <c r="T65" s="19">
        <f>VLOOKUP(A65,[1]Sheet1!$A$2:$Q$1536,16,FALSE)</f>
        <v>10343.29917718087</v>
      </c>
      <c r="U65" s="27">
        <f t="shared" si="1"/>
        <v>-0.74025711638614811</v>
      </c>
      <c r="V65" s="19">
        <f>VLOOKUP(A65,[1]Sheet1!$A$2:$Q$1536,17,FALSE)</f>
        <v>11166.2685546875</v>
      </c>
      <c r="W65" s="27">
        <f t="shared" si="2"/>
        <v>-0.61199776916020532</v>
      </c>
    </row>
    <row r="66" spans="1:23" x14ac:dyDescent="0.3">
      <c r="A66" s="4" t="s">
        <v>1862</v>
      </c>
      <c r="B66" s="5">
        <v>2014</v>
      </c>
      <c r="C66" s="5" t="s">
        <v>1401</v>
      </c>
      <c r="D66" s="15" t="s">
        <v>1863</v>
      </c>
      <c r="E66" s="6">
        <v>131765</v>
      </c>
      <c r="F66" s="5" t="s">
        <v>40</v>
      </c>
      <c r="G66" s="5" t="s">
        <v>25</v>
      </c>
      <c r="H66" s="5" t="s">
        <v>18</v>
      </c>
      <c r="I66" s="5" t="s">
        <v>17</v>
      </c>
      <c r="J66" s="7">
        <v>45664</v>
      </c>
      <c r="K66" s="5" t="s">
        <v>17</v>
      </c>
      <c r="L66" s="8">
        <v>43950</v>
      </c>
      <c r="M66" s="19">
        <v>264</v>
      </c>
      <c r="N66" s="19">
        <v>314</v>
      </c>
      <c r="O66" s="24">
        <v>0</v>
      </c>
      <c r="P66" s="24">
        <v>7700</v>
      </c>
      <c r="Q66" t="s">
        <v>1983</v>
      </c>
      <c r="R66" s="19">
        <f>VLOOKUP(A66,[1]Sheet1!$A$2:$Q$1536,15,FALSE)</f>
        <v>1958.910034179688</v>
      </c>
      <c r="S66" s="27">
        <f t="shared" si="0"/>
        <v>-2.9307573424240729</v>
      </c>
      <c r="T66" s="19">
        <f>VLOOKUP(A66,[1]Sheet1!$A$2:$Q$1536,16,FALSE)</f>
        <v>9479.2094196117996</v>
      </c>
      <c r="U66" s="27">
        <f t="shared" si="1"/>
        <v>0.18769597134659183</v>
      </c>
      <c r="V66" s="19">
        <f>VLOOKUP(A66,[1]Sheet1!$A$2:$Q$1536,17,FALSE)</f>
        <v>1951.2666015625</v>
      </c>
      <c r="W66" s="27">
        <f t="shared" si="2"/>
        <v>-2.9461547662600966</v>
      </c>
    </row>
    <row r="67" spans="1:23" x14ac:dyDescent="0.3">
      <c r="A67" s="4" t="s">
        <v>39</v>
      </c>
      <c r="B67" s="5">
        <v>2019</v>
      </c>
      <c r="C67" s="5" t="s">
        <v>30</v>
      </c>
      <c r="D67" s="15" t="s">
        <v>31</v>
      </c>
      <c r="E67" s="6">
        <v>41214</v>
      </c>
      <c r="F67" s="5" t="s">
        <v>40</v>
      </c>
      <c r="G67" s="5" t="s">
        <v>28</v>
      </c>
      <c r="H67" s="5" t="s">
        <v>17</v>
      </c>
      <c r="I67" s="5" t="s">
        <v>18</v>
      </c>
      <c r="J67" s="7">
        <v>45454</v>
      </c>
      <c r="K67" s="5" t="s">
        <v>17</v>
      </c>
      <c r="L67" s="8">
        <v>44067</v>
      </c>
      <c r="M67" s="19">
        <v>235</v>
      </c>
      <c r="N67" s="19">
        <v>285</v>
      </c>
      <c r="O67" s="24">
        <v>15400</v>
      </c>
      <c r="P67" s="24">
        <v>5100</v>
      </c>
      <c r="Q67" t="s">
        <v>1984</v>
      </c>
      <c r="R67" s="19">
        <f>VLOOKUP(A67,[1]Sheet1!$A$2:$Q$1536,15,FALSE)</f>
        <v>9294.8408203125</v>
      </c>
      <c r="S67" s="27">
        <f t="shared" ref="S67:S130" si="3">(R67-$P67)/R67</f>
        <v>0.45130851634869268</v>
      </c>
      <c r="T67" s="19">
        <f>VLOOKUP(A67,[1]Sheet1!$A$2:$Q$1536,16,FALSE)</f>
        <v>11393.16749477369</v>
      </c>
      <c r="U67" s="27">
        <f t="shared" ref="U67:U130" si="4">(T67-$P67)/T67</f>
        <v>0.55236329121471373</v>
      </c>
      <c r="V67" s="19">
        <f>VLOOKUP(A67,[1]Sheet1!$A$2:$Q$1536,17,FALSE)</f>
        <v>9219.1015625</v>
      </c>
      <c r="W67" s="27">
        <f t="shared" ref="W67:W130" si="5">(V67-$P67)/V67</f>
        <v>0.44680075759822718</v>
      </c>
    </row>
    <row r="68" spans="1:23" x14ac:dyDescent="0.3">
      <c r="A68" s="4" t="s">
        <v>811</v>
      </c>
      <c r="B68" s="5">
        <v>2017</v>
      </c>
      <c r="C68" s="5" t="s">
        <v>559</v>
      </c>
      <c r="D68" s="15" t="s">
        <v>760</v>
      </c>
      <c r="E68" s="6">
        <v>106477</v>
      </c>
      <c r="F68" s="5" t="s">
        <v>21</v>
      </c>
      <c r="G68" s="5" t="s">
        <v>25</v>
      </c>
      <c r="H68" s="5" t="s">
        <v>18</v>
      </c>
      <c r="I68" s="5" t="s">
        <v>17</v>
      </c>
      <c r="J68" s="7">
        <v>45440</v>
      </c>
      <c r="K68" s="5" t="s">
        <v>17</v>
      </c>
      <c r="L68" s="8">
        <v>44081</v>
      </c>
      <c r="M68" s="19">
        <v>325</v>
      </c>
      <c r="N68" s="19">
        <v>375</v>
      </c>
      <c r="O68" s="24">
        <v>5250</v>
      </c>
      <c r="P68" s="24">
        <v>2400</v>
      </c>
      <c r="Q68" t="s">
        <v>1984</v>
      </c>
      <c r="R68" s="19">
        <f>VLOOKUP(A68,[1]Sheet1!$A$2:$Q$1536,15,FALSE)</f>
        <v>5196.91259765625</v>
      </c>
      <c r="S68" s="27">
        <f t="shared" si="3"/>
        <v>0.53818734587101325</v>
      </c>
      <c r="T68" s="19">
        <f>VLOOKUP(A68,[1]Sheet1!$A$2:$Q$1536,16,FALSE)</f>
        <v>10035.61361726518</v>
      </c>
      <c r="U68" s="27">
        <f t="shared" si="4"/>
        <v>0.76085169362528449</v>
      </c>
      <c r="V68" s="19">
        <f>VLOOKUP(A68,[1]Sheet1!$A$2:$Q$1536,17,FALSE)</f>
        <v>5051.259765625</v>
      </c>
      <c r="W68" s="27">
        <f t="shared" si="5"/>
        <v>0.52487100023392985</v>
      </c>
    </row>
    <row r="69" spans="1:23" x14ac:dyDescent="0.3">
      <c r="A69" s="4" t="s">
        <v>82</v>
      </c>
      <c r="B69" s="5">
        <v>2015</v>
      </c>
      <c r="C69" s="5" t="s">
        <v>83</v>
      </c>
      <c r="D69" s="15" t="s">
        <v>84</v>
      </c>
      <c r="E69" s="6">
        <v>109570</v>
      </c>
      <c r="F69" s="5" t="s">
        <v>40</v>
      </c>
      <c r="G69" s="5" t="s">
        <v>28</v>
      </c>
      <c r="H69" s="5" t="s">
        <v>17</v>
      </c>
      <c r="I69" s="5" t="s">
        <v>18</v>
      </c>
      <c r="J69" s="7">
        <v>45449</v>
      </c>
      <c r="K69" s="5" t="s">
        <v>17</v>
      </c>
      <c r="L69" s="8">
        <v>44128</v>
      </c>
      <c r="M69" s="19">
        <v>264</v>
      </c>
      <c r="N69" s="19">
        <v>314</v>
      </c>
      <c r="O69" s="24">
        <v>4100</v>
      </c>
      <c r="P69" s="24">
        <v>2100</v>
      </c>
      <c r="Q69" t="s">
        <v>1984</v>
      </c>
      <c r="R69" s="19">
        <f>VLOOKUP(A69,[1]Sheet1!$A$2:$Q$1536,15,FALSE)</f>
        <v>3203.23486328125</v>
      </c>
      <c r="S69" s="27">
        <f t="shared" si="3"/>
        <v>0.34441272974631204</v>
      </c>
      <c r="T69" s="19">
        <f>VLOOKUP(A69,[1]Sheet1!$A$2:$Q$1536,16,FALSE)</f>
        <v>8912.0418094028137</v>
      </c>
      <c r="U69" s="27">
        <f t="shared" si="4"/>
        <v>0.76436376254604677</v>
      </c>
      <c r="V69" s="19">
        <f>VLOOKUP(A69,[1]Sheet1!$A$2:$Q$1536,17,FALSE)</f>
        <v>3070.48291015625</v>
      </c>
      <c r="W69" s="27">
        <f t="shared" si="5"/>
        <v>0.31606849428999567</v>
      </c>
    </row>
    <row r="70" spans="1:23" x14ac:dyDescent="0.3">
      <c r="A70" s="4" t="s">
        <v>1448</v>
      </c>
      <c r="B70" s="5">
        <v>2011</v>
      </c>
      <c r="C70" s="5" t="s">
        <v>1086</v>
      </c>
      <c r="D70" s="15" t="s">
        <v>1442</v>
      </c>
      <c r="E70" s="6">
        <v>123251</v>
      </c>
      <c r="F70" s="5" t="s">
        <v>81</v>
      </c>
      <c r="G70" s="5" t="s">
        <v>25</v>
      </c>
      <c r="H70" s="5" t="s">
        <v>18</v>
      </c>
      <c r="I70" s="5" t="s">
        <v>17</v>
      </c>
      <c r="J70" s="7">
        <v>45498</v>
      </c>
      <c r="K70" s="5" t="s">
        <v>17</v>
      </c>
      <c r="L70" s="8">
        <v>44067</v>
      </c>
      <c r="M70" s="19">
        <v>235</v>
      </c>
      <c r="N70" s="19">
        <v>285</v>
      </c>
      <c r="O70" s="24">
        <v>0</v>
      </c>
      <c r="P70" s="24">
        <v>2400</v>
      </c>
      <c r="Q70" t="s">
        <v>1983</v>
      </c>
      <c r="R70" s="19">
        <f>VLOOKUP(A70,[1]Sheet1!$A$2:$Q$1536,15,FALSE)</f>
        <v>641.63031005859375</v>
      </c>
      <c r="S70" s="27">
        <f t="shared" si="3"/>
        <v>-2.740471674071681</v>
      </c>
      <c r="T70" s="19">
        <f>VLOOKUP(A70,[1]Sheet1!$A$2:$Q$1536,16,FALSE)</f>
        <v>8711.1789896348728</v>
      </c>
      <c r="U70" s="27">
        <f t="shared" si="4"/>
        <v>0.72449194272604478</v>
      </c>
      <c r="V70" s="19">
        <f>VLOOKUP(A70,[1]Sheet1!$A$2:$Q$1536,17,FALSE)</f>
        <v>932.59674072265625</v>
      </c>
      <c r="W70" s="27">
        <f t="shared" si="5"/>
        <v>-1.573459562104274</v>
      </c>
    </row>
    <row r="71" spans="1:23" x14ac:dyDescent="0.3">
      <c r="A71" s="4" t="s">
        <v>1865</v>
      </c>
      <c r="B71" s="5">
        <v>2014</v>
      </c>
      <c r="C71" s="5" t="s">
        <v>1401</v>
      </c>
      <c r="D71" s="15" t="s">
        <v>1866</v>
      </c>
      <c r="E71" s="6">
        <v>156747</v>
      </c>
      <c r="F71" s="5" t="s">
        <v>170</v>
      </c>
      <c r="G71" s="5" t="s">
        <v>25</v>
      </c>
      <c r="H71" s="5" t="s">
        <v>18</v>
      </c>
      <c r="I71" s="5" t="s">
        <v>17</v>
      </c>
      <c r="J71" s="7">
        <v>45678</v>
      </c>
      <c r="K71" s="5" t="s">
        <v>17</v>
      </c>
      <c r="L71" s="8">
        <v>44074</v>
      </c>
      <c r="M71" s="19">
        <v>179</v>
      </c>
      <c r="N71" s="19">
        <v>229</v>
      </c>
      <c r="O71" s="24"/>
      <c r="P71" s="24">
        <v>2800</v>
      </c>
      <c r="R71" s="19">
        <f>VLOOKUP(A71,[1]Sheet1!$A$2:$Q$1536,15,FALSE)</f>
        <v>3482.77734375</v>
      </c>
      <c r="S71" s="27">
        <f t="shared" si="3"/>
        <v>0.19604392597054029</v>
      </c>
      <c r="T71" s="19">
        <f>VLOOKUP(A71,[1]Sheet1!$A$2:$Q$1536,16,FALSE)</f>
        <v>9479.2094196117996</v>
      </c>
      <c r="U71" s="27">
        <f t="shared" si="4"/>
        <v>0.70461671685330607</v>
      </c>
      <c r="V71" s="19">
        <f>VLOOKUP(A71,[1]Sheet1!$A$2:$Q$1536,17,FALSE)</f>
        <v>3523.06982421875</v>
      </c>
      <c r="W71" s="27">
        <f t="shared" si="5"/>
        <v>0.20523857326020856</v>
      </c>
    </row>
    <row r="72" spans="1:23" x14ac:dyDescent="0.3">
      <c r="A72" s="4" t="s">
        <v>1915</v>
      </c>
      <c r="B72" s="5">
        <v>2013</v>
      </c>
      <c r="C72" s="5" t="s">
        <v>1911</v>
      </c>
      <c r="D72" s="15" t="s">
        <v>1914</v>
      </c>
      <c r="E72" s="6">
        <v>75903</v>
      </c>
      <c r="F72" s="5" t="s">
        <v>42</v>
      </c>
      <c r="G72" s="5" t="s">
        <v>33</v>
      </c>
      <c r="H72" s="5" t="s">
        <v>17</v>
      </c>
      <c r="I72" s="5" t="s">
        <v>18</v>
      </c>
      <c r="J72" s="7">
        <v>45720</v>
      </c>
      <c r="K72" s="5" t="s">
        <v>17</v>
      </c>
      <c r="L72" s="8">
        <v>43605</v>
      </c>
      <c r="M72" s="19">
        <v>264</v>
      </c>
      <c r="N72" s="19">
        <v>314</v>
      </c>
      <c r="O72" s="24">
        <v>0</v>
      </c>
      <c r="P72" s="24">
        <v>2441.6666666666702</v>
      </c>
      <c r="Q72" t="s">
        <v>1983</v>
      </c>
      <c r="R72" s="19">
        <f>VLOOKUP(A72,[1]Sheet1!$A$2:$Q$1536,15,FALSE)</f>
        <v>2189.518798828125</v>
      </c>
      <c r="S72" s="27">
        <f t="shared" si="3"/>
        <v>-0.11516131671191854</v>
      </c>
      <c r="T72" s="19">
        <f>VLOOKUP(A72,[1]Sheet1!$A$2:$Q$1536,16,FALSE)</f>
        <v>9132.4216109010467</v>
      </c>
      <c r="U72" s="27">
        <f t="shared" si="4"/>
        <v>0.73263754448741847</v>
      </c>
      <c r="V72" s="19">
        <f>VLOOKUP(A72,[1]Sheet1!$A$2:$Q$1536,17,FALSE)</f>
        <v>2098.140869140625</v>
      </c>
      <c r="W72" s="27">
        <f t="shared" si="5"/>
        <v>-0.16372866215925219</v>
      </c>
    </row>
    <row r="73" spans="1:23" x14ac:dyDescent="0.3">
      <c r="A73" s="4" t="s">
        <v>659</v>
      </c>
      <c r="B73" s="5">
        <v>2016</v>
      </c>
      <c r="C73" s="5" t="s">
        <v>636</v>
      </c>
      <c r="D73" s="15" t="s">
        <v>641</v>
      </c>
      <c r="E73" s="6">
        <v>102723</v>
      </c>
      <c r="F73" s="5" t="s">
        <v>47</v>
      </c>
      <c r="G73" s="5" t="s">
        <v>28</v>
      </c>
      <c r="H73" s="5" t="s">
        <v>17</v>
      </c>
      <c r="I73" s="5" t="s">
        <v>18</v>
      </c>
      <c r="J73" s="7">
        <v>45610</v>
      </c>
      <c r="K73" s="5" t="s">
        <v>17</v>
      </c>
      <c r="L73" s="8">
        <v>44067</v>
      </c>
      <c r="M73" s="19">
        <v>235</v>
      </c>
      <c r="N73" s="19">
        <v>285</v>
      </c>
      <c r="O73" s="24">
        <v>0</v>
      </c>
      <c r="P73" s="24">
        <v>10100</v>
      </c>
      <c r="Q73" t="s">
        <v>1983</v>
      </c>
      <c r="R73" s="19">
        <f>VLOOKUP(A73,[1]Sheet1!$A$2:$Q$1536,15,FALSE)</f>
        <v>6023.4482421875</v>
      </c>
      <c r="S73" s="27">
        <f t="shared" si="3"/>
        <v>-0.67678040781704185</v>
      </c>
      <c r="T73" s="19">
        <f>VLOOKUP(A73,[1]Sheet1!$A$2:$Q$1536,16,FALSE)</f>
        <v>9653.9754101945255</v>
      </c>
      <c r="U73" s="27">
        <f t="shared" si="4"/>
        <v>-4.6201131746666346E-2</v>
      </c>
      <c r="V73" s="19">
        <f>VLOOKUP(A73,[1]Sheet1!$A$2:$Q$1536,17,FALSE)</f>
        <v>6116.380859375</v>
      </c>
      <c r="W73" s="27">
        <f t="shared" si="5"/>
        <v>-0.65130331681668108</v>
      </c>
    </row>
    <row r="74" spans="1:23" x14ac:dyDescent="0.3">
      <c r="A74" s="4" t="s">
        <v>526</v>
      </c>
      <c r="B74" s="5">
        <v>2015</v>
      </c>
      <c r="C74" s="5" t="s">
        <v>519</v>
      </c>
      <c r="D74" s="15" t="s">
        <v>520</v>
      </c>
      <c r="E74" s="6">
        <v>61218</v>
      </c>
      <c r="F74" s="5" t="s">
        <v>40</v>
      </c>
      <c r="G74" s="5" t="s">
        <v>28</v>
      </c>
      <c r="H74" s="5" t="s">
        <v>17</v>
      </c>
      <c r="I74" s="5" t="s">
        <v>18</v>
      </c>
      <c r="J74" s="7">
        <v>45538</v>
      </c>
      <c r="K74" s="5" t="s">
        <v>17</v>
      </c>
      <c r="L74" s="8">
        <v>44067</v>
      </c>
      <c r="M74" s="19">
        <v>235</v>
      </c>
      <c r="N74" s="19">
        <v>285</v>
      </c>
      <c r="O74" s="24">
        <v>12200</v>
      </c>
      <c r="P74" s="24">
        <v>600</v>
      </c>
      <c r="Q74" t="s">
        <v>1984</v>
      </c>
      <c r="R74" s="19">
        <f>VLOOKUP(A74,[1]Sheet1!$A$2:$Q$1536,15,FALSE)</f>
        <v>3956.15185546875</v>
      </c>
      <c r="S74" s="27">
        <f t="shared" si="3"/>
        <v>0.84833746986466263</v>
      </c>
      <c r="T74" s="19">
        <f>VLOOKUP(A74,[1]Sheet1!$A$2:$Q$1536,16,FALSE)</f>
        <v>10907.920865569949</v>
      </c>
      <c r="U74" s="27">
        <f t="shared" si="4"/>
        <v>0.94499410039782594</v>
      </c>
      <c r="V74" s="19">
        <f>VLOOKUP(A74,[1]Sheet1!$A$2:$Q$1536,17,FALSE)</f>
        <v>3744.46630859375</v>
      </c>
      <c r="W74" s="27">
        <f t="shared" si="5"/>
        <v>0.83976354691108634</v>
      </c>
    </row>
    <row r="75" spans="1:23" x14ac:dyDescent="0.3">
      <c r="A75" s="4" t="s">
        <v>1118</v>
      </c>
      <c r="B75" s="5">
        <v>2013</v>
      </c>
      <c r="C75" s="5" t="s">
        <v>633</v>
      </c>
      <c r="D75" s="15" t="s">
        <v>1119</v>
      </c>
      <c r="E75" s="6">
        <v>111943</v>
      </c>
      <c r="F75" s="5" t="s">
        <v>184</v>
      </c>
      <c r="G75" s="5" t="s">
        <v>28</v>
      </c>
      <c r="H75" s="5" t="s">
        <v>17</v>
      </c>
      <c r="I75" s="5" t="s">
        <v>18</v>
      </c>
      <c r="J75" s="7">
        <v>45468</v>
      </c>
      <c r="K75" s="5" t="s">
        <v>17</v>
      </c>
      <c r="L75" s="8">
        <v>44113</v>
      </c>
      <c r="M75" s="19">
        <v>264</v>
      </c>
      <c r="N75" s="19">
        <v>314</v>
      </c>
      <c r="O75" s="24">
        <v>7200</v>
      </c>
      <c r="P75" s="24">
        <v>3100</v>
      </c>
      <c r="Q75" t="s">
        <v>1984</v>
      </c>
      <c r="R75" s="19">
        <f>VLOOKUP(A75,[1]Sheet1!$A$2:$Q$1536,15,FALSE)</f>
        <v>5411.35791015625</v>
      </c>
      <c r="S75" s="27">
        <f t="shared" si="3"/>
        <v>0.42713085117105309</v>
      </c>
      <c r="T75" s="19">
        <f>VLOOKUP(A75,[1]Sheet1!$A$2:$Q$1536,16,FALSE)</f>
        <v>9618.3413636953956</v>
      </c>
      <c r="U75" s="27">
        <f t="shared" si="4"/>
        <v>0.67769910811223577</v>
      </c>
      <c r="V75" s="19">
        <f>VLOOKUP(A75,[1]Sheet1!$A$2:$Q$1536,17,FALSE)</f>
        <v>5501.13671875</v>
      </c>
      <c r="W75" s="27">
        <f t="shared" si="5"/>
        <v>0.43648010247882008</v>
      </c>
    </row>
    <row r="76" spans="1:23" x14ac:dyDescent="0.3">
      <c r="A76" s="4" t="s">
        <v>102</v>
      </c>
      <c r="B76" s="5">
        <v>2021</v>
      </c>
      <c r="C76" s="5" t="s">
        <v>96</v>
      </c>
      <c r="D76" s="15" t="s">
        <v>100</v>
      </c>
      <c r="E76" s="6">
        <v>90061</v>
      </c>
      <c r="F76" s="5" t="s">
        <v>103</v>
      </c>
      <c r="G76" s="5" t="s">
        <v>28</v>
      </c>
      <c r="H76" s="5" t="s">
        <v>17</v>
      </c>
      <c r="I76" s="5" t="s">
        <v>18</v>
      </c>
      <c r="J76" s="7">
        <v>45664</v>
      </c>
      <c r="K76" s="5" t="s">
        <v>17</v>
      </c>
      <c r="L76" s="8">
        <v>44310</v>
      </c>
      <c r="M76" s="19">
        <v>235</v>
      </c>
      <c r="N76" s="19">
        <v>285</v>
      </c>
      <c r="O76" s="24">
        <v>0</v>
      </c>
      <c r="P76" s="24">
        <v>26700</v>
      </c>
      <c r="Q76" t="s">
        <v>1983</v>
      </c>
      <c r="R76" s="19">
        <f>VLOOKUP(A76,[1]Sheet1!$A$2:$Q$1536,15,FALSE)</f>
        <v>16148.689453125</v>
      </c>
      <c r="S76" s="27">
        <f t="shared" si="3"/>
        <v>-0.65338494355857291</v>
      </c>
      <c r="T76" s="19">
        <f>VLOOKUP(A76,[1]Sheet1!$A$2:$Q$1536,16,FALSE)</f>
        <v>12552.68770053797</v>
      </c>
      <c r="U76" s="27">
        <f t="shared" si="4"/>
        <v>-1.1270345153935215</v>
      </c>
      <c r="V76" s="19">
        <f>VLOOKUP(A76,[1]Sheet1!$A$2:$Q$1536,17,FALSE)</f>
        <v>16009.3681640625</v>
      </c>
      <c r="W76" s="27">
        <f t="shared" si="5"/>
        <v>-0.66777350151367065</v>
      </c>
    </row>
    <row r="77" spans="1:23" x14ac:dyDescent="0.3">
      <c r="A77" s="4" t="s">
        <v>1971</v>
      </c>
      <c r="B77" s="5">
        <v>2019</v>
      </c>
      <c r="C77" s="5" t="s">
        <v>1972</v>
      </c>
      <c r="D77" s="15" t="s">
        <v>1973</v>
      </c>
      <c r="E77" s="6">
        <v>58955</v>
      </c>
      <c r="F77" s="5" t="s">
        <v>115</v>
      </c>
      <c r="G77" s="5" t="s">
        <v>16</v>
      </c>
      <c r="H77" s="5" t="s">
        <v>17</v>
      </c>
      <c r="I77" s="5" t="s">
        <v>18</v>
      </c>
      <c r="J77" s="7">
        <v>45384</v>
      </c>
      <c r="K77" s="5" t="s">
        <v>17</v>
      </c>
      <c r="L77" s="8">
        <v>44483</v>
      </c>
      <c r="M77" s="19">
        <v>264</v>
      </c>
      <c r="N77" s="19">
        <v>314</v>
      </c>
      <c r="O77" s="24">
        <v>17000</v>
      </c>
      <c r="P77" s="24">
        <v>16900</v>
      </c>
      <c r="Q77" t="s">
        <v>1984</v>
      </c>
      <c r="R77" s="19">
        <f>VLOOKUP(A77,[1]Sheet1!$A$2:$Q$1536,15,FALSE)</f>
        <v>15024.591796875</v>
      </c>
      <c r="S77" s="27">
        <f t="shared" si="3"/>
        <v>-0.12482257278464434</v>
      </c>
      <c r="T77" s="19">
        <f>VLOOKUP(A77,[1]Sheet1!$A$2:$Q$1536,16,FALSE)</f>
        <v>12183.62200050094</v>
      </c>
      <c r="U77" s="27">
        <f t="shared" si="4"/>
        <v>-0.38710803727373866</v>
      </c>
      <c r="V77" s="19">
        <f>VLOOKUP(A77,[1]Sheet1!$A$2:$Q$1536,17,FALSE)</f>
        <v>15282.5029296875</v>
      </c>
      <c r="W77" s="27">
        <f t="shared" si="5"/>
        <v>-0.10583980109504058</v>
      </c>
    </row>
    <row r="78" spans="1:23" x14ac:dyDescent="0.3">
      <c r="A78" s="4" t="s">
        <v>1026</v>
      </c>
      <c r="B78" s="5">
        <v>2018</v>
      </c>
      <c r="C78" s="5" t="s">
        <v>237</v>
      </c>
      <c r="D78" s="15" t="s">
        <v>1024</v>
      </c>
      <c r="E78" s="6">
        <v>86341</v>
      </c>
      <c r="F78" s="5" t="s">
        <v>115</v>
      </c>
      <c r="G78" s="5" t="s">
        <v>16</v>
      </c>
      <c r="H78" s="5" t="s">
        <v>17</v>
      </c>
      <c r="I78" s="5" t="s">
        <v>18</v>
      </c>
      <c r="J78" s="7">
        <v>45330</v>
      </c>
      <c r="K78" s="5" t="s">
        <v>17</v>
      </c>
      <c r="L78" s="8">
        <v>43605</v>
      </c>
      <c r="M78" s="19">
        <v>264</v>
      </c>
      <c r="N78" s="19">
        <v>314</v>
      </c>
      <c r="O78" s="24">
        <v>6700</v>
      </c>
      <c r="P78" s="24">
        <v>3700</v>
      </c>
      <c r="Q78" t="s">
        <v>1984</v>
      </c>
      <c r="R78" s="19">
        <f>VLOOKUP(A78,[1]Sheet1!$A$2:$Q$1536,15,FALSE)</f>
        <v>12974.2744140625</v>
      </c>
      <c r="S78" s="27">
        <f t="shared" si="3"/>
        <v>0.71482027573043616</v>
      </c>
      <c r="T78" s="19">
        <f>VLOOKUP(A78,[1]Sheet1!$A$2:$Q$1536,16,FALSE)</f>
        <v>10333.878250932819</v>
      </c>
      <c r="U78" s="27">
        <f t="shared" si="4"/>
        <v>0.64195436503560432</v>
      </c>
      <c r="V78" s="19">
        <f>VLOOKUP(A78,[1]Sheet1!$A$2:$Q$1536,17,FALSE)</f>
        <v>13074.51171875</v>
      </c>
      <c r="W78" s="27">
        <f t="shared" si="5"/>
        <v>0.71700664012608029</v>
      </c>
    </row>
    <row r="79" spans="1:23" x14ac:dyDescent="0.3">
      <c r="A79" s="4" t="s">
        <v>1552</v>
      </c>
      <c r="B79" s="5">
        <v>2018</v>
      </c>
      <c r="C79" s="5" t="s">
        <v>636</v>
      </c>
      <c r="D79" s="15" t="s">
        <v>1547</v>
      </c>
      <c r="E79" s="6">
        <v>86122</v>
      </c>
      <c r="F79" s="5" t="s">
        <v>73</v>
      </c>
      <c r="G79" s="5" t="s">
        <v>25</v>
      </c>
      <c r="H79" s="5" t="s">
        <v>18</v>
      </c>
      <c r="I79" s="5" t="s">
        <v>17</v>
      </c>
      <c r="J79" s="7">
        <v>45610</v>
      </c>
      <c r="K79" s="5" t="s">
        <v>17</v>
      </c>
      <c r="L79" s="8">
        <v>44128</v>
      </c>
      <c r="M79" s="19">
        <v>264</v>
      </c>
      <c r="N79" s="19">
        <v>314</v>
      </c>
      <c r="O79" s="24">
        <v>0</v>
      </c>
      <c r="P79" s="24">
        <v>14000</v>
      </c>
      <c r="Q79" t="s">
        <v>1983</v>
      </c>
      <c r="R79" s="19">
        <f>VLOOKUP(A79,[1]Sheet1!$A$2:$Q$1536,15,FALSE)</f>
        <v>4130.3798828125</v>
      </c>
      <c r="S79" s="27">
        <f t="shared" si="3"/>
        <v>-2.3895187360991548</v>
      </c>
      <c r="T79" s="19">
        <f>VLOOKUP(A79,[1]Sheet1!$A$2:$Q$1536,16,FALSE)</f>
        <v>9116.852445872144</v>
      </c>
      <c r="U79" s="27">
        <f t="shared" si="4"/>
        <v>-0.53561770173639356</v>
      </c>
      <c r="V79" s="19">
        <f>VLOOKUP(A79,[1]Sheet1!$A$2:$Q$1536,17,FALSE)</f>
        <v>4002.080078125</v>
      </c>
      <c r="W79" s="27">
        <f t="shared" si="5"/>
        <v>-2.4981808776197925</v>
      </c>
    </row>
    <row r="80" spans="1:23" x14ac:dyDescent="0.3">
      <c r="A80" s="4" t="s">
        <v>1655</v>
      </c>
      <c r="B80" s="5">
        <v>2016</v>
      </c>
      <c r="C80" s="5" t="s">
        <v>391</v>
      </c>
      <c r="D80" s="15" t="s">
        <v>1654</v>
      </c>
      <c r="E80" s="6">
        <v>92653</v>
      </c>
      <c r="F80" s="5" t="s">
        <v>59</v>
      </c>
      <c r="G80" s="5" t="s">
        <v>16</v>
      </c>
      <c r="H80" s="5" t="s">
        <v>17</v>
      </c>
      <c r="I80" s="5" t="s">
        <v>18</v>
      </c>
      <c r="J80" s="7">
        <v>45622</v>
      </c>
      <c r="K80" s="5" t="s">
        <v>17</v>
      </c>
      <c r="L80" s="8">
        <v>44035</v>
      </c>
      <c r="M80" s="19">
        <v>222</v>
      </c>
      <c r="N80" s="19">
        <v>272</v>
      </c>
      <c r="O80" s="24">
        <v>6400</v>
      </c>
      <c r="P80" s="24">
        <v>5000</v>
      </c>
      <c r="Q80" t="s">
        <v>1984</v>
      </c>
      <c r="R80" s="19">
        <f>VLOOKUP(A80,[1]Sheet1!$A$2:$Q$1536,15,FALSE)</f>
        <v>9319.3408203125</v>
      </c>
      <c r="S80" s="27">
        <f t="shared" si="3"/>
        <v>0.463481366718345</v>
      </c>
      <c r="T80" s="19">
        <f>VLOOKUP(A80,[1]Sheet1!$A$2:$Q$1536,16,FALSE)</f>
        <v>10318.279269037041</v>
      </c>
      <c r="U80" s="27">
        <f t="shared" si="4"/>
        <v>0.51542307882633731</v>
      </c>
      <c r="V80" s="19">
        <f>VLOOKUP(A80,[1]Sheet1!$A$2:$Q$1536,17,FALSE)</f>
        <v>9504.462890625</v>
      </c>
      <c r="W80" s="27">
        <f t="shared" si="5"/>
        <v>0.47393134598569547</v>
      </c>
    </row>
    <row r="81" spans="1:23" x14ac:dyDescent="0.3">
      <c r="A81" s="4" t="s">
        <v>753</v>
      </c>
      <c r="B81" s="5">
        <v>2018</v>
      </c>
      <c r="C81" s="5" t="s">
        <v>83</v>
      </c>
      <c r="D81" s="15" t="s">
        <v>744</v>
      </c>
      <c r="E81" s="6">
        <v>89453</v>
      </c>
      <c r="F81" s="5" t="s">
        <v>42</v>
      </c>
      <c r="G81" s="5" t="s">
        <v>28</v>
      </c>
      <c r="H81" s="5" t="s">
        <v>17</v>
      </c>
      <c r="I81" s="5" t="s">
        <v>18</v>
      </c>
      <c r="J81" s="7">
        <v>45720</v>
      </c>
      <c r="K81" s="5" t="s">
        <v>17</v>
      </c>
      <c r="L81" s="8">
        <v>43612</v>
      </c>
      <c r="M81" s="19">
        <v>264</v>
      </c>
      <c r="N81" s="19">
        <v>314</v>
      </c>
      <c r="O81" s="24">
        <v>6800</v>
      </c>
      <c r="P81" s="24">
        <v>2200</v>
      </c>
      <c r="Q81" t="s">
        <v>1984</v>
      </c>
      <c r="R81" s="19">
        <f>VLOOKUP(A81,[1]Sheet1!$A$2:$Q$1536,15,FALSE)</f>
        <v>5946.94140625</v>
      </c>
      <c r="S81" s="27">
        <f t="shared" si="3"/>
        <v>0.63006193441087432</v>
      </c>
      <c r="T81" s="19">
        <f>VLOOKUP(A81,[1]Sheet1!$A$2:$Q$1536,16,FALSE)</f>
        <v>9302.5670548164162</v>
      </c>
      <c r="U81" s="27">
        <f t="shared" si="4"/>
        <v>0.76350613900053033</v>
      </c>
      <c r="V81" s="19">
        <f>VLOOKUP(A81,[1]Sheet1!$A$2:$Q$1536,17,FALSE)</f>
        <v>6037.7666015625</v>
      </c>
      <c r="W81" s="27">
        <f t="shared" si="5"/>
        <v>0.63562685589226542</v>
      </c>
    </row>
    <row r="82" spans="1:23" x14ac:dyDescent="0.3">
      <c r="A82" s="4" t="s">
        <v>1589</v>
      </c>
      <c r="B82" s="5">
        <v>2013</v>
      </c>
      <c r="C82" s="5" t="s">
        <v>1590</v>
      </c>
      <c r="D82" s="15" t="s">
        <v>1591</v>
      </c>
      <c r="E82" s="6">
        <v>118674</v>
      </c>
      <c r="F82" s="5" t="s">
        <v>103</v>
      </c>
      <c r="G82" s="5" t="s">
        <v>28</v>
      </c>
      <c r="H82" s="5" t="s">
        <v>17</v>
      </c>
      <c r="I82" s="5" t="s">
        <v>18</v>
      </c>
      <c r="J82" s="7">
        <v>45622</v>
      </c>
      <c r="K82" s="5" t="s">
        <v>17</v>
      </c>
      <c r="L82" s="8">
        <v>44310</v>
      </c>
      <c r="M82" s="19">
        <v>235</v>
      </c>
      <c r="N82" s="19">
        <v>285</v>
      </c>
      <c r="O82" s="24">
        <v>10400</v>
      </c>
      <c r="P82" s="24">
        <v>7800</v>
      </c>
      <c r="Q82" t="s">
        <v>1984</v>
      </c>
      <c r="R82" s="19">
        <f>VLOOKUP(A82,[1]Sheet1!$A$2:$Q$1536,15,FALSE)</f>
        <v>9066.7607421875</v>
      </c>
      <c r="S82" s="27">
        <f t="shared" si="3"/>
        <v>0.13971480865192368</v>
      </c>
      <c r="T82" s="19">
        <f>VLOOKUP(A82,[1]Sheet1!$A$2:$Q$1536,16,FALSE)</f>
        <v>9313.6329381440828</v>
      </c>
      <c r="U82" s="27">
        <f t="shared" si="4"/>
        <v>0.16251799359034036</v>
      </c>
      <c r="V82" s="19">
        <f>VLOOKUP(A82,[1]Sheet1!$A$2:$Q$1536,17,FALSE)</f>
        <v>9190.3740234375</v>
      </c>
      <c r="W82" s="27">
        <f t="shared" si="5"/>
        <v>0.15128590195477754</v>
      </c>
    </row>
    <row r="83" spans="1:23" x14ac:dyDescent="0.3">
      <c r="A83" s="4" t="s">
        <v>1685</v>
      </c>
      <c r="B83" s="5">
        <v>2014</v>
      </c>
      <c r="C83" s="5" t="s">
        <v>1089</v>
      </c>
      <c r="D83" s="15" t="s">
        <v>1317</v>
      </c>
      <c r="E83" s="6">
        <v>113712</v>
      </c>
      <c r="F83" s="5" t="s">
        <v>115</v>
      </c>
      <c r="G83" s="5" t="s">
        <v>28</v>
      </c>
      <c r="H83" s="5" t="s">
        <v>17</v>
      </c>
      <c r="I83" s="5" t="s">
        <v>18</v>
      </c>
      <c r="J83" s="7">
        <v>45356</v>
      </c>
      <c r="K83" s="5" t="s">
        <v>17</v>
      </c>
      <c r="L83" s="8">
        <v>44310</v>
      </c>
      <c r="M83" s="19">
        <v>235</v>
      </c>
      <c r="N83" s="19">
        <v>285</v>
      </c>
      <c r="O83" s="24">
        <v>7500</v>
      </c>
      <c r="P83" s="24">
        <v>1800</v>
      </c>
      <c r="Q83" t="s">
        <v>1984</v>
      </c>
      <c r="R83" s="19">
        <f>VLOOKUP(A83,[1]Sheet1!$A$2:$Q$1536,15,FALSE)</f>
        <v>6165.72265625</v>
      </c>
      <c r="S83" s="27">
        <f t="shared" si="3"/>
        <v>0.70806341764733838</v>
      </c>
      <c r="T83" s="19">
        <f>VLOOKUP(A83,[1]Sheet1!$A$2:$Q$1536,16,FALSE)</f>
        <v>9542.9254611558426</v>
      </c>
      <c r="U83" s="27">
        <f t="shared" si="4"/>
        <v>0.81137859586907191</v>
      </c>
      <c r="V83" s="19">
        <f>VLOOKUP(A83,[1]Sheet1!$A$2:$Q$1536,17,FALSE)</f>
        <v>6180.5615234375</v>
      </c>
      <c r="W83" s="27">
        <f t="shared" si="5"/>
        <v>0.70876432615804186</v>
      </c>
    </row>
    <row r="84" spans="1:23" x14ac:dyDescent="0.3">
      <c r="A84" s="4" t="s">
        <v>196</v>
      </c>
      <c r="B84" s="5">
        <v>2015</v>
      </c>
      <c r="C84" s="5" t="s">
        <v>96</v>
      </c>
      <c r="D84" s="15" t="s">
        <v>154</v>
      </c>
      <c r="E84" s="6">
        <v>167233</v>
      </c>
      <c r="F84" s="5" t="s">
        <v>42</v>
      </c>
      <c r="G84" s="5" t="s">
        <v>25</v>
      </c>
      <c r="H84" s="5" t="s">
        <v>18</v>
      </c>
      <c r="I84" s="5" t="s">
        <v>17</v>
      </c>
      <c r="J84" s="7">
        <v>45440</v>
      </c>
      <c r="K84" s="5" t="s">
        <v>17</v>
      </c>
      <c r="L84" s="8">
        <v>44483</v>
      </c>
      <c r="M84" s="19">
        <v>264</v>
      </c>
      <c r="N84" s="19">
        <v>314</v>
      </c>
      <c r="O84" s="24">
        <v>5400</v>
      </c>
      <c r="P84" s="24">
        <v>2900</v>
      </c>
      <c r="Q84" t="s">
        <v>1984</v>
      </c>
      <c r="R84" s="19">
        <f>VLOOKUP(A84,[1]Sheet1!$A$2:$Q$1536,15,FALSE)</f>
        <v>2521.939453125</v>
      </c>
      <c r="S84" s="27">
        <f t="shared" si="3"/>
        <v>-0.14990865320201699</v>
      </c>
      <c r="T84" s="19">
        <f>VLOOKUP(A84,[1]Sheet1!$A$2:$Q$1536,16,FALSE)</f>
        <v>9287.5308817259884</v>
      </c>
      <c r="U84" s="27">
        <f t="shared" si="4"/>
        <v>0.68775339356276077</v>
      </c>
      <c r="V84" s="19">
        <f>VLOOKUP(A84,[1]Sheet1!$A$2:$Q$1536,17,FALSE)</f>
        <v>2382.8828125</v>
      </c>
      <c r="W84" s="27">
        <f t="shared" si="5"/>
        <v>-0.21701326846093066</v>
      </c>
    </row>
    <row r="85" spans="1:23" x14ac:dyDescent="0.3">
      <c r="A85" s="4" t="s">
        <v>1858</v>
      </c>
      <c r="B85" s="5">
        <v>2015</v>
      </c>
      <c r="C85" s="5" t="s">
        <v>1845</v>
      </c>
      <c r="D85" s="15" t="s">
        <v>1859</v>
      </c>
      <c r="E85" s="6">
        <v>74350</v>
      </c>
      <c r="F85" s="5" t="s">
        <v>184</v>
      </c>
      <c r="G85" s="5" t="s">
        <v>16</v>
      </c>
      <c r="H85" s="5" t="s">
        <v>17</v>
      </c>
      <c r="I85" s="5" t="s">
        <v>18</v>
      </c>
      <c r="J85" s="7">
        <v>45608</v>
      </c>
      <c r="K85" s="5" t="s">
        <v>17</v>
      </c>
      <c r="L85" s="8">
        <v>44224</v>
      </c>
      <c r="M85" s="19">
        <v>235</v>
      </c>
      <c r="N85" s="19">
        <v>285</v>
      </c>
      <c r="O85" s="24">
        <v>14200</v>
      </c>
      <c r="P85" s="24">
        <v>11000</v>
      </c>
      <c r="Q85" t="s">
        <v>1984</v>
      </c>
      <c r="R85" s="19">
        <f>VLOOKUP(A85,[1]Sheet1!$A$2:$Q$1536,15,FALSE)</f>
        <v>9445.1171875</v>
      </c>
      <c r="S85" s="27">
        <f t="shared" si="3"/>
        <v>-0.16462292437808887</v>
      </c>
      <c r="T85" s="19">
        <f>VLOOKUP(A85,[1]Sheet1!$A$2:$Q$1536,16,FALSE)</f>
        <v>10196.49915430596</v>
      </c>
      <c r="U85" s="27">
        <f t="shared" si="4"/>
        <v>-7.8801639026736231E-2</v>
      </c>
      <c r="V85" s="19">
        <f>VLOOKUP(A85,[1]Sheet1!$A$2:$Q$1536,17,FALSE)</f>
        <v>9504.462890625</v>
      </c>
      <c r="W85" s="27">
        <f t="shared" si="5"/>
        <v>-0.15735103883147</v>
      </c>
    </row>
    <row r="86" spans="1:23" x14ac:dyDescent="0.3">
      <c r="A86" s="4" t="s">
        <v>486</v>
      </c>
      <c r="B86" s="5">
        <v>2016</v>
      </c>
      <c r="C86" s="5" t="s">
        <v>391</v>
      </c>
      <c r="D86" s="15" t="s">
        <v>394</v>
      </c>
      <c r="E86" s="6">
        <v>60415</v>
      </c>
      <c r="F86" s="5" t="s">
        <v>15</v>
      </c>
      <c r="G86" s="5" t="s">
        <v>33</v>
      </c>
      <c r="H86" s="5" t="s">
        <v>17</v>
      </c>
      <c r="I86" s="5" t="s">
        <v>18</v>
      </c>
      <c r="J86" s="7">
        <v>45524</v>
      </c>
      <c r="K86" s="5" t="s">
        <v>17</v>
      </c>
      <c r="L86" s="8">
        <v>44307</v>
      </c>
      <c r="M86" s="19">
        <v>235</v>
      </c>
      <c r="N86" s="19">
        <v>285</v>
      </c>
      <c r="O86" s="24">
        <v>10300</v>
      </c>
      <c r="P86" s="24">
        <v>5500</v>
      </c>
      <c r="Q86" t="s">
        <v>1984</v>
      </c>
      <c r="R86" s="19">
        <f>VLOOKUP(A86,[1]Sheet1!$A$2:$Q$1536,15,FALSE)</f>
        <v>10697.0908203125</v>
      </c>
      <c r="S86" s="27">
        <f t="shared" si="3"/>
        <v>0.48584151594224517</v>
      </c>
      <c r="T86" s="19">
        <f>VLOOKUP(A86,[1]Sheet1!$A$2:$Q$1536,16,FALSE)</f>
        <v>12246.45057152331</v>
      </c>
      <c r="U86" s="27">
        <f t="shared" si="4"/>
        <v>0.5508902789524045</v>
      </c>
      <c r="V86" s="19">
        <f>VLOOKUP(A86,[1]Sheet1!$A$2:$Q$1536,17,FALSE)</f>
        <v>10494.6142578125</v>
      </c>
      <c r="W86" s="27">
        <f t="shared" si="5"/>
        <v>0.47592166182709972</v>
      </c>
    </row>
    <row r="87" spans="1:23" x14ac:dyDescent="0.3">
      <c r="A87" s="4" t="s">
        <v>1386</v>
      </c>
      <c r="B87" s="5">
        <v>2016</v>
      </c>
      <c r="C87" s="5" t="s">
        <v>1089</v>
      </c>
      <c r="D87" s="15" t="s">
        <v>1363</v>
      </c>
      <c r="E87" s="6">
        <v>45611</v>
      </c>
      <c r="F87" s="5" t="s">
        <v>27</v>
      </c>
      <c r="G87" s="5" t="s">
        <v>25</v>
      </c>
      <c r="H87" s="5" t="s">
        <v>18</v>
      </c>
      <c r="I87" s="5" t="s">
        <v>17</v>
      </c>
      <c r="J87" s="7">
        <v>45524</v>
      </c>
      <c r="K87" s="5" t="s">
        <v>17</v>
      </c>
      <c r="L87" s="8">
        <v>44310</v>
      </c>
      <c r="M87" s="19">
        <v>235</v>
      </c>
      <c r="N87" s="19">
        <v>285</v>
      </c>
      <c r="O87" s="24">
        <v>6000</v>
      </c>
      <c r="P87" s="24">
        <v>500</v>
      </c>
      <c r="Q87" t="s">
        <v>1984</v>
      </c>
      <c r="R87" s="19">
        <f>VLOOKUP(A87,[1]Sheet1!$A$2:$Q$1536,15,FALSE)</f>
        <v>4519.92236328125</v>
      </c>
      <c r="S87" s="27">
        <f t="shared" si="3"/>
        <v>0.88937863091147795</v>
      </c>
      <c r="T87" s="19">
        <f>VLOOKUP(A87,[1]Sheet1!$A$2:$Q$1536,16,FALSE)</f>
        <v>10978.979181072449</v>
      </c>
      <c r="U87" s="27">
        <f t="shared" si="4"/>
        <v>0.95445842534595648</v>
      </c>
      <c r="V87" s="19">
        <f>VLOOKUP(A87,[1]Sheet1!$A$2:$Q$1536,17,FALSE)</f>
        <v>4384.09033203125</v>
      </c>
      <c r="W87" s="27">
        <f t="shared" si="5"/>
        <v>0.88595125507636641</v>
      </c>
    </row>
    <row r="88" spans="1:23" x14ac:dyDescent="0.3">
      <c r="A88" s="4" t="s">
        <v>997</v>
      </c>
      <c r="B88" s="5">
        <v>2014</v>
      </c>
      <c r="C88" s="5" t="s">
        <v>237</v>
      </c>
      <c r="D88" s="15" t="s">
        <v>238</v>
      </c>
      <c r="E88" s="6">
        <v>134519</v>
      </c>
      <c r="F88" s="5" t="s">
        <v>87</v>
      </c>
      <c r="G88" s="5" t="s">
        <v>25</v>
      </c>
      <c r="H88" s="5" t="s">
        <v>18</v>
      </c>
      <c r="I88" s="5" t="s">
        <v>17</v>
      </c>
      <c r="J88" s="7">
        <v>45351</v>
      </c>
      <c r="K88" s="5" t="s">
        <v>17</v>
      </c>
      <c r="L88" s="8">
        <v>44113</v>
      </c>
      <c r="M88" s="19">
        <v>264</v>
      </c>
      <c r="N88" s="19">
        <v>314</v>
      </c>
      <c r="O88" s="24">
        <v>0</v>
      </c>
      <c r="P88" s="24">
        <v>7800</v>
      </c>
      <c r="Q88" t="s">
        <v>1983</v>
      </c>
      <c r="R88" s="19">
        <f>VLOOKUP(A88,[1]Sheet1!$A$2:$Q$1536,15,FALSE)</f>
        <v>2652.093994140625</v>
      </c>
      <c r="S88" s="27">
        <f t="shared" si="3"/>
        <v>-1.9410722309363262</v>
      </c>
      <c r="T88" s="19">
        <f>VLOOKUP(A88,[1]Sheet1!$A$2:$Q$1536,16,FALSE)</f>
        <v>9183.7772199567644</v>
      </c>
      <c r="U88" s="27">
        <f t="shared" si="4"/>
        <v>0.1506762617182997</v>
      </c>
      <c r="V88" s="19">
        <f>VLOOKUP(A88,[1]Sheet1!$A$2:$Q$1536,17,FALSE)</f>
        <v>2505.3798828125</v>
      </c>
      <c r="W88" s="27">
        <f t="shared" si="5"/>
        <v>-2.1133003236394807</v>
      </c>
    </row>
    <row r="89" spans="1:23" x14ac:dyDescent="0.3">
      <c r="A89" s="4" t="s">
        <v>918</v>
      </c>
      <c r="B89" s="5">
        <v>2016</v>
      </c>
      <c r="C89" s="5" t="s">
        <v>633</v>
      </c>
      <c r="D89" s="15" t="s">
        <v>915</v>
      </c>
      <c r="E89" s="6">
        <v>76334</v>
      </c>
      <c r="F89" s="5" t="s">
        <v>199</v>
      </c>
      <c r="G89" s="5" t="s">
        <v>25</v>
      </c>
      <c r="H89" s="5" t="s">
        <v>18</v>
      </c>
      <c r="I89" s="5" t="s">
        <v>17</v>
      </c>
      <c r="J89" s="7">
        <v>45692</v>
      </c>
      <c r="K89" s="5" t="s">
        <v>17</v>
      </c>
      <c r="L89" s="8">
        <v>43612</v>
      </c>
      <c r="M89" s="19">
        <v>264</v>
      </c>
      <c r="N89" s="19">
        <v>314</v>
      </c>
      <c r="O89" s="24">
        <v>10700</v>
      </c>
      <c r="P89" s="24">
        <v>4200</v>
      </c>
      <c r="Q89" t="s">
        <v>1984</v>
      </c>
      <c r="R89" s="19">
        <f>VLOOKUP(A89,[1]Sheet1!$A$2:$Q$1536,15,FALSE)</f>
        <v>11186.9365234375</v>
      </c>
      <c r="S89" s="27">
        <f t="shared" si="3"/>
        <v>0.62456209604830826</v>
      </c>
      <c r="T89" s="19">
        <f>VLOOKUP(A89,[1]Sheet1!$A$2:$Q$1536,16,FALSE)</f>
        <v>10170.52434879051</v>
      </c>
      <c r="U89" s="27">
        <f t="shared" si="4"/>
        <v>0.58704194041878788</v>
      </c>
      <c r="V89" s="19">
        <f>VLOOKUP(A89,[1]Sheet1!$A$2:$Q$1536,17,FALSE)</f>
        <v>11175.064453125</v>
      </c>
      <c r="W89" s="27">
        <f t="shared" si="5"/>
        <v>0.62416324150814984</v>
      </c>
    </row>
    <row r="90" spans="1:23" x14ac:dyDescent="0.3">
      <c r="A90" s="4" t="s">
        <v>239</v>
      </c>
      <c r="B90" s="5">
        <v>2014</v>
      </c>
      <c r="C90" s="5" t="s">
        <v>237</v>
      </c>
      <c r="D90" s="15" t="s">
        <v>238</v>
      </c>
      <c r="E90" s="6">
        <v>104921</v>
      </c>
      <c r="F90" s="5" t="s">
        <v>87</v>
      </c>
      <c r="G90" s="5" t="s">
        <v>33</v>
      </c>
      <c r="H90" s="5" t="s">
        <v>17</v>
      </c>
      <c r="I90" s="5" t="s">
        <v>18</v>
      </c>
      <c r="J90" s="7">
        <v>45694</v>
      </c>
      <c r="K90" s="5" t="s">
        <v>17</v>
      </c>
      <c r="L90" s="8">
        <v>43612</v>
      </c>
      <c r="M90" s="19">
        <v>264</v>
      </c>
      <c r="N90" s="19">
        <v>314</v>
      </c>
      <c r="O90" s="24">
        <v>0</v>
      </c>
      <c r="P90" s="24">
        <v>5000</v>
      </c>
      <c r="Q90" t="s">
        <v>1983</v>
      </c>
      <c r="R90" s="19">
        <f>VLOOKUP(A90,[1]Sheet1!$A$2:$Q$1536,15,FALSE)</f>
        <v>2766.387939453125</v>
      </c>
      <c r="S90" s="27">
        <f t="shared" si="3"/>
        <v>-0.8074110028792375</v>
      </c>
      <c r="T90" s="19">
        <f>VLOOKUP(A90,[1]Sheet1!$A$2:$Q$1536,16,FALSE)</f>
        <v>9190.1972929737076</v>
      </c>
      <c r="U90" s="27">
        <f t="shared" si="4"/>
        <v>0.4559420390438505</v>
      </c>
      <c r="V90" s="19">
        <f>VLOOKUP(A90,[1]Sheet1!$A$2:$Q$1536,17,FALSE)</f>
        <v>2608.53466796875</v>
      </c>
      <c r="W90" s="27">
        <f t="shared" si="5"/>
        <v>-0.91678495263912652</v>
      </c>
    </row>
    <row r="91" spans="1:23" x14ac:dyDescent="0.3">
      <c r="A91" s="4" t="s">
        <v>1380</v>
      </c>
      <c r="B91" s="5">
        <v>2015</v>
      </c>
      <c r="C91" s="5" t="s">
        <v>1089</v>
      </c>
      <c r="D91" s="15" t="s">
        <v>1363</v>
      </c>
      <c r="E91" s="6">
        <v>104542</v>
      </c>
      <c r="F91" s="5" t="s">
        <v>164</v>
      </c>
      <c r="G91" s="5" t="s">
        <v>16</v>
      </c>
      <c r="H91" s="5" t="s">
        <v>17</v>
      </c>
      <c r="I91" s="5" t="s">
        <v>18</v>
      </c>
      <c r="J91" s="7">
        <v>45484</v>
      </c>
      <c r="K91" s="5" t="s">
        <v>17</v>
      </c>
      <c r="L91" s="8">
        <v>44451</v>
      </c>
      <c r="M91" s="19">
        <v>264</v>
      </c>
      <c r="N91" s="19">
        <v>314</v>
      </c>
      <c r="O91" s="24">
        <v>6400</v>
      </c>
      <c r="P91" s="24">
        <v>5400</v>
      </c>
      <c r="Q91" t="s">
        <v>1984</v>
      </c>
      <c r="R91" s="19">
        <f>VLOOKUP(A91,[1]Sheet1!$A$2:$Q$1536,15,FALSE)</f>
        <v>5919.5927734375</v>
      </c>
      <c r="S91" s="27">
        <f t="shared" si="3"/>
        <v>8.7775087463621781E-2</v>
      </c>
      <c r="T91" s="19">
        <f>VLOOKUP(A91,[1]Sheet1!$A$2:$Q$1536,16,FALSE)</f>
        <v>8695.0201795814919</v>
      </c>
      <c r="U91" s="27">
        <f t="shared" si="4"/>
        <v>0.37895486284427321</v>
      </c>
      <c r="V91" s="19">
        <f>VLOOKUP(A91,[1]Sheet1!$A$2:$Q$1536,17,FALSE)</f>
        <v>5978.845703125</v>
      </c>
      <c r="W91" s="27">
        <f t="shared" si="5"/>
        <v>9.6815628277955257E-2</v>
      </c>
    </row>
    <row r="92" spans="1:23" x14ac:dyDescent="0.3">
      <c r="A92" s="4" t="s">
        <v>523</v>
      </c>
      <c r="B92" s="5">
        <v>2013</v>
      </c>
      <c r="C92" s="5" t="s">
        <v>519</v>
      </c>
      <c r="D92" s="15" t="s">
        <v>524</v>
      </c>
      <c r="E92" s="6">
        <v>150366</v>
      </c>
      <c r="F92" s="5" t="s">
        <v>24</v>
      </c>
      <c r="G92" s="5" t="s">
        <v>25</v>
      </c>
      <c r="H92" s="5" t="s">
        <v>18</v>
      </c>
      <c r="I92" s="5" t="s">
        <v>17</v>
      </c>
      <c r="J92" s="7">
        <v>45316</v>
      </c>
      <c r="K92" s="5" t="s">
        <v>17</v>
      </c>
      <c r="L92" s="8">
        <v>44035</v>
      </c>
      <c r="M92" s="19">
        <v>222</v>
      </c>
      <c r="N92" s="19">
        <v>272</v>
      </c>
      <c r="O92" s="24">
        <v>0</v>
      </c>
      <c r="P92" s="24">
        <v>3100</v>
      </c>
      <c r="Q92" t="s">
        <v>1983</v>
      </c>
      <c r="R92" s="19">
        <f>VLOOKUP(A92,[1]Sheet1!$A$2:$Q$1536,15,FALSE)</f>
        <v>1323.0712890625</v>
      </c>
      <c r="S92" s="27">
        <f t="shared" si="3"/>
        <v>-1.3430332330743824</v>
      </c>
      <c r="T92" s="19">
        <f>VLOOKUP(A92,[1]Sheet1!$A$2:$Q$1536,16,FALSE)</f>
        <v>9104.6869812048772</v>
      </c>
      <c r="U92" s="27">
        <f t="shared" si="4"/>
        <v>0.65951602659164033</v>
      </c>
      <c r="V92" s="19">
        <f>VLOOKUP(A92,[1]Sheet1!$A$2:$Q$1536,17,FALSE)</f>
        <v>1325.587768554688</v>
      </c>
      <c r="W92" s="27">
        <f t="shared" si="5"/>
        <v>-1.3385852476445113</v>
      </c>
    </row>
    <row r="93" spans="1:23" x14ac:dyDescent="0.3">
      <c r="A93" s="4" t="s">
        <v>1352</v>
      </c>
      <c r="B93" s="5">
        <v>2013</v>
      </c>
      <c r="C93" s="5" t="s">
        <v>1089</v>
      </c>
      <c r="D93" s="15" t="s">
        <v>1328</v>
      </c>
      <c r="E93" s="6">
        <v>84847</v>
      </c>
      <c r="F93" s="5" t="s">
        <v>42</v>
      </c>
      <c r="G93" s="5" t="s">
        <v>28</v>
      </c>
      <c r="H93" s="5" t="s">
        <v>17</v>
      </c>
      <c r="I93" s="5" t="s">
        <v>18</v>
      </c>
      <c r="J93" s="7">
        <v>45356</v>
      </c>
      <c r="K93" s="5" t="s">
        <v>17</v>
      </c>
      <c r="L93" s="8">
        <v>44483</v>
      </c>
      <c r="M93" s="19">
        <v>264</v>
      </c>
      <c r="N93" s="19">
        <v>314</v>
      </c>
      <c r="O93" s="24">
        <v>5500</v>
      </c>
      <c r="P93" s="24">
        <v>3100</v>
      </c>
      <c r="Q93" t="s">
        <v>1984</v>
      </c>
      <c r="R93" s="19">
        <f>VLOOKUP(A93,[1]Sheet1!$A$2:$Q$1536,15,FALSE)</f>
        <v>2168.77001953125</v>
      </c>
      <c r="S93" s="27">
        <f t="shared" si="3"/>
        <v>-0.42938161819021392</v>
      </c>
      <c r="T93" s="19">
        <f>VLOOKUP(A93,[1]Sheet1!$A$2:$Q$1536,16,FALSE)</f>
        <v>8797.8459716723119</v>
      </c>
      <c r="U93" s="27">
        <f t="shared" si="4"/>
        <v>0.64764102372540788</v>
      </c>
      <c r="V93" s="19">
        <f>VLOOKUP(A93,[1]Sheet1!$A$2:$Q$1536,17,FALSE)</f>
        <v>2103.21630859375</v>
      </c>
      <c r="W93" s="27">
        <f t="shared" si="5"/>
        <v>-0.4739330364325286</v>
      </c>
    </row>
    <row r="94" spans="1:23" x14ac:dyDescent="0.3">
      <c r="A94" s="4" t="s">
        <v>109</v>
      </c>
      <c r="B94" s="5">
        <v>2016</v>
      </c>
      <c r="C94" s="5" t="s">
        <v>96</v>
      </c>
      <c r="D94" s="15" t="s">
        <v>107</v>
      </c>
      <c r="E94" s="6">
        <v>139375</v>
      </c>
      <c r="F94" s="5" t="s">
        <v>79</v>
      </c>
      <c r="G94" s="5" t="s">
        <v>25</v>
      </c>
      <c r="H94" s="5" t="s">
        <v>18</v>
      </c>
      <c r="I94" s="5" t="s">
        <v>17</v>
      </c>
      <c r="J94" s="7">
        <v>45552</v>
      </c>
      <c r="K94" s="5" t="s">
        <v>17</v>
      </c>
      <c r="L94" s="8">
        <v>44128</v>
      </c>
      <c r="M94" s="19">
        <v>264</v>
      </c>
      <c r="N94" s="19">
        <v>314</v>
      </c>
      <c r="O94" s="24">
        <v>2700</v>
      </c>
      <c r="P94" s="24">
        <v>2000</v>
      </c>
      <c r="Q94" t="s">
        <v>1984</v>
      </c>
      <c r="R94" s="19">
        <f>VLOOKUP(A94,[1]Sheet1!$A$2:$Q$1536,15,FALSE)</f>
        <v>2447.08740234375</v>
      </c>
      <c r="S94" s="27">
        <f t="shared" si="3"/>
        <v>0.18270185278856102</v>
      </c>
      <c r="T94" s="19">
        <f>VLOOKUP(A94,[1]Sheet1!$A$2:$Q$1536,16,FALSE)</f>
        <v>9215.8971733792096</v>
      </c>
      <c r="U94" s="27">
        <f t="shared" si="4"/>
        <v>0.78298368977280419</v>
      </c>
      <c r="V94" s="19">
        <f>VLOOKUP(A94,[1]Sheet1!$A$2:$Q$1536,17,FALSE)</f>
        <v>2321.60986328125</v>
      </c>
      <c r="W94" s="27">
        <f t="shared" si="5"/>
        <v>0.13852881501231318</v>
      </c>
    </row>
    <row r="95" spans="1:23" x14ac:dyDescent="0.3">
      <c r="A95" s="4" t="s">
        <v>398</v>
      </c>
      <c r="B95" s="5">
        <v>2015</v>
      </c>
      <c r="C95" s="5" t="s">
        <v>391</v>
      </c>
      <c r="D95" s="15" t="s">
        <v>394</v>
      </c>
      <c r="E95" s="6">
        <v>153468</v>
      </c>
      <c r="F95" s="5" t="s">
        <v>79</v>
      </c>
      <c r="G95" s="5" t="s">
        <v>25</v>
      </c>
      <c r="H95" s="5" t="s">
        <v>18</v>
      </c>
      <c r="I95" s="5" t="s">
        <v>17</v>
      </c>
      <c r="J95" s="7">
        <v>45393</v>
      </c>
      <c r="K95" s="5" t="s">
        <v>17</v>
      </c>
      <c r="L95" s="8">
        <v>44224</v>
      </c>
      <c r="M95" s="19">
        <v>235</v>
      </c>
      <c r="N95" s="19">
        <v>285</v>
      </c>
      <c r="O95" s="24">
        <v>2000</v>
      </c>
      <c r="P95" s="24">
        <v>650</v>
      </c>
      <c r="Q95" t="s">
        <v>1984</v>
      </c>
      <c r="R95" s="19">
        <f>VLOOKUP(A95,[1]Sheet1!$A$2:$Q$1536,15,FALSE)</f>
        <v>1370.18701171875</v>
      </c>
      <c r="S95" s="27">
        <f t="shared" si="3"/>
        <v>0.52561220151645871</v>
      </c>
      <c r="T95" s="19">
        <f>VLOOKUP(A95,[1]Sheet1!$A$2:$Q$1536,16,FALSE)</f>
        <v>9241.7091413177859</v>
      </c>
      <c r="U95" s="27">
        <f t="shared" si="4"/>
        <v>0.92966668934710539</v>
      </c>
      <c r="V95" s="19">
        <f>VLOOKUP(A95,[1]Sheet1!$A$2:$Q$1536,17,FALSE)</f>
        <v>1405.991088867188</v>
      </c>
      <c r="W95" s="27">
        <f t="shared" si="5"/>
        <v>0.53769266025454876</v>
      </c>
    </row>
    <row r="96" spans="1:23" x14ac:dyDescent="0.3">
      <c r="A96" s="4" t="s">
        <v>835</v>
      </c>
      <c r="B96" s="5">
        <v>2014</v>
      </c>
      <c r="C96" s="5" t="s">
        <v>391</v>
      </c>
      <c r="D96" s="15" t="s">
        <v>582</v>
      </c>
      <c r="E96" s="6">
        <v>123580</v>
      </c>
      <c r="F96" s="5" t="s">
        <v>24</v>
      </c>
      <c r="G96" s="5" t="s">
        <v>28</v>
      </c>
      <c r="H96" s="5" t="s">
        <v>17</v>
      </c>
      <c r="I96" s="5" t="s">
        <v>18</v>
      </c>
      <c r="J96" s="7">
        <v>45370</v>
      </c>
      <c r="K96" s="5" t="s">
        <v>17</v>
      </c>
      <c r="L96" s="8">
        <v>44224</v>
      </c>
      <c r="M96" s="19">
        <v>235</v>
      </c>
      <c r="N96" s="19">
        <v>285</v>
      </c>
      <c r="O96" s="24">
        <v>5100</v>
      </c>
      <c r="P96" s="24">
        <v>1800</v>
      </c>
      <c r="Q96" t="s">
        <v>1984</v>
      </c>
      <c r="R96" s="19">
        <f>VLOOKUP(A96,[1]Sheet1!$A$2:$Q$1536,15,FALSE)</f>
        <v>2175.021728515625</v>
      </c>
      <c r="S96" s="27">
        <f t="shared" si="3"/>
        <v>0.17242206070813096</v>
      </c>
      <c r="T96" s="19">
        <f>VLOOKUP(A96,[1]Sheet1!$A$2:$Q$1536,16,FALSE)</f>
        <v>9337.2712848390565</v>
      </c>
      <c r="U96" s="27">
        <f t="shared" si="4"/>
        <v>0.80722419376176169</v>
      </c>
      <c r="V96" s="19">
        <f>VLOOKUP(A96,[1]Sheet1!$A$2:$Q$1536,17,FALSE)</f>
        <v>2142.682861328125</v>
      </c>
      <c r="W96" s="27">
        <f t="shared" si="5"/>
        <v>0.15993167608374659</v>
      </c>
    </row>
    <row r="97" spans="1:23" x14ac:dyDescent="0.3">
      <c r="A97" s="4" t="s">
        <v>1391</v>
      </c>
      <c r="B97" s="5">
        <v>2013</v>
      </c>
      <c r="C97" s="5" t="s">
        <v>1089</v>
      </c>
      <c r="D97" s="15" t="s">
        <v>1363</v>
      </c>
      <c r="E97" s="6">
        <v>111483</v>
      </c>
      <c r="F97" s="5" t="s">
        <v>77</v>
      </c>
      <c r="G97" s="5" t="s">
        <v>28</v>
      </c>
      <c r="H97" s="5" t="s">
        <v>17</v>
      </c>
      <c r="I97" s="5" t="s">
        <v>18</v>
      </c>
      <c r="J97" s="7">
        <v>45678</v>
      </c>
      <c r="K97" s="5" t="s">
        <v>17</v>
      </c>
      <c r="L97" s="8">
        <v>44307</v>
      </c>
      <c r="M97" s="19">
        <v>235</v>
      </c>
      <c r="N97" s="19">
        <v>285</v>
      </c>
      <c r="O97" s="24">
        <v>4150</v>
      </c>
      <c r="P97" s="24">
        <v>3500</v>
      </c>
      <c r="Q97" t="s">
        <v>1984</v>
      </c>
      <c r="R97" s="19">
        <f>VLOOKUP(A97,[1]Sheet1!$A$2:$Q$1536,15,FALSE)</f>
        <v>3613.564697265625</v>
      </c>
      <c r="S97" s="27">
        <f t="shared" si="3"/>
        <v>3.1427331950513879E-2</v>
      </c>
      <c r="T97" s="19">
        <f>VLOOKUP(A97,[1]Sheet1!$A$2:$Q$1536,16,FALSE)</f>
        <v>8687.3470194083311</v>
      </c>
      <c r="U97" s="27">
        <f t="shared" si="4"/>
        <v>0.59711520764847104</v>
      </c>
      <c r="V97" s="19">
        <f>VLOOKUP(A97,[1]Sheet1!$A$2:$Q$1536,17,FALSE)</f>
        <v>3509.15625</v>
      </c>
      <c r="W97" s="27">
        <f t="shared" si="5"/>
        <v>2.6092454560836384E-3</v>
      </c>
    </row>
    <row r="98" spans="1:23" x14ac:dyDescent="0.3">
      <c r="A98" s="4" t="s">
        <v>1976</v>
      </c>
      <c r="B98" s="5">
        <v>2014</v>
      </c>
      <c r="C98" s="5" t="s">
        <v>932</v>
      </c>
      <c r="D98" s="15" t="s">
        <v>1977</v>
      </c>
      <c r="E98" s="6">
        <v>117221</v>
      </c>
      <c r="F98" s="5" t="s">
        <v>32</v>
      </c>
      <c r="G98" s="5" t="s">
        <v>22</v>
      </c>
      <c r="H98" s="5" t="s">
        <v>18</v>
      </c>
      <c r="I98" s="5" t="s">
        <v>17</v>
      </c>
      <c r="J98" s="7">
        <v>45484</v>
      </c>
      <c r="K98" s="5" t="s">
        <v>17</v>
      </c>
      <c r="L98" s="8">
        <v>44067</v>
      </c>
      <c r="M98" s="19">
        <v>235</v>
      </c>
      <c r="N98" s="19">
        <v>285</v>
      </c>
      <c r="O98" s="24">
        <v>500</v>
      </c>
      <c r="P98" s="24">
        <v>500</v>
      </c>
      <c r="Q98" t="s">
        <v>1984</v>
      </c>
      <c r="R98" s="19">
        <f>VLOOKUP(A98,[1]Sheet1!$A$2:$Q$1536,15,FALSE)</f>
        <v>1470.76708984375</v>
      </c>
      <c r="S98" s="27">
        <f t="shared" si="3"/>
        <v>0.66004134614331178</v>
      </c>
      <c r="T98" s="19">
        <f>VLOOKUP(A98,[1]Sheet1!$A$2:$Q$1536,16,FALSE)</f>
        <v>8686.2258279334492</v>
      </c>
      <c r="U98" s="27">
        <f t="shared" si="4"/>
        <v>0.94243760064444981</v>
      </c>
      <c r="V98" s="19">
        <f>VLOOKUP(A98,[1]Sheet1!$A$2:$Q$1536,17,FALSE)</f>
        <v>1400.44287109375</v>
      </c>
      <c r="W98" s="27">
        <f t="shared" si="5"/>
        <v>0.64297008444942949</v>
      </c>
    </row>
    <row r="99" spans="1:23" x14ac:dyDescent="0.3">
      <c r="A99" s="4" t="s">
        <v>316</v>
      </c>
      <c r="B99" s="5">
        <v>2020</v>
      </c>
      <c r="C99" s="5" t="s">
        <v>237</v>
      </c>
      <c r="D99" s="15" t="s">
        <v>310</v>
      </c>
      <c r="E99" s="6">
        <v>72425</v>
      </c>
      <c r="F99" s="5" t="s">
        <v>199</v>
      </c>
      <c r="G99" s="5" t="s">
        <v>16</v>
      </c>
      <c r="H99" s="5" t="s">
        <v>17</v>
      </c>
      <c r="I99" s="5" t="s">
        <v>18</v>
      </c>
      <c r="J99" s="7">
        <v>45594</v>
      </c>
      <c r="K99" s="5" t="s">
        <v>17</v>
      </c>
      <c r="L99" s="8">
        <v>43605</v>
      </c>
      <c r="M99" s="19">
        <v>264</v>
      </c>
      <c r="N99" s="19">
        <v>314</v>
      </c>
      <c r="O99" s="24">
        <v>12300</v>
      </c>
      <c r="P99" s="24">
        <v>12200</v>
      </c>
      <c r="Q99" t="s">
        <v>1984</v>
      </c>
      <c r="R99" s="19">
        <f>VLOOKUP(A99,[1]Sheet1!$A$2:$Q$1536,15,FALSE)</f>
        <v>12207.31640625</v>
      </c>
      <c r="S99" s="27">
        <f t="shared" si="3"/>
        <v>5.9934599927745683E-4</v>
      </c>
      <c r="T99" s="19">
        <f>VLOOKUP(A99,[1]Sheet1!$A$2:$Q$1536,16,FALSE)</f>
        <v>11560.44423974466</v>
      </c>
      <c r="U99" s="27">
        <f t="shared" si="4"/>
        <v>-5.5322766754633476E-2</v>
      </c>
      <c r="V99" s="19">
        <f>VLOOKUP(A99,[1]Sheet1!$A$2:$Q$1536,17,FALSE)</f>
        <v>12081.0634765625</v>
      </c>
      <c r="W99" s="27">
        <f t="shared" si="5"/>
        <v>-9.8448719906355248E-3</v>
      </c>
    </row>
    <row r="100" spans="1:23" x14ac:dyDescent="0.3">
      <c r="A100" s="4" t="s">
        <v>894</v>
      </c>
      <c r="B100" s="5">
        <v>2015</v>
      </c>
      <c r="C100" s="5" t="s">
        <v>391</v>
      </c>
      <c r="D100" s="15" t="s">
        <v>590</v>
      </c>
      <c r="E100" s="6">
        <v>131254</v>
      </c>
      <c r="F100" s="5" t="s">
        <v>27</v>
      </c>
      <c r="G100" s="5" t="s">
        <v>33</v>
      </c>
      <c r="H100" s="5" t="s">
        <v>17</v>
      </c>
      <c r="I100" s="5" t="s">
        <v>18</v>
      </c>
      <c r="J100" s="7">
        <v>45505</v>
      </c>
      <c r="K100" s="5" t="s">
        <v>17</v>
      </c>
      <c r="L100" s="8">
        <v>44028</v>
      </c>
      <c r="M100" s="19">
        <v>235</v>
      </c>
      <c r="N100" s="19">
        <v>285</v>
      </c>
      <c r="O100" s="24">
        <v>0</v>
      </c>
      <c r="P100" s="24">
        <v>2700</v>
      </c>
      <c r="Q100" t="s">
        <v>1983</v>
      </c>
      <c r="R100" s="19">
        <f>VLOOKUP(A100,[1]Sheet1!$A$2:$Q$1536,15,FALSE)</f>
        <v>2609.001708984375</v>
      </c>
      <c r="S100" s="27">
        <f t="shared" si="3"/>
        <v>-3.487858620493145E-2</v>
      </c>
      <c r="T100" s="19">
        <f>VLOOKUP(A100,[1]Sheet1!$A$2:$Q$1536,16,FALSE)</f>
        <v>9316.8441877846126</v>
      </c>
      <c r="U100" s="27">
        <f t="shared" si="4"/>
        <v>0.71020230181159505</v>
      </c>
      <c r="V100" s="19">
        <f>VLOOKUP(A100,[1]Sheet1!$A$2:$Q$1536,17,FALSE)</f>
        <v>2542.6708984375</v>
      </c>
      <c r="W100" s="27">
        <f t="shared" si="5"/>
        <v>-6.1875526895431299E-2</v>
      </c>
    </row>
    <row r="101" spans="1:23" x14ac:dyDescent="0.3">
      <c r="A101" s="4" t="s">
        <v>1221</v>
      </c>
      <c r="B101" s="5">
        <v>2015</v>
      </c>
      <c r="C101" s="5" t="s">
        <v>1219</v>
      </c>
      <c r="D101" s="15" t="s">
        <v>1220</v>
      </c>
      <c r="E101" s="6">
        <v>84045</v>
      </c>
      <c r="F101" s="5" t="s">
        <v>184</v>
      </c>
      <c r="G101" s="5" t="s">
        <v>16</v>
      </c>
      <c r="H101" s="5" t="s">
        <v>17</v>
      </c>
      <c r="I101" s="5" t="s">
        <v>18</v>
      </c>
      <c r="J101" s="7">
        <v>45356</v>
      </c>
      <c r="K101" s="5" t="s">
        <v>17</v>
      </c>
      <c r="L101" s="8">
        <v>44614</v>
      </c>
      <c r="M101" s="19">
        <v>235</v>
      </c>
      <c r="N101" s="19">
        <v>285</v>
      </c>
      <c r="O101" s="24">
        <v>7500</v>
      </c>
      <c r="P101" s="24">
        <v>4800</v>
      </c>
      <c r="Q101" t="s">
        <v>1984</v>
      </c>
      <c r="R101" s="19">
        <f>VLOOKUP(A101,[1]Sheet1!$A$2:$Q$1536,15,FALSE)</f>
        <v>5959.67578125</v>
      </c>
      <c r="S101" s="27">
        <f t="shared" si="3"/>
        <v>0.19458705872868243</v>
      </c>
      <c r="T101" s="19">
        <f>VLOOKUP(A101,[1]Sheet1!$A$2:$Q$1536,16,FALSE)</f>
        <v>10082.86340036038</v>
      </c>
      <c r="U101" s="27">
        <f t="shared" si="4"/>
        <v>0.52394475563078247</v>
      </c>
      <c r="V101" s="19">
        <f>VLOOKUP(A101,[1]Sheet1!$A$2:$Q$1536,17,FALSE)</f>
        <v>5955.173828125</v>
      </c>
      <c r="W101" s="27">
        <f t="shared" si="5"/>
        <v>0.1939781879530306</v>
      </c>
    </row>
    <row r="102" spans="1:23" x14ac:dyDescent="0.3">
      <c r="A102" s="4" t="s">
        <v>160</v>
      </c>
      <c r="B102" s="5">
        <v>2016</v>
      </c>
      <c r="C102" s="5" t="s">
        <v>96</v>
      </c>
      <c r="D102" s="15" t="s">
        <v>154</v>
      </c>
      <c r="E102" s="6">
        <v>102705</v>
      </c>
      <c r="F102" s="5" t="s">
        <v>161</v>
      </c>
      <c r="G102" s="5" t="s">
        <v>16</v>
      </c>
      <c r="H102" s="5" t="s">
        <v>17</v>
      </c>
      <c r="I102" s="5" t="s">
        <v>18</v>
      </c>
      <c r="J102" s="7">
        <v>45314</v>
      </c>
      <c r="K102" s="5" t="s">
        <v>17</v>
      </c>
      <c r="L102" s="8">
        <v>43612</v>
      </c>
      <c r="M102" s="19">
        <v>264</v>
      </c>
      <c r="N102" s="19">
        <v>314</v>
      </c>
      <c r="O102" s="24">
        <v>10800</v>
      </c>
      <c r="P102" s="24">
        <v>9500</v>
      </c>
      <c r="Q102" t="s">
        <v>1984</v>
      </c>
      <c r="R102" s="19">
        <f>VLOOKUP(A102,[1]Sheet1!$A$2:$Q$1536,15,FALSE)</f>
        <v>9066.1708984375</v>
      </c>
      <c r="S102" s="27">
        <f t="shared" si="3"/>
        <v>-4.785141449708033E-2</v>
      </c>
      <c r="T102" s="19">
        <f>VLOOKUP(A102,[1]Sheet1!$A$2:$Q$1536,16,FALSE)</f>
        <v>10136.4675871658</v>
      </c>
      <c r="U102" s="27">
        <f t="shared" si="4"/>
        <v>6.2789880369336748E-2</v>
      </c>
      <c r="V102" s="19">
        <f>VLOOKUP(A102,[1]Sheet1!$A$2:$Q$1536,17,FALSE)</f>
        <v>9124.287109375</v>
      </c>
      <c r="W102" s="27">
        <f t="shared" si="5"/>
        <v>-4.117723238223877E-2</v>
      </c>
    </row>
    <row r="103" spans="1:23" x14ac:dyDescent="0.3">
      <c r="A103" s="4" t="s">
        <v>860</v>
      </c>
      <c r="B103" s="5">
        <v>2015</v>
      </c>
      <c r="C103" s="5" t="s">
        <v>391</v>
      </c>
      <c r="D103" s="15" t="s">
        <v>580</v>
      </c>
      <c r="E103" s="6">
        <v>157155</v>
      </c>
      <c r="F103" s="5" t="s">
        <v>57</v>
      </c>
      <c r="G103" s="5" t="s">
        <v>25</v>
      </c>
      <c r="H103" s="5" t="s">
        <v>18</v>
      </c>
      <c r="I103" s="5" t="s">
        <v>17</v>
      </c>
      <c r="J103" s="7">
        <v>45673</v>
      </c>
      <c r="K103" s="5" t="s">
        <v>17</v>
      </c>
      <c r="L103" s="8">
        <v>44224</v>
      </c>
      <c r="M103" s="19">
        <v>235</v>
      </c>
      <c r="N103" s="19">
        <v>285</v>
      </c>
      <c r="O103" s="24">
        <v>0</v>
      </c>
      <c r="P103" s="24">
        <v>9000</v>
      </c>
      <c r="Q103" t="s">
        <v>1983</v>
      </c>
      <c r="R103" s="19">
        <f>VLOOKUP(A103,[1]Sheet1!$A$2:$Q$1536,15,FALSE)</f>
        <v>1977.42529296875</v>
      </c>
      <c r="S103" s="27">
        <f t="shared" si="3"/>
        <v>-3.5513729555305282</v>
      </c>
      <c r="T103" s="19">
        <f>VLOOKUP(A103,[1]Sheet1!$A$2:$Q$1536,16,FALSE)</f>
        <v>9331.0664918475941</v>
      </c>
      <c r="U103" s="27">
        <f t="shared" si="4"/>
        <v>3.548002708338234E-2</v>
      </c>
      <c r="V103" s="19">
        <f>VLOOKUP(A103,[1]Sheet1!$A$2:$Q$1536,17,FALSE)</f>
        <v>1960.711547851562</v>
      </c>
      <c r="W103" s="27">
        <f t="shared" si="5"/>
        <v>-3.5901703439558439</v>
      </c>
    </row>
    <row r="104" spans="1:23" x14ac:dyDescent="0.3">
      <c r="A104" s="4" t="s">
        <v>593</v>
      </c>
      <c r="B104" s="5">
        <v>2015</v>
      </c>
      <c r="C104" s="5" t="s">
        <v>391</v>
      </c>
      <c r="D104" s="15" t="s">
        <v>594</v>
      </c>
      <c r="E104" s="6">
        <v>137443</v>
      </c>
      <c r="F104" s="5" t="s">
        <v>112</v>
      </c>
      <c r="G104" s="5" t="s">
        <v>134</v>
      </c>
      <c r="H104" s="5" t="s">
        <v>18</v>
      </c>
      <c r="I104" s="5" t="s">
        <v>17</v>
      </c>
      <c r="J104" s="7">
        <v>45302</v>
      </c>
      <c r="K104" s="5" t="s">
        <v>17</v>
      </c>
      <c r="L104" s="8">
        <v>43612</v>
      </c>
      <c r="M104" s="19">
        <v>264</v>
      </c>
      <c r="N104" s="19">
        <v>314</v>
      </c>
      <c r="O104" s="24">
        <v>0</v>
      </c>
      <c r="P104" s="24">
        <v>14200</v>
      </c>
      <c r="Q104" t="s">
        <v>1983</v>
      </c>
      <c r="R104" s="19">
        <f>VLOOKUP(A104,[1]Sheet1!$A$2:$Q$1536,15,FALSE)</f>
        <v>2366.679931640625</v>
      </c>
      <c r="S104" s="27">
        <f t="shared" si="3"/>
        <v>-4.9999663706770461</v>
      </c>
      <c r="T104" s="19">
        <f>VLOOKUP(A104,[1]Sheet1!$A$2:$Q$1536,16,FALSE)</f>
        <v>9313.1581902552316</v>
      </c>
      <c r="U104" s="27">
        <f t="shared" si="4"/>
        <v>-0.52472445006443535</v>
      </c>
      <c r="V104" s="19">
        <f>VLOOKUP(A104,[1]Sheet1!$A$2:$Q$1536,17,FALSE)</f>
        <v>2271.3232421875</v>
      </c>
      <c r="W104" s="27">
        <f t="shared" si="5"/>
        <v>-5.2518622344233359</v>
      </c>
    </row>
    <row r="105" spans="1:23" x14ac:dyDescent="0.3">
      <c r="A105" s="4" t="s">
        <v>409</v>
      </c>
      <c r="B105" s="5">
        <v>2014</v>
      </c>
      <c r="C105" s="5" t="s">
        <v>391</v>
      </c>
      <c r="D105" s="15" t="s">
        <v>394</v>
      </c>
      <c r="E105" s="6">
        <v>136557</v>
      </c>
      <c r="F105" s="5" t="s">
        <v>40</v>
      </c>
      <c r="G105" s="5" t="s">
        <v>25</v>
      </c>
      <c r="H105" s="5" t="s">
        <v>18</v>
      </c>
      <c r="I105" s="5" t="s">
        <v>17</v>
      </c>
      <c r="J105" s="7">
        <v>45365</v>
      </c>
      <c r="K105" s="5" t="s">
        <v>17</v>
      </c>
      <c r="L105" s="8">
        <v>44310</v>
      </c>
      <c r="M105" s="19">
        <v>235</v>
      </c>
      <c r="N105" s="19">
        <v>285</v>
      </c>
      <c r="O105" s="24">
        <v>3600</v>
      </c>
      <c r="P105" s="24">
        <v>2600</v>
      </c>
      <c r="Q105" t="s">
        <v>1984</v>
      </c>
      <c r="R105" s="19">
        <f>VLOOKUP(A105,[1]Sheet1!$A$2:$Q$1536,15,FALSE)</f>
        <v>1125.177001953125</v>
      </c>
      <c r="S105" s="27">
        <f t="shared" si="3"/>
        <v>-1.3107475494849443</v>
      </c>
      <c r="T105" s="19">
        <f>VLOOKUP(A105,[1]Sheet1!$A$2:$Q$1536,16,FALSE)</f>
        <v>9340.4778560560462</v>
      </c>
      <c r="U105" s="27">
        <f t="shared" si="4"/>
        <v>0.72164165045215012</v>
      </c>
      <c r="V105" s="19">
        <f>VLOOKUP(A105,[1]Sheet1!$A$2:$Q$1536,17,FALSE)</f>
        <v>1310.827270507812</v>
      </c>
      <c r="W105" s="27">
        <f t="shared" si="5"/>
        <v>-0.98348024831125525</v>
      </c>
    </row>
    <row r="106" spans="1:23" x14ac:dyDescent="0.3">
      <c r="A106" s="4" t="s">
        <v>1264</v>
      </c>
      <c r="B106" s="5">
        <v>2013</v>
      </c>
      <c r="C106" s="5" t="s">
        <v>30</v>
      </c>
      <c r="D106" s="15" t="s">
        <v>1265</v>
      </c>
      <c r="E106" s="6">
        <v>93719</v>
      </c>
      <c r="F106" s="5" t="s">
        <v>170</v>
      </c>
      <c r="G106" s="5" t="s">
        <v>16</v>
      </c>
      <c r="H106" s="5" t="s">
        <v>17</v>
      </c>
      <c r="I106" s="5" t="s">
        <v>18</v>
      </c>
      <c r="J106" s="7">
        <v>45645</v>
      </c>
      <c r="K106" s="5" t="s">
        <v>17</v>
      </c>
      <c r="L106" s="8">
        <v>44113</v>
      </c>
      <c r="M106" s="19">
        <v>264</v>
      </c>
      <c r="N106" s="19">
        <v>314</v>
      </c>
      <c r="O106" s="24">
        <v>0</v>
      </c>
      <c r="P106" s="24">
        <v>14500</v>
      </c>
      <c r="Q106" t="s">
        <v>1983</v>
      </c>
      <c r="R106" s="19">
        <f>VLOOKUP(A106,[1]Sheet1!$A$2:$Q$1536,15,FALSE)</f>
        <v>6409.51708984375</v>
      </c>
      <c r="S106" s="27">
        <f t="shared" si="3"/>
        <v>-1.2622609155650879</v>
      </c>
      <c r="T106" s="19">
        <f>VLOOKUP(A106,[1]Sheet1!$A$2:$Q$1536,16,FALSE)</f>
        <v>9278.5176529101282</v>
      </c>
      <c r="U106" s="27">
        <f t="shared" si="4"/>
        <v>-0.56274962687086105</v>
      </c>
      <c r="V106" s="19">
        <f>VLOOKUP(A106,[1]Sheet1!$A$2:$Q$1536,17,FALSE)</f>
        <v>6455.994140625</v>
      </c>
      <c r="W106" s="27">
        <f t="shared" si="5"/>
        <v>-1.245974776952983</v>
      </c>
    </row>
    <row r="107" spans="1:23" x14ac:dyDescent="0.3">
      <c r="A107" s="4" t="s">
        <v>1304</v>
      </c>
      <c r="B107" s="5">
        <v>2021</v>
      </c>
      <c r="C107" s="5" t="s">
        <v>636</v>
      </c>
      <c r="D107" s="15" t="s">
        <v>1305</v>
      </c>
      <c r="E107" s="6">
        <v>70077</v>
      </c>
      <c r="F107" s="5" t="s">
        <v>125</v>
      </c>
      <c r="G107" s="5" t="s">
        <v>16</v>
      </c>
      <c r="H107" s="5" t="s">
        <v>17</v>
      </c>
      <c r="I107" s="5" t="s">
        <v>18</v>
      </c>
      <c r="J107" s="7">
        <v>45608</v>
      </c>
      <c r="K107" s="5" t="s">
        <v>17</v>
      </c>
      <c r="L107" s="8">
        <v>44310</v>
      </c>
      <c r="M107" s="19">
        <v>235</v>
      </c>
      <c r="N107" s="19">
        <v>285</v>
      </c>
      <c r="O107" s="24">
        <v>20900</v>
      </c>
      <c r="P107" s="24">
        <v>17600</v>
      </c>
      <c r="Q107" t="s">
        <v>1984</v>
      </c>
      <c r="R107" s="19">
        <f>VLOOKUP(A107,[1]Sheet1!$A$2:$Q$1536,15,FALSE)</f>
        <v>13542.619140625</v>
      </c>
      <c r="S107" s="27">
        <f t="shared" si="3"/>
        <v>-0.29960089826374231</v>
      </c>
      <c r="T107" s="19">
        <f>VLOOKUP(A107,[1]Sheet1!$A$2:$Q$1536,16,FALSE)</f>
        <v>12089.84741725735</v>
      </c>
      <c r="U107" s="27">
        <f t="shared" si="4"/>
        <v>-0.4557669251373116</v>
      </c>
      <c r="V107" s="19">
        <f>VLOOKUP(A107,[1]Sheet1!$A$2:$Q$1536,17,FALSE)</f>
        <v>13496.744140625</v>
      </c>
      <c r="W107" s="27">
        <f t="shared" si="5"/>
        <v>-0.30401819999123053</v>
      </c>
    </row>
    <row r="108" spans="1:23" x14ac:dyDescent="0.3">
      <c r="A108" s="4" t="s">
        <v>1242</v>
      </c>
      <c r="B108" s="5">
        <v>2019</v>
      </c>
      <c r="C108" s="5" t="s">
        <v>920</v>
      </c>
      <c r="D108" s="15" t="s">
        <v>1238</v>
      </c>
      <c r="E108" s="6">
        <v>91469</v>
      </c>
      <c r="F108" s="5" t="s">
        <v>64</v>
      </c>
      <c r="G108" s="5" t="s">
        <v>16</v>
      </c>
      <c r="H108" s="5" t="s">
        <v>17</v>
      </c>
      <c r="I108" s="5" t="s">
        <v>18</v>
      </c>
      <c r="J108" s="7">
        <v>45736</v>
      </c>
      <c r="K108" s="5" t="s">
        <v>17</v>
      </c>
      <c r="L108" s="8">
        <v>44113</v>
      </c>
      <c r="M108" s="19">
        <v>264</v>
      </c>
      <c r="N108" s="19">
        <v>314</v>
      </c>
      <c r="O108" s="24">
        <v>0</v>
      </c>
      <c r="P108" s="24">
        <v>20800</v>
      </c>
      <c r="Q108" t="s">
        <v>1983</v>
      </c>
      <c r="R108" s="19">
        <f>VLOOKUP(A108,[1]Sheet1!$A$2:$Q$1536,15,FALSE)</f>
        <v>11885.20703125</v>
      </c>
      <c r="S108" s="27">
        <f t="shared" si="3"/>
        <v>-0.75007468909125152</v>
      </c>
      <c r="T108" s="19">
        <f>VLOOKUP(A108,[1]Sheet1!$A$2:$Q$1536,16,FALSE)</f>
        <v>9756.2333310779013</v>
      </c>
      <c r="U108" s="27">
        <f t="shared" si="4"/>
        <v>-1.1319703305724389</v>
      </c>
      <c r="V108" s="19">
        <f>VLOOKUP(A108,[1]Sheet1!$A$2:$Q$1536,17,FALSE)</f>
        <v>11992.1943359375</v>
      </c>
      <c r="W108" s="27">
        <f t="shared" si="5"/>
        <v>-0.73446155201703056</v>
      </c>
    </row>
    <row r="109" spans="1:23" x14ac:dyDescent="0.3">
      <c r="A109" s="4" t="s">
        <v>469</v>
      </c>
      <c r="B109" s="5">
        <v>2014</v>
      </c>
      <c r="C109" s="5" t="s">
        <v>391</v>
      </c>
      <c r="D109" s="15" t="s">
        <v>413</v>
      </c>
      <c r="E109" s="6">
        <v>123520</v>
      </c>
      <c r="F109" s="5" t="s">
        <v>87</v>
      </c>
      <c r="G109" s="5" t="s">
        <v>25</v>
      </c>
      <c r="H109" s="5" t="s">
        <v>18</v>
      </c>
      <c r="I109" s="5" t="s">
        <v>17</v>
      </c>
      <c r="J109" s="7">
        <v>45538</v>
      </c>
      <c r="K109" s="5" t="s">
        <v>17</v>
      </c>
      <c r="L109" s="8">
        <v>43950</v>
      </c>
      <c r="M109" s="19">
        <v>264</v>
      </c>
      <c r="N109" s="19">
        <v>314</v>
      </c>
      <c r="O109" s="24">
        <v>4600</v>
      </c>
      <c r="P109" s="24">
        <v>2500</v>
      </c>
      <c r="Q109" t="s">
        <v>1984</v>
      </c>
      <c r="R109" s="19">
        <f>VLOOKUP(A109,[1]Sheet1!$A$2:$Q$1536,15,FALSE)</f>
        <v>2192.34765625</v>
      </c>
      <c r="S109" s="27">
        <f t="shared" si="3"/>
        <v>-0.14033008992571819</v>
      </c>
      <c r="T109" s="19">
        <f>VLOOKUP(A109,[1]Sheet1!$A$2:$Q$1536,16,FALSE)</f>
        <v>9187.3075229074075</v>
      </c>
      <c r="U109" s="27">
        <f t="shared" si="4"/>
        <v>0.72788545569345953</v>
      </c>
      <c r="V109" s="19">
        <f>VLOOKUP(A109,[1]Sheet1!$A$2:$Q$1536,17,FALSE)</f>
        <v>2105.391845703125</v>
      </c>
      <c r="W109" s="27">
        <f t="shared" si="5"/>
        <v>-0.18742741646987338</v>
      </c>
    </row>
    <row r="110" spans="1:23" x14ac:dyDescent="0.3">
      <c r="A110" s="4" t="s">
        <v>1721</v>
      </c>
      <c r="B110" s="5">
        <v>2016</v>
      </c>
      <c r="C110" s="5" t="s">
        <v>1089</v>
      </c>
      <c r="D110" s="15" t="s">
        <v>1720</v>
      </c>
      <c r="E110" s="6">
        <v>101779</v>
      </c>
      <c r="F110" s="5" t="s">
        <v>199</v>
      </c>
      <c r="G110" s="5" t="s">
        <v>25</v>
      </c>
      <c r="H110" s="5" t="s">
        <v>18</v>
      </c>
      <c r="I110" s="5" t="s">
        <v>17</v>
      </c>
      <c r="J110" s="7">
        <v>45617</v>
      </c>
      <c r="K110" s="5" t="s">
        <v>17</v>
      </c>
      <c r="L110" s="8">
        <v>43950</v>
      </c>
      <c r="M110" s="19">
        <v>264</v>
      </c>
      <c r="N110" s="19">
        <v>314</v>
      </c>
      <c r="O110" s="24">
        <v>2500</v>
      </c>
      <c r="P110" s="24">
        <v>2500</v>
      </c>
      <c r="Q110" t="s">
        <v>1984</v>
      </c>
      <c r="R110" s="19">
        <f>VLOOKUP(A110,[1]Sheet1!$A$2:$Q$1536,15,FALSE)</f>
        <v>6815.501953125</v>
      </c>
      <c r="S110" s="27">
        <f t="shared" si="3"/>
        <v>0.63318915947875032</v>
      </c>
      <c r="T110" s="19">
        <f>VLOOKUP(A110,[1]Sheet1!$A$2:$Q$1536,16,FALSE)</f>
        <v>9441.2867542341337</v>
      </c>
      <c r="U110" s="27">
        <f t="shared" si="4"/>
        <v>0.73520558531083435</v>
      </c>
      <c r="V110" s="19">
        <f>VLOOKUP(A110,[1]Sheet1!$A$2:$Q$1536,17,FALSE)</f>
        <v>6816.08837890625</v>
      </c>
      <c r="W110" s="27">
        <f t="shared" si="5"/>
        <v>0.63322071824409576</v>
      </c>
    </row>
    <row r="111" spans="1:23" x14ac:dyDescent="0.3">
      <c r="A111" s="4" t="s">
        <v>1029</v>
      </c>
      <c r="B111" s="5">
        <v>2015</v>
      </c>
      <c r="C111" s="5" t="s">
        <v>237</v>
      </c>
      <c r="D111" s="15" t="s">
        <v>1024</v>
      </c>
      <c r="E111" s="6">
        <v>76206</v>
      </c>
      <c r="F111" s="5" t="s">
        <v>77</v>
      </c>
      <c r="G111" s="5" t="s">
        <v>28</v>
      </c>
      <c r="H111" s="5" t="s">
        <v>17</v>
      </c>
      <c r="I111" s="5" t="s">
        <v>18</v>
      </c>
      <c r="J111" s="7">
        <v>45482</v>
      </c>
      <c r="K111" s="5" t="s">
        <v>17</v>
      </c>
      <c r="L111" s="8">
        <v>44444</v>
      </c>
      <c r="M111" s="19">
        <v>264</v>
      </c>
      <c r="N111" s="19">
        <v>314</v>
      </c>
      <c r="O111" s="24">
        <v>7200</v>
      </c>
      <c r="P111" s="24">
        <v>2600</v>
      </c>
      <c r="Q111" t="s">
        <v>1984</v>
      </c>
      <c r="R111" s="19">
        <f>VLOOKUP(A111,[1]Sheet1!$A$2:$Q$1536,15,FALSE)</f>
        <v>9338.5068359375</v>
      </c>
      <c r="S111" s="27">
        <f t="shared" si="3"/>
        <v>0.72158289909963058</v>
      </c>
      <c r="T111" s="19">
        <f>VLOOKUP(A111,[1]Sheet1!$A$2:$Q$1536,16,FALSE)</f>
        <v>9477.3185660980162</v>
      </c>
      <c r="U111" s="27">
        <f t="shared" si="4"/>
        <v>0.72566079932137739</v>
      </c>
      <c r="V111" s="19">
        <f>VLOOKUP(A111,[1]Sheet1!$A$2:$Q$1536,17,FALSE)</f>
        <v>9524.3310546875</v>
      </c>
      <c r="W111" s="27">
        <f t="shared" si="5"/>
        <v>0.72701494886400631</v>
      </c>
    </row>
    <row r="112" spans="1:23" x14ac:dyDescent="0.3">
      <c r="A112" s="4" t="s">
        <v>1905</v>
      </c>
      <c r="B112" s="5">
        <v>2012</v>
      </c>
      <c r="C112" s="5" t="s">
        <v>1223</v>
      </c>
      <c r="D112" s="15" t="s">
        <v>1904</v>
      </c>
      <c r="E112" s="6">
        <v>116807</v>
      </c>
      <c r="F112" s="5" t="s">
        <v>66</v>
      </c>
      <c r="G112" s="5" t="s">
        <v>25</v>
      </c>
      <c r="H112" s="5" t="s">
        <v>18</v>
      </c>
      <c r="I112" s="5" t="s">
        <v>17</v>
      </c>
      <c r="J112" s="7">
        <v>45356</v>
      </c>
      <c r="K112" s="5" t="s">
        <v>17</v>
      </c>
      <c r="L112" s="8">
        <v>43608</v>
      </c>
      <c r="M112" s="19">
        <v>264</v>
      </c>
      <c r="N112" s="19">
        <v>314</v>
      </c>
      <c r="O112" s="24">
        <v>0</v>
      </c>
      <c r="P112" s="24">
        <v>5600</v>
      </c>
      <c r="Q112" t="s">
        <v>1983</v>
      </c>
      <c r="R112" s="19">
        <f>VLOOKUP(A112,[1]Sheet1!$A$2:$Q$1536,15,FALSE)</f>
        <v>2228.233642578125</v>
      </c>
      <c r="S112" s="27">
        <f t="shared" si="3"/>
        <v>-1.5132014403663041</v>
      </c>
      <c r="T112" s="19">
        <f>VLOOKUP(A112,[1]Sheet1!$A$2:$Q$1536,16,FALSE)</f>
        <v>9706.6513171294391</v>
      </c>
      <c r="U112" s="27">
        <f t="shared" si="4"/>
        <v>0.42307601076412255</v>
      </c>
      <c r="V112" s="19">
        <f>VLOOKUP(A112,[1]Sheet1!$A$2:$Q$1536,17,FALSE)</f>
        <v>2182.28759765625</v>
      </c>
      <c r="W112" s="27">
        <f t="shared" si="5"/>
        <v>-1.5661145698735268</v>
      </c>
    </row>
    <row r="113" spans="1:23" x14ac:dyDescent="0.3">
      <c r="A113" s="4" t="s">
        <v>299</v>
      </c>
      <c r="B113" s="5">
        <v>2016</v>
      </c>
      <c r="C113" s="5" t="s">
        <v>237</v>
      </c>
      <c r="D113" s="15" t="s">
        <v>298</v>
      </c>
      <c r="E113" s="6">
        <v>139079</v>
      </c>
      <c r="F113" s="5" t="s">
        <v>40</v>
      </c>
      <c r="G113" s="5" t="s">
        <v>25</v>
      </c>
      <c r="H113" s="5" t="s">
        <v>18</v>
      </c>
      <c r="I113" s="5" t="s">
        <v>17</v>
      </c>
      <c r="J113" s="7">
        <v>45603</v>
      </c>
      <c r="K113" s="5" t="s">
        <v>17</v>
      </c>
      <c r="L113" s="8">
        <v>44706</v>
      </c>
      <c r="M113" s="19">
        <v>222</v>
      </c>
      <c r="N113" s="19">
        <v>272</v>
      </c>
      <c r="O113" s="24">
        <v>0</v>
      </c>
      <c r="P113" s="24">
        <v>6600</v>
      </c>
      <c r="Q113" t="s">
        <v>1983</v>
      </c>
      <c r="R113" s="19">
        <f>VLOOKUP(A113,[1]Sheet1!$A$2:$Q$1536,15,FALSE)</f>
        <v>2757.9140625</v>
      </c>
      <c r="S113" s="27">
        <f t="shared" si="3"/>
        <v>-1.3931130015041939</v>
      </c>
      <c r="T113" s="19">
        <f>VLOOKUP(A113,[1]Sheet1!$A$2:$Q$1536,16,FALSE)</f>
        <v>9329.2772548248558</v>
      </c>
      <c r="U113" s="27">
        <f t="shared" si="4"/>
        <v>0.29254969921848401</v>
      </c>
      <c r="V113" s="19">
        <f>VLOOKUP(A113,[1]Sheet1!$A$2:$Q$1536,17,FALSE)</f>
        <v>2645.82568359375</v>
      </c>
      <c r="W113" s="27">
        <f t="shared" si="5"/>
        <v>-1.4944954011616545</v>
      </c>
    </row>
    <row r="114" spans="1:23" x14ac:dyDescent="0.3">
      <c r="A114" s="4" t="s">
        <v>877</v>
      </c>
      <c r="B114" s="5">
        <v>2018</v>
      </c>
      <c r="C114" s="5" t="s">
        <v>391</v>
      </c>
      <c r="D114" s="15" t="s">
        <v>590</v>
      </c>
      <c r="E114" s="6">
        <v>84428</v>
      </c>
      <c r="F114" s="5" t="s">
        <v>158</v>
      </c>
      <c r="G114" s="5" t="s">
        <v>16</v>
      </c>
      <c r="H114" s="5" t="s">
        <v>17</v>
      </c>
      <c r="I114" s="5" t="s">
        <v>18</v>
      </c>
      <c r="J114" s="7">
        <v>45421</v>
      </c>
      <c r="K114" s="5" t="s">
        <v>17</v>
      </c>
      <c r="L114" s="8">
        <v>44028</v>
      </c>
      <c r="M114" s="19">
        <v>235</v>
      </c>
      <c r="N114" s="19">
        <v>285</v>
      </c>
      <c r="O114" s="24">
        <v>0</v>
      </c>
      <c r="P114" s="24">
        <v>14500</v>
      </c>
      <c r="Q114" t="s">
        <v>1983</v>
      </c>
      <c r="R114" s="19">
        <f>VLOOKUP(A114,[1]Sheet1!$A$2:$Q$1536,15,FALSE)</f>
        <v>12880.4404296875</v>
      </c>
      <c r="S114" s="27">
        <f t="shared" si="3"/>
        <v>-0.12573790307508864</v>
      </c>
      <c r="T114" s="19">
        <f>VLOOKUP(A114,[1]Sheet1!$A$2:$Q$1536,16,FALSE)</f>
        <v>10491.44369515974</v>
      </c>
      <c r="U114" s="27">
        <f t="shared" si="4"/>
        <v>-0.38207861771108009</v>
      </c>
      <c r="V114" s="19">
        <f>VLOOKUP(A114,[1]Sheet1!$A$2:$Q$1536,17,FALSE)</f>
        <v>12976.556640625</v>
      </c>
      <c r="W114" s="27">
        <f t="shared" si="5"/>
        <v>-0.11739966167955826</v>
      </c>
    </row>
    <row r="115" spans="1:23" x14ac:dyDescent="0.3">
      <c r="A115" s="4" t="s">
        <v>1006</v>
      </c>
      <c r="B115" s="5">
        <v>2018</v>
      </c>
      <c r="C115" s="5" t="s">
        <v>237</v>
      </c>
      <c r="D115" s="15" t="s">
        <v>238</v>
      </c>
      <c r="E115" s="6">
        <v>126241</v>
      </c>
      <c r="F115" s="5" t="s">
        <v>79</v>
      </c>
      <c r="G115" s="5" t="s">
        <v>22</v>
      </c>
      <c r="H115" s="5" t="s">
        <v>18</v>
      </c>
      <c r="I115" s="5" t="s">
        <v>17</v>
      </c>
      <c r="J115" s="7">
        <v>45603</v>
      </c>
      <c r="K115" s="5" t="s">
        <v>17</v>
      </c>
      <c r="L115" s="8">
        <v>44224</v>
      </c>
      <c r="M115" s="19">
        <v>235</v>
      </c>
      <c r="N115" s="19">
        <v>285</v>
      </c>
      <c r="O115" s="24">
        <v>0</v>
      </c>
      <c r="P115" s="24">
        <v>11800</v>
      </c>
      <c r="Q115" t="s">
        <v>1983</v>
      </c>
      <c r="R115" s="19">
        <f>VLOOKUP(A115,[1]Sheet1!$A$2:$Q$1536,15,FALSE)</f>
        <v>4242.8388671875</v>
      </c>
      <c r="S115" s="27">
        <f t="shared" si="3"/>
        <v>-1.7811567606907504</v>
      </c>
      <c r="T115" s="19">
        <f>VLOOKUP(A115,[1]Sheet1!$A$2:$Q$1536,16,FALSE)</f>
        <v>9293.6796064764876</v>
      </c>
      <c r="U115" s="27">
        <f t="shared" si="4"/>
        <v>-0.26968009439199225</v>
      </c>
      <c r="V115" s="19">
        <f>VLOOKUP(A115,[1]Sheet1!$A$2:$Q$1536,17,FALSE)</f>
        <v>4191.9931640625</v>
      </c>
      <c r="W115" s="27">
        <f t="shared" si="5"/>
        <v>-1.8148900864534114</v>
      </c>
    </row>
    <row r="116" spans="1:23" x14ac:dyDescent="0.3">
      <c r="A116" s="4" t="s">
        <v>1703</v>
      </c>
      <c r="B116" s="5">
        <v>2012</v>
      </c>
      <c r="C116" s="5" t="s">
        <v>1089</v>
      </c>
      <c r="D116" s="15" t="s">
        <v>1328</v>
      </c>
      <c r="E116" s="6">
        <v>106515</v>
      </c>
      <c r="F116" s="5" t="s">
        <v>32</v>
      </c>
      <c r="G116" s="5" t="s">
        <v>25</v>
      </c>
      <c r="H116" s="5" t="s">
        <v>18</v>
      </c>
      <c r="I116" s="5" t="s">
        <v>17</v>
      </c>
      <c r="J116" s="7">
        <v>45566</v>
      </c>
      <c r="K116" s="5" t="s">
        <v>17</v>
      </c>
      <c r="L116" s="8">
        <v>44035</v>
      </c>
      <c r="M116" s="19">
        <v>222</v>
      </c>
      <c r="N116" s="19">
        <v>272</v>
      </c>
      <c r="O116" s="24">
        <v>2800</v>
      </c>
      <c r="P116" s="24">
        <v>1900</v>
      </c>
      <c r="Q116" t="s">
        <v>1984</v>
      </c>
      <c r="R116" s="19">
        <f>VLOOKUP(A116,[1]Sheet1!$A$2:$Q$1536,15,FALSE)</f>
        <v>1134.168090820312</v>
      </c>
      <c r="S116" s="27">
        <f t="shared" si="3"/>
        <v>-0.6752366914376714</v>
      </c>
      <c r="T116" s="19">
        <f>VLOOKUP(A116,[1]Sheet1!$A$2:$Q$1536,16,FALSE)</f>
        <v>8564.0321684423925</v>
      </c>
      <c r="U116" s="27">
        <f t="shared" si="4"/>
        <v>0.77814188893389369</v>
      </c>
      <c r="V116" s="19">
        <f>VLOOKUP(A116,[1]Sheet1!$A$2:$Q$1536,17,FALSE)</f>
        <v>1286.9091796875</v>
      </c>
      <c r="W116" s="27">
        <f t="shared" si="5"/>
        <v>-0.47640566248923388</v>
      </c>
    </row>
    <row r="117" spans="1:23" x14ac:dyDescent="0.3">
      <c r="A117" s="4" t="s">
        <v>998</v>
      </c>
      <c r="B117" s="5">
        <v>2020</v>
      </c>
      <c r="C117" s="5" t="s">
        <v>237</v>
      </c>
      <c r="D117" s="15" t="s">
        <v>238</v>
      </c>
      <c r="E117" s="6">
        <v>99087</v>
      </c>
      <c r="F117" s="5" t="s">
        <v>125</v>
      </c>
      <c r="G117" s="5" t="s">
        <v>16</v>
      </c>
      <c r="H117" s="5" t="s">
        <v>17</v>
      </c>
      <c r="I117" s="5" t="s">
        <v>18</v>
      </c>
      <c r="J117" s="7">
        <v>45470</v>
      </c>
      <c r="K117" s="5" t="s">
        <v>17</v>
      </c>
      <c r="L117" s="8">
        <v>44128</v>
      </c>
      <c r="M117" s="19">
        <v>264</v>
      </c>
      <c r="N117" s="19">
        <v>314</v>
      </c>
      <c r="O117" s="24">
        <v>0</v>
      </c>
      <c r="P117" s="24">
        <v>10600</v>
      </c>
      <c r="Q117" t="s">
        <v>1983</v>
      </c>
      <c r="R117" s="19">
        <f>VLOOKUP(A117,[1]Sheet1!$A$2:$Q$1536,15,FALSE)</f>
        <v>13912.2060546875</v>
      </c>
      <c r="S117" s="27">
        <f t="shared" si="3"/>
        <v>0.2380791401210956</v>
      </c>
      <c r="T117" s="19">
        <f>VLOOKUP(A117,[1]Sheet1!$A$2:$Q$1536,16,FALSE)</f>
        <v>11405.385346135199</v>
      </c>
      <c r="U117" s="27">
        <f t="shared" si="4"/>
        <v>7.061447918619515E-2</v>
      </c>
      <c r="V117" s="19">
        <f>VLOOKUP(A117,[1]Sheet1!$A$2:$Q$1536,17,FALSE)</f>
        <v>14070.3662109375</v>
      </c>
      <c r="W117" s="27">
        <f t="shared" si="5"/>
        <v>0.24664363094116451</v>
      </c>
    </row>
    <row r="118" spans="1:23" x14ac:dyDescent="0.3">
      <c r="A118" s="4" t="s">
        <v>1368</v>
      </c>
      <c r="B118" s="5">
        <v>2019</v>
      </c>
      <c r="C118" s="5" t="s">
        <v>1089</v>
      </c>
      <c r="D118" s="15" t="s">
        <v>1363</v>
      </c>
      <c r="E118" s="6">
        <v>78270</v>
      </c>
      <c r="F118" s="5" t="s">
        <v>125</v>
      </c>
      <c r="G118" s="5" t="s">
        <v>16</v>
      </c>
      <c r="H118" s="5" t="s">
        <v>17</v>
      </c>
      <c r="I118" s="5" t="s">
        <v>18</v>
      </c>
      <c r="J118" s="7">
        <v>45449</v>
      </c>
      <c r="K118" s="5" t="s">
        <v>17</v>
      </c>
      <c r="L118" s="8">
        <v>43605</v>
      </c>
      <c r="M118" s="19">
        <v>264</v>
      </c>
      <c r="N118" s="19">
        <v>314</v>
      </c>
      <c r="O118" s="24">
        <v>0</v>
      </c>
      <c r="P118" s="24">
        <v>16100</v>
      </c>
      <c r="Q118" t="s">
        <v>1983</v>
      </c>
      <c r="R118" s="19">
        <f>VLOOKUP(A118,[1]Sheet1!$A$2:$Q$1536,15,FALSE)</f>
        <v>9881.4423828125</v>
      </c>
      <c r="S118" s="27">
        <f t="shared" si="3"/>
        <v>-0.62931679164611454</v>
      </c>
      <c r="T118" s="19">
        <f>VLOOKUP(A118,[1]Sheet1!$A$2:$Q$1536,16,FALSE)</f>
        <v>9784.9721909423006</v>
      </c>
      <c r="U118" s="27">
        <f t="shared" si="4"/>
        <v>-0.64538025104489927</v>
      </c>
      <c r="V118" s="19">
        <f>VLOOKUP(A118,[1]Sheet1!$A$2:$Q$1536,17,FALSE)</f>
        <v>9888.9765625</v>
      </c>
      <c r="W118" s="27">
        <f t="shared" si="5"/>
        <v>-0.62807545333384951</v>
      </c>
    </row>
    <row r="119" spans="1:23" x14ac:dyDescent="0.3">
      <c r="A119" s="4" t="s">
        <v>1787</v>
      </c>
      <c r="B119" s="5">
        <v>2015</v>
      </c>
      <c r="C119" s="5" t="s">
        <v>1086</v>
      </c>
      <c r="D119" s="15" t="s">
        <v>1788</v>
      </c>
      <c r="E119" s="6">
        <v>60690</v>
      </c>
      <c r="F119" s="5" t="s">
        <v>115</v>
      </c>
      <c r="G119" s="5" t="s">
        <v>16</v>
      </c>
      <c r="H119" s="5" t="s">
        <v>17</v>
      </c>
      <c r="I119" s="5" t="s">
        <v>18</v>
      </c>
      <c r="J119" s="7">
        <v>45594</v>
      </c>
      <c r="K119" s="5" t="s">
        <v>17</v>
      </c>
      <c r="L119" s="8">
        <v>44310</v>
      </c>
      <c r="M119" s="19">
        <v>235</v>
      </c>
      <c r="N119" s="19">
        <v>285</v>
      </c>
      <c r="O119" s="24">
        <v>9850</v>
      </c>
      <c r="P119" s="24">
        <v>9000</v>
      </c>
      <c r="Q119" t="s">
        <v>1984</v>
      </c>
      <c r="R119" s="19">
        <f>VLOOKUP(A119,[1]Sheet1!$A$2:$Q$1536,15,FALSE)</f>
        <v>8282.6767578125</v>
      </c>
      <c r="S119" s="27">
        <f t="shared" si="3"/>
        <v>-8.660524407292565E-2</v>
      </c>
      <c r="T119" s="19">
        <f>VLOOKUP(A119,[1]Sheet1!$A$2:$Q$1536,16,FALSE)</f>
        <v>11707.979044750071</v>
      </c>
      <c r="U119" s="27">
        <f t="shared" si="4"/>
        <v>0.23129346528548367</v>
      </c>
      <c r="V119" s="19">
        <f>VLOOKUP(A119,[1]Sheet1!$A$2:$Q$1536,17,FALSE)</f>
        <v>8033.068359375</v>
      </c>
      <c r="W119" s="27">
        <f t="shared" si="5"/>
        <v>-0.12036890480292521</v>
      </c>
    </row>
    <row r="120" spans="1:23" x14ac:dyDescent="0.3">
      <c r="A120" s="4" t="s">
        <v>1282</v>
      </c>
      <c r="B120" s="5">
        <v>2017</v>
      </c>
      <c r="C120" s="5" t="s">
        <v>633</v>
      </c>
      <c r="D120" s="15" t="s">
        <v>1283</v>
      </c>
      <c r="E120" s="6">
        <v>74330</v>
      </c>
      <c r="F120" s="5" t="s">
        <v>42</v>
      </c>
      <c r="G120" s="5" t="s">
        <v>28</v>
      </c>
      <c r="H120" s="5" t="s">
        <v>17</v>
      </c>
      <c r="I120" s="5" t="s">
        <v>18</v>
      </c>
      <c r="J120" s="7">
        <v>45666</v>
      </c>
      <c r="K120" s="5" t="s">
        <v>17</v>
      </c>
      <c r="L120" s="8">
        <v>43605</v>
      </c>
      <c r="M120" s="19">
        <v>264</v>
      </c>
      <c r="N120" s="19">
        <v>314</v>
      </c>
      <c r="O120" s="24">
        <v>0</v>
      </c>
      <c r="P120" s="24">
        <v>11400</v>
      </c>
      <c r="Q120" t="s">
        <v>1983</v>
      </c>
      <c r="R120" s="19">
        <f>VLOOKUP(A120,[1]Sheet1!$A$2:$Q$1536,15,FALSE)</f>
        <v>5797.68603515625</v>
      </c>
      <c r="S120" s="27">
        <f t="shared" si="3"/>
        <v>-0.96630171604191828</v>
      </c>
      <c r="T120" s="19">
        <f>VLOOKUP(A120,[1]Sheet1!$A$2:$Q$1536,16,FALSE)</f>
        <v>9537.9180074832038</v>
      </c>
      <c r="U120" s="27">
        <f t="shared" si="4"/>
        <v>-0.19522939818269089</v>
      </c>
      <c r="V120" s="19">
        <f>VLOOKUP(A120,[1]Sheet1!$A$2:$Q$1536,17,FALSE)</f>
        <v>5912.89697265625</v>
      </c>
      <c r="W120" s="27">
        <f t="shared" si="5"/>
        <v>-0.92798894564178058</v>
      </c>
    </row>
    <row r="121" spans="1:23" x14ac:dyDescent="0.3">
      <c r="A121" s="4" t="s">
        <v>460</v>
      </c>
      <c r="B121" s="5">
        <v>2015</v>
      </c>
      <c r="C121" s="5" t="s">
        <v>391</v>
      </c>
      <c r="D121" s="15" t="s">
        <v>413</v>
      </c>
      <c r="E121" s="6">
        <v>90910</v>
      </c>
      <c r="F121" s="5" t="s">
        <v>66</v>
      </c>
      <c r="G121" s="5" t="s">
        <v>25</v>
      </c>
      <c r="H121" s="5" t="s">
        <v>18</v>
      </c>
      <c r="I121" s="5" t="s">
        <v>17</v>
      </c>
      <c r="J121" s="7">
        <v>45328</v>
      </c>
      <c r="K121" s="5" t="s">
        <v>17</v>
      </c>
      <c r="L121" s="8">
        <v>44430</v>
      </c>
      <c r="M121" s="19">
        <v>264</v>
      </c>
      <c r="N121" s="19">
        <v>314</v>
      </c>
      <c r="O121" s="24">
        <v>3500</v>
      </c>
      <c r="P121" s="24">
        <v>3200</v>
      </c>
      <c r="Q121" t="s">
        <v>1984</v>
      </c>
      <c r="R121" s="19">
        <f>VLOOKUP(A121,[1]Sheet1!$A$2:$Q$1536,15,FALSE)</f>
        <v>3429.275146484375</v>
      </c>
      <c r="S121" s="27">
        <f t="shared" si="3"/>
        <v>6.685819500935157E-2</v>
      </c>
      <c r="T121" s="19">
        <f>VLOOKUP(A121,[1]Sheet1!$A$2:$Q$1536,16,FALSE)</f>
        <v>9410.9987949300612</v>
      </c>
      <c r="U121" s="27">
        <f t="shared" si="4"/>
        <v>0.65997232921505422</v>
      </c>
      <c r="V121" s="19">
        <f>VLOOKUP(A121,[1]Sheet1!$A$2:$Q$1536,17,FALSE)</f>
        <v>3493.63818359375</v>
      </c>
      <c r="W121" s="27">
        <f t="shared" si="5"/>
        <v>8.4049397265202053E-2</v>
      </c>
    </row>
    <row r="122" spans="1:23" x14ac:dyDescent="0.3">
      <c r="A122" s="4" t="s">
        <v>145</v>
      </c>
      <c r="B122" s="5">
        <v>2014</v>
      </c>
      <c r="C122" s="5" t="s">
        <v>96</v>
      </c>
      <c r="D122" s="15" t="s">
        <v>140</v>
      </c>
      <c r="E122" s="6">
        <v>134249</v>
      </c>
      <c r="F122" s="5" t="s">
        <v>42</v>
      </c>
      <c r="G122" s="5" t="s">
        <v>25</v>
      </c>
      <c r="H122" s="5" t="s">
        <v>18</v>
      </c>
      <c r="I122" s="5" t="s">
        <v>17</v>
      </c>
      <c r="J122" s="7">
        <v>45673</v>
      </c>
      <c r="K122" s="5" t="s">
        <v>17</v>
      </c>
      <c r="L122" s="8">
        <v>44128</v>
      </c>
      <c r="M122" s="19">
        <v>264</v>
      </c>
      <c r="N122" s="19">
        <v>314</v>
      </c>
      <c r="O122" s="24">
        <v>0</v>
      </c>
      <c r="P122" s="24">
        <v>8000</v>
      </c>
      <c r="Q122" t="s">
        <v>1983</v>
      </c>
      <c r="R122" s="19">
        <f>VLOOKUP(A122,[1]Sheet1!$A$2:$Q$1536,15,FALSE)</f>
        <v>1931.418701171875</v>
      </c>
      <c r="S122" s="27">
        <f t="shared" si="3"/>
        <v>-3.1420330015164786</v>
      </c>
      <c r="T122" s="19">
        <f>VLOOKUP(A122,[1]Sheet1!$A$2:$Q$1536,16,FALSE)</f>
        <v>9219.4667864989478</v>
      </c>
      <c r="U122" s="27">
        <f t="shared" si="4"/>
        <v>0.13227085847141873</v>
      </c>
      <c r="V122" s="19">
        <f>VLOOKUP(A122,[1]Sheet1!$A$2:$Q$1536,17,FALSE)</f>
        <v>1892.78857421875</v>
      </c>
      <c r="W122" s="27">
        <f t="shared" si="5"/>
        <v>-3.2265682015235146</v>
      </c>
    </row>
    <row r="123" spans="1:23" x14ac:dyDescent="0.3">
      <c r="A123" s="4" t="s">
        <v>1400</v>
      </c>
      <c r="B123" s="5">
        <v>2014</v>
      </c>
      <c r="C123" s="5" t="s">
        <v>1401</v>
      </c>
      <c r="D123" s="15" t="s">
        <v>1402</v>
      </c>
      <c r="E123" s="6">
        <v>127912</v>
      </c>
      <c r="F123" s="5" t="s">
        <v>77</v>
      </c>
      <c r="G123" s="5" t="s">
        <v>28</v>
      </c>
      <c r="H123" s="5" t="s">
        <v>17</v>
      </c>
      <c r="I123" s="5" t="s">
        <v>18</v>
      </c>
      <c r="J123" s="7">
        <v>45398</v>
      </c>
      <c r="K123" s="5" t="s">
        <v>17</v>
      </c>
      <c r="L123" s="8">
        <v>44310</v>
      </c>
      <c r="M123" s="19">
        <v>235</v>
      </c>
      <c r="N123" s="19">
        <v>285</v>
      </c>
      <c r="O123" s="24">
        <v>10100</v>
      </c>
      <c r="P123" s="24">
        <v>5200</v>
      </c>
      <c r="Q123" t="s">
        <v>1984</v>
      </c>
      <c r="R123" s="19">
        <f>VLOOKUP(A123,[1]Sheet1!$A$2:$Q$1536,15,FALSE)</f>
        <v>6201.3486328125</v>
      </c>
      <c r="S123" s="27">
        <f t="shared" si="3"/>
        <v>0.16147272022639986</v>
      </c>
      <c r="T123" s="19">
        <f>VLOOKUP(A123,[1]Sheet1!$A$2:$Q$1536,16,FALSE)</f>
        <v>9245.1822928265046</v>
      </c>
      <c r="U123" s="27">
        <f t="shared" si="4"/>
        <v>0.43754489253989409</v>
      </c>
      <c r="V123" s="19">
        <f>VLOOKUP(A123,[1]Sheet1!$A$2:$Q$1536,17,FALSE)</f>
        <v>6160.89794921875</v>
      </c>
      <c r="W123" s="27">
        <f t="shared" si="5"/>
        <v>0.15596719133135445</v>
      </c>
    </row>
    <row r="124" spans="1:23" x14ac:dyDescent="0.3">
      <c r="A124" s="4" t="s">
        <v>876</v>
      </c>
      <c r="B124" s="5">
        <v>2019</v>
      </c>
      <c r="C124" s="5" t="s">
        <v>391</v>
      </c>
      <c r="D124" s="15" t="s">
        <v>580</v>
      </c>
      <c r="E124" s="6">
        <v>120125</v>
      </c>
      <c r="F124" s="5" t="s">
        <v>64</v>
      </c>
      <c r="G124" s="5" t="s">
        <v>25</v>
      </c>
      <c r="H124" s="5" t="s">
        <v>18</v>
      </c>
      <c r="I124" s="5" t="s">
        <v>17</v>
      </c>
      <c r="J124" s="7">
        <v>45344</v>
      </c>
      <c r="K124" s="5" t="s">
        <v>17</v>
      </c>
      <c r="L124" s="8">
        <v>44707</v>
      </c>
      <c r="M124" s="19">
        <v>222</v>
      </c>
      <c r="N124" s="19">
        <v>272</v>
      </c>
      <c r="O124" s="24">
        <v>0</v>
      </c>
      <c r="P124" s="24">
        <v>16500</v>
      </c>
      <c r="Q124" t="s">
        <v>1983</v>
      </c>
      <c r="R124" s="19">
        <f>VLOOKUP(A124,[1]Sheet1!$A$2:$Q$1536,15,FALSE)</f>
        <v>10390.62109375</v>
      </c>
      <c r="S124" s="27">
        <f t="shared" si="3"/>
        <v>-0.58797052179342923</v>
      </c>
      <c r="T124" s="19">
        <f>VLOOKUP(A124,[1]Sheet1!$A$2:$Q$1536,16,FALSE)</f>
        <v>9539.7128402923445</v>
      </c>
      <c r="U124" s="27">
        <f t="shared" si="4"/>
        <v>-0.72961181077798121</v>
      </c>
      <c r="V124" s="19">
        <f>VLOOKUP(A124,[1]Sheet1!$A$2:$Q$1536,17,FALSE)</f>
        <v>10501.904296875</v>
      </c>
      <c r="W124" s="27">
        <f t="shared" si="5"/>
        <v>-0.57114362629545423</v>
      </c>
    </row>
    <row r="125" spans="1:23" x14ac:dyDescent="0.3">
      <c r="A125" s="4" t="s">
        <v>1978</v>
      </c>
      <c r="B125" s="5">
        <v>2016</v>
      </c>
      <c r="C125" s="5" t="s">
        <v>932</v>
      </c>
      <c r="D125" s="15" t="s">
        <v>1979</v>
      </c>
      <c r="E125" s="6">
        <v>98694</v>
      </c>
      <c r="F125" s="5" t="s">
        <v>21</v>
      </c>
      <c r="G125" s="5" t="s">
        <v>28</v>
      </c>
      <c r="H125" s="5" t="s">
        <v>17</v>
      </c>
      <c r="I125" s="5" t="s">
        <v>18</v>
      </c>
      <c r="J125" s="7">
        <v>45356</v>
      </c>
      <c r="K125" s="5" t="s">
        <v>17</v>
      </c>
      <c r="L125" s="8">
        <v>44135</v>
      </c>
      <c r="M125" s="19">
        <v>235</v>
      </c>
      <c r="N125" s="19">
        <v>285</v>
      </c>
      <c r="O125" s="24">
        <v>4400</v>
      </c>
      <c r="P125" s="24">
        <v>3600</v>
      </c>
      <c r="Q125" t="s">
        <v>1984</v>
      </c>
      <c r="R125" s="19">
        <f>VLOOKUP(A125,[1]Sheet1!$A$2:$Q$1536,15,FALSE)</f>
        <v>2499.257080078125</v>
      </c>
      <c r="S125" s="27">
        <f t="shared" si="3"/>
        <v>-0.4404280490774749</v>
      </c>
      <c r="T125" s="19">
        <f>VLOOKUP(A125,[1]Sheet1!$A$2:$Q$1536,16,FALSE)</f>
        <v>9016.654005477174</v>
      </c>
      <c r="U125" s="27">
        <f t="shared" si="4"/>
        <v>0.60073881089224701</v>
      </c>
      <c r="V125" s="19">
        <f>VLOOKUP(A125,[1]Sheet1!$A$2:$Q$1536,17,FALSE)</f>
        <v>2338.3408203125</v>
      </c>
      <c r="W125" s="27">
        <f t="shared" si="5"/>
        <v>-0.53955316039810208</v>
      </c>
    </row>
    <row r="126" spans="1:23" x14ac:dyDescent="0.3">
      <c r="A126" s="4" t="s">
        <v>550</v>
      </c>
      <c r="B126" s="5">
        <v>2011</v>
      </c>
      <c r="C126" s="5" t="s">
        <v>391</v>
      </c>
      <c r="D126" s="15" t="s">
        <v>551</v>
      </c>
      <c r="E126" s="6">
        <v>178899</v>
      </c>
      <c r="F126" s="5" t="s">
        <v>27</v>
      </c>
      <c r="G126" s="5" t="s">
        <v>25</v>
      </c>
      <c r="H126" s="5" t="s">
        <v>18</v>
      </c>
      <c r="I126" s="5" t="s">
        <v>17</v>
      </c>
      <c r="J126" s="7">
        <v>45617</v>
      </c>
      <c r="K126" s="5" t="s">
        <v>17</v>
      </c>
      <c r="L126" s="8">
        <v>43605</v>
      </c>
      <c r="M126" s="19">
        <v>264</v>
      </c>
      <c r="N126" s="19">
        <v>314</v>
      </c>
      <c r="O126" s="24">
        <v>0</v>
      </c>
      <c r="P126" s="24">
        <v>1600</v>
      </c>
      <c r="Q126" t="s">
        <v>1983</v>
      </c>
      <c r="R126" s="19">
        <f>VLOOKUP(A126,[1]Sheet1!$A$2:$Q$1536,15,FALSE)</f>
        <v>1170.338256835938</v>
      </c>
      <c r="S126" s="27">
        <f t="shared" si="3"/>
        <v>-0.36712611986697918</v>
      </c>
      <c r="T126" s="19">
        <f>VLOOKUP(A126,[1]Sheet1!$A$2:$Q$1536,16,FALSE)</f>
        <v>9312.8227798539483</v>
      </c>
      <c r="U126" s="27">
        <f t="shared" si="4"/>
        <v>0.82819387442213388</v>
      </c>
      <c r="V126" s="19">
        <f>VLOOKUP(A126,[1]Sheet1!$A$2:$Q$1536,17,FALSE)</f>
        <v>1310.827270507812</v>
      </c>
      <c r="W126" s="27">
        <f t="shared" si="5"/>
        <v>-0.22060322973000324</v>
      </c>
    </row>
    <row r="127" spans="1:23" x14ac:dyDescent="0.3">
      <c r="A127" s="4" t="s">
        <v>916</v>
      </c>
      <c r="B127" s="5">
        <v>2018</v>
      </c>
      <c r="C127" s="5" t="s">
        <v>633</v>
      </c>
      <c r="D127" s="15" t="s">
        <v>915</v>
      </c>
      <c r="E127" s="6">
        <v>57847</v>
      </c>
      <c r="F127" s="5" t="s">
        <v>161</v>
      </c>
      <c r="G127" s="5" t="s">
        <v>16</v>
      </c>
      <c r="H127" s="5" t="s">
        <v>17</v>
      </c>
      <c r="I127" s="5" t="s">
        <v>18</v>
      </c>
      <c r="J127" s="7">
        <v>45692</v>
      </c>
      <c r="K127" s="5" t="s">
        <v>17</v>
      </c>
      <c r="L127" s="8">
        <v>44128</v>
      </c>
      <c r="M127" s="19">
        <v>264</v>
      </c>
      <c r="N127" s="19">
        <v>314</v>
      </c>
      <c r="O127" s="24">
        <v>17250</v>
      </c>
      <c r="P127" s="24">
        <v>13000</v>
      </c>
      <c r="Q127" t="s">
        <v>1984</v>
      </c>
      <c r="R127" s="19">
        <f>VLOOKUP(A127,[1]Sheet1!$A$2:$Q$1536,15,FALSE)</f>
        <v>14497.076171875</v>
      </c>
      <c r="S127" s="27">
        <f t="shared" si="3"/>
        <v>0.1032674557356191</v>
      </c>
      <c r="T127" s="19">
        <f>VLOOKUP(A127,[1]Sheet1!$A$2:$Q$1536,16,FALSE)</f>
        <v>12271.552871886721</v>
      </c>
      <c r="U127" s="27">
        <f t="shared" si="4"/>
        <v>-5.9360631512422622E-2</v>
      </c>
      <c r="V127" s="19">
        <f>VLOOKUP(A127,[1]Sheet1!$A$2:$Q$1536,17,FALSE)</f>
        <v>14464.45703125</v>
      </c>
      <c r="W127" s="27">
        <f t="shared" si="5"/>
        <v>0.10124521287498639</v>
      </c>
    </row>
    <row r="128" spans="1:23" x14ac:dyDescent="0.3">
      <c r="A128" s="4" t="s">
        <v>512</v>
      </c>
      <c r="B128" s="5">
        <v>2016</v>
      </c>
      <c r="C128" s="5" t="s">
        <v>391</v>
      </c>
      <c r="D128" s="15" t="s">
        <v>394</v>
      </c>
      <c r="E128" s="6">
        <v>100084</v>
      </c>
      <c r="F128" s="5" t="s">
        <v>44</v>
      </c>
      <c r="G128" s="5" t="s">
        <v>28</v>
      </c>
      <c r="H128" s="5" t="s">
        <v>17</v>
      </c>
      <c r="I128" s="5" t="s">
        <v>18</v>
      </c>
      <c r="J128" s="7">
        <v>45566</v>
      </c>
      <c r="K128" s="5" t="s">
        <v>17</v>
      </c>
      <c r="L128" s="8">
        <v>44113</v>
      </c>
      <c r="M128" s="19">
        <v>264</v>
      </c>
      <c r="N128" s="19">
        <v>314</v>
      </c>
      <c r="O128" s="24">
        <v>9200</v>
      </c>
      <c r="P128" s="24">
        <v>7000</v>
      </c>
      <c r="Q128" t="s">
        <v>1984</v>
      </c>
      <c r="R128" s="19">
        <f>VLOOKUP(A128,[1]Sheet1!$A$2:$Q$1536,15,FALSE)</f>
        <v>6742.0283203125</v>
      </c>
      <c r="S128" s="27">
        <f t="shared" si="3"/>
        <v>-3.826321507880328E-2</v>
      </c>
      <c r="T128" s="19">
        <f>VLOOKUP(A128,[1]Sheet1!$A$2:$Q$1536,16,FALSE)</f>
        <v>9463.3084141688196</v>
      </c>
      <c r="U128" s="27">
        <f t="shared" si="4"/>
        <v>0.26030097576452882</v>
      </c>
      <c r="V128" s="19">
        <f>VLOOKUP(A128,[1]Sheet1!$A$2:$Q$1536,17,FALSE)</f>
        <v>6816.08837890625</v>
      </c>
      <c r="W128" s="27">
        <f t="shared" si="5"/>
        <v>-2.6981988916531852E-2</v>
      </c>
    </row>
    <row r="129" spans="1:23" x14ac:dyDescent="0.3">
      <c r="A129" s="4" t="s">
        <v>739</v>
      </c>
      <c r="B129" s="5">
        <v>2018</v>
      </c>
      <c r="C129" s="5" t="s">
        <v>46</v>
      </c>
      <c r="D129" s="15" t="s">
        <v>740</v>
      </c>
      <c r="E129" s="6">
        <v>90789</v>
      </c>
      <c r="F129" s="5" t="s">
        <v>92</v>
      </c>
      <c r="G129" s="5" t="s">
        <v>16</v>
      </c>
      <c r="H129" s="5" t="s">
        <v>17</v>
      </c>
      <c r="I129" s="5" t="s">
        <v>18</v>
      </c>
      <c r="J129" s="7">
        <v>45482</v>
      </c>
      <c r="K129" s="5" t="s">
        <v>17</v>
      </c>
      <c r="L129" s="8">
        <v>44128</v>
      </c>
      <c r="M129" s="19">
        <v>264</v>
      </c>
      <c r="N129" s="19">
        <v>314</v>
      </c>
      <c r="O129" s="24">
        <v>13400</v>
      </c>
      <c r="P129" s="24">
        <v>13400</v>
      </c>
      <c r="Q129" t="s">
        <v>1984</v>
      </c>
      <c r="R129" s="19">
        <f>VLOOKUP(A129,[1]Sheet1!$A$2:$Q$1536,15,FALSE)</f>
        <v>10850.5205078125</v>
      </c>
      <c r="S129" s="27">
        <f t="shared" si="3"/>
        <v>-0.2349637964696574</v>
      </c>
      <c r="T129" s="19">
        <f>VLOOKUP(A129,[1]Sheet1!$A$2:$Q$1536,16,FALSE)</f>
        <v>9997.5668163346454</v>
      </c>
      <c r="U129" s="27">
        <f t="shared" si="4"/>
        <v>-0.34032612596359424</v>
      </c>
      <c r="V129" s="19">
        <f>VLOOKUP(A129,[1]Sheet1!$A$2:$Q$1536,17,FALSE)</f>
        <v>10884.1552734375</v>
      </c>
      <c r="W129" s="27">
        <f t="shared" si="5"/>
        <v>-0.2311474490539798</v>
      </c>
    </row>
    <row r="130" spans="1:23" x14ac:dyDescent="0.3">
      <c r="A130" s="4" t="s">
        <v>1969</v>
      </c>
      <c r="B130" s="5">
        <v>2021</v>
      </c>
      <c r="C130" s="5" t="s">
        <v>96</v>
      </c>
      <c r="D130" s="15" t="s">
        <v>1951</v>
      </c>
      <c r="E130" s="6">
        <v>20142</v>
      </c>
      <c r="F130" s="5" t="s">
        <v>246</v>
      </c>
      <c r="G130" s="5" t="s">
        <v>16</v>
      </c>
      <c r="H130" s="5" t="s">
        <v>17</v>
      </c>
      <c r="I130" s="5" t="s">
        <v>18</v>
      </c>
      <c r="J130" s="7">
        <v>45300</v>
      </c>
      <c r="K130" s="5" t="s">
        <v>17</v>
      </c>
      <c r="L130" s="8">
        <v>44081</v>
      </c>
      <c r="M130" s="19">
        <v>325</v>
      </c>
      <c r="N130" s="19">
        <v>375</v>
      </c>
      <c r="O130" s="24">
        <v>17200</v>
      </c>
      <c r="P130" s="24">
        <v>16200</v>
      </c>
      <c r="Q130" t="s">
        <v>1984</v>
      </c>
      <c r="R130" s="19">
        <f>VLOOKUP(A130,[1]Sheet1!$A$2:$Q$1536,15,FALSE)</f>
        <v>20578.029296875</v>
      </c>
      <c r="S130" s="27">
        <f t="shared" si="3"/>
        <v>0.21275260296863568</v>
      </c>
      <c r="T130" s="19">
        <f>VLOOKUP(A130,[1]Sheet1!$A$2:$Q$1536,16,FALSE)</f>
        <v>14523.221139595291</v>
      </c>
      <c r="U130" s="27">
        <f t="shared" si="4"/>
        <v>-0.11545502504490783</v>
      </c>
      <c r="V130" s="19">
        <f>VLOOKUP(A130,[1]Sheet1!$A$2:$Q$1536,17,FALSE)</f>
        <v>20457.650390625</v>
      </c>
      <c r="W130" s="27">
        <f t="shared" si="5"/>
        <v>0.20812020487827512</v>
      </c>
    </row>
    <row r="131" spans="1:23" x14ac:dyDescent="0.3">
      <c r="A131" s="4" t="s">
        <v>601</v>
      </c>
      <c r="B131" s="5">
        <v>2012</v>
      </c>
      <c r="C131" s="5" t="s">
        <v>391</v>
      </c>
      <c r="D131" s="15" t="s">
        <v>594</v>
      </c>
      <c r="E131" s="6">
        <v>144372</v>
      </c>
      <c r="F131" s="5" t="s">
        <v>66</v>
      </c>
      <c r="G131" s="5" t="s">
        <v>25</v>
      </c>
      <c r="H131" s="5" t="s">
        <v>18</v>
      </c>
      <c r="I131" s="5" t="s">
        <v>17</v>
      </c>
      <c r="J131" s="7">
        <v>45610</v>
      </c>
      <c r="K131" s="5" t="s">
        <v>17</v>
      </c>
      <c r="L131" s="8">
        <v>44081</v>
      </c>
      <c r="M131" s="19">
        <v>325</v>
      </c>
      <c r="N131" s="19">
        <v>375</v>
      </c>
      <c r="O131" s="24">
        <v>0</v>
      </c>
      <c r="P131" s="24">
        <v>2600</v>
      </c>
      <c r="Q131" t="s">
        <v>1983</v>
      </c>
      <c r="R131" s="19">
        <f>VLOOKUP(A131,[1]Sheet1!$A$2:$Q$1536,15,FALSE)</f>
        <v>1281.292358398438</v>
      </c>
      <c r="S131" s="27">
        <f t="shared" ref="S131:S194" si="6">(R131-$P131)/R131</f>
        <v>-1.0292012068579661</v>
      </c>
      <c r="T131" s="19">
        <f>VLOOKUP(A131,[1]Sheet1!$A$2:$Q$1536,16,FALSE)</f>
        <v>9312.8227798539483</v>
      </c>
      <c r="U131" s="27">
        <f t="shared" ref="U131:U194" si="7">(T131-$P131)/T131</f>
        <v>0.72081504593596746</v>
      </c>
      <c r="V131" s="19">
        <f>VLOOKUP(A131,[1]Sheet1!$A$2:$Q$1536,17,FALSE)</f>
        <v>1360.102416992188</v>
      </c>
      <c r="W131" s="27">
        <f t="shared" ref="W131:W194" si="8">(V131-$P131)/V131</f>
        <v>-0.9116207482005626</v>
      </c>
    </row>
    <row r="132" spans="1:23" x14ac:dyDescent="0.3">
      <c r="A132" s="4" t="s">
        <v>1774</v>
      </c>
      <c r="B132" s="5">
        <v>2019</v>
      </c>
      <c r="C132" s="5" t="s">
        <v>1086</v>
      </c>
      <c r="D132" s="15" t="s">
        <v>1758</v>
      </c>
      <c r="E132" s="6">
        <v>46227</v>
      </c>
      <c r="F132" s="5" t="s">
        <v>125</v>
      </c>
      <c r="G132" s="5" t="s">
        <v>16</v>
      </c>
      <c r="H132" s="5" t="s">
        <v>17</v>
      </c>
      <c r="I132" s="5" t="s">
        <v>18</v>
      </c>
      <c r="J132" s="7">
        <v>45365</v>
      </c>
      <c r="K132" s="5" t="s">
        <v>17</v>
      </c>
      <c r="L132" s="8">
        <v>44310</v>
      </c>
      <c r="M132" s="19">
        <v>235</v>
      </c>
      <c r="N132" s="19">
        <v>285</v>
      </c>
      <c r="O132" s="24">
        <v>11400</v>
      </c>
      <c r="P132" s="24">
        <v>11100</v>
      </c>
      <c r="Q132" t="s">
        <v>1984</v>
      </c>
      <c r="R132" s="19">
        <f>VLOOKUP(A132,[1]Sheet1!$A$2:$Q$1536,15,FALSE)</f>
        <v>10340.0859375</v>
      </c>
      <c r="S132" s="27">
        <f t="shared" si="6"/>
        <v>-7.3492045142879159E-2</v>
      </c>
      <c r="T132" s="19">
        <f>VLOOKUP(A132,[1]Sheet1!$A$2:$Q$1536,16,FALSE)</f>
        <v>11818.23621373121</v>
      </c>
      <c r="U132" s="27">
        <f t="shared" si="7"/>
        <v>6.0773553747107863E-2</v>
      </c>
      <c r="V132" s="19">
        <f>VLOOKUP(A132,[1]Sheet1!$A$2:$Q$1536,17,FALSE)</f>
        <v>10078.4208984375</v>
      </c>
      <c r="W132" s="27">
        <f t="shared" si="8"/>
        <v>-0.1013630123069061</v>
      </c>
    </row>
    <row r="133" spans="1:23" x14ac:dyDescent="0.3">
      <c r="A133" s="4" t="s">
        <v>919</v>
      </c>
      <c r="B133" s="5">
        <v>2013</v>
      </c>
      <c r="C133" s="5" t="s">
        <v>920</v>
      </c>
      <c r="D133" s="15" t="s">
        <v>921</v>
      </c>
      <c r="E133" s="6">
        <v>73376</v>
      </c>
      <c r="F133" s="5" t="s">
        <v>42</v>
      </c>
      <c r="G133" s="5" t="s">
        <v>28</v>
      </c>
      <c r="H133" s="5" t="s">
        <v>17</v>
      </c>
      <c r="I133" s="5" t="s">
        <v>18</v>
      </c>
      <c r="J133" s="7">
        <v>45659</v>
      </c>
      <c r="K133" s="5" t="s">
        <v>17</v>
      </c>
      <c r="L133" s="8">
        <v>44113</v>
      </c>
      <c r="M133" s="19">
        <v>264</v>
      </c>
      <c r="N133" s="19">
        <v>314</v>
      </c>
      <c r="O133" s="24">
        <v>0</v>
      </c>
      <c r="P133" s="24">
        <v>6600</v>
      </c>
      <c r="Q133" t="s">
        <v>1983</v>
      </c>
      <c r="R133" s="19">
        <f>VLOOKUP(A133,[1]Sheet1!$A$2:$Q$1536,15,FALSE)</f>
        <v>4886.82470703125</v>
      </c>
      <c r="S133" s="27">
        <f t="shared" si="6"/>
        <v>-0.35057023643671997</v>
      </c>
      <c r="T133" s="19">
        <f>VLOOKUP(A133,[1]Sheet1!$A$2:$Q$1536,16,FALSE)</f>
        <v>9635.7958000412054</v>
      </c>
      <c r="U133" s="27">
        <f t="shared" si="7"/>
        <v>0.31505397821197328</v>
      </c>
      <c r="V133" s="19">
        <f>VLOOKUP(A133,[1]Sheet1!$A$2:$Q$1536,17,FALSE)</f>
        <v>4913.08251953125</v>
      </c>
      <c r="W133" s="27">
        <f t="shared" si="8"/>
        <v>-0.34335215697327559</v>
      </c>
    </row>
    <row r="134" spans="1:23" x14ac:dyDescent="0.3">
      <c r="A134" s="4" t="s">
        <v>1207</v>
      </c>
      <c r="B134" s="5">
        <v>2012</v>
      </c>
      <c r="C134" s="5" t="s">
        <v>684</v>
      </c>
      <c r="D134" s="15" t="s">
        <v>1208</v>
      </c>
      <c r="E134" s="6">
        <v>171246</v>
      </c>
      <c r="F134" s="5" t="s">
        <v>42</v>
      </c>
      <c r="G134" s="5" t="s">
        <v>25</v>
      </c>
      <c r="H134" s="5" t="s">
        <v>18</v>
      </c>
      <c r="I134" s="5" t="s">
        <v>17</v>
      </c>
      <c r="J134" s="7">
        <v>45302</v>
      </c>
      <c r="K134" s="5" t="s">
        <v>17</v>
      </c>
      <c r="L134" s="8">
        <v>44113</v>
      </c>
      <c r="M134" s="19">
        <v>264</v>
      </c>
      <c r="N134" s="19">
        <v>314</v>
      </c>
      <c r="O134" s="24">
        <v>0</v>
      </c>
      <c r="P134" s="24">
        <v>11510.593220339</v>
      </c>
      <c r="Q134" t="s">
        <v>1983</v>
      </c>
      <c r="R134" s="19">
        <f>VLOOKUP(A134,[1]Sheet1!$A$2:$Q$1536,15,FALSE)</f>
        <v>874.67816162109375</v>
      </c>
      <c r="S134" s="27">
        <f t="shared" si="6"/>
        <v>-12.159804057535544</v>
      </c>
      <c r="T134" s="19">
        <f>VLOOKUP(A134,[1]Sheet1!$A$2:$Q$1536,16,FALSE)</f>
        <v>8919.2792122430565</v>
      </c>
      <c r="U134" s="27">
        <f t="shared" si="7"/>
        <v>-0.29052953119114988</v>
      </c>
      <c r="V134" s="19">
        <f>VLOOKUP(A134,[1]Sheet1!$A$2:$Q$1536,17,FALSE)</f>
        <v>1083.871215820312</v>
      </c>
      <c r="W134" s="27">
        <f t="shared" si="8"/>
        <v>-9.6198901237794896</v>
      </c>
    </row>
    <row r="135" spans="1:23" x14ac:dyDescent="0.3">
      <c r="A135" s="4" t="s">
        <v>492</v>
      </c>
      <c r="B135" s="5">
        <v>2016</v>
      </c>
      <c r="C135" s="5" t="s">
        <v>391</v>
      </c>
      <c r="D135" s="15" t="s">
        <v>394</v>
      </c>
      <c r="E135" s="6">
        <v>132847</v>
      </c>
      <c r="F135" s="5" t="s">
        <v>40</v>
      </c>
      <c r="G135" s="5" t="s">
        <v>28</v>
      </c>
      <c r="H135" s="5" t="s">
        <v>17</v>
      </c>
      <c r="I135" s="5" t="s">
        <v>18</v>
      </c>
      <c r="J135" s="7">
        <v>45645</v>
      </c>
      <c r="K135" s="5" t="s">
        <v>17</v>
      </c>
      <c r="L135" s="8">
        <v>43608</v>
      </c>
      <c r="M135" s="19">
        <v>264</v>
      </c>
      <c r="N135" s="19">
        <v>314</v>
      </c>
      <c r="O135" s="24">
        <v>5600</v>
      </c>
      <c r="P135" s="24">
        <v>3700</v>
      </c>
      <c r="Q135" t="s">
        <v>1984</v>
      </c>
      <c r="R135" s="19">
        <f>VLOOKUP(A135,[1]Sheet1!$A$2:$Q$1536,15,FALSE)</f>
        <v>1092.909057617188</v>
      </c>
      <c r="S135" s="27">
        <f t="shared" si="6"/>
        <v>-2.3854600931452752</v>
      </c>
      <c r="T135" s="19">
        <f>VLOOKUP(A135,[1]Sheet1!$A$2:$Q$1536,16,FALSE)</f>
        <v>9371.2560900514218</v>
      </c>
      <c r="U135" s="27">
        <f t="shared" si="7"/>
        <v>0.60517566007742107</v>
      </c>
      <c r="V135" s="19">
        <f>VLOOKUP(A135,[1]Sheet1!$A$2:$Q$1536,17,FALSE)</f>
        <v>1214.113647460938</v>
      </c>
      <c r="W135" s="27">
        <f t="shared" si="8"/>
        <v>-2.0474906593281181</v>
      </c>
    </row>
    <row r="136" spans="1:23" x14ac:dyDescent="0.3">
      <c r="A136" s="4" t="s">
        <v>1009</v>
      </c>
      <c r="B136" s="5">
        <v>2018</v>
      </c>
      <c r="C136" s="5" t="s">
        <v>237</v>
      </c>
      <c r="D136" s="15" t="s">
        <v>238</v>
      </c>
      <c r="E136" s="6">
        <v>71348</v>
      </c>
      <c r="F136" s="5" t="s">
        <v>92</v>
      </c>
      <c r="G136" s="5" t="s">
        <v>25</v>
      </c>
      <c r="H136" s="5" t="s">
        <v>18</v>
      </c>
      <c r="I136" s="5" t="s">
        <v>17</v>
      </c>
      <c r="J136" s="7">
        <v>45330</v>
      </c>
      <c r="K136" s="5" t="s">
        <v>17</v>
      </c>
      <c r="L136" s="8">
        <v>43950</v>
      </c>
      <c r="M136" s="19">
        <v>264</v>
      </c>
      <c r="N136" s="19">
        <v>314</v>
      </c>
      <c r="O136" s="24">
        <v>0</v>
      </c>
      <c r="P136" s="24">
        <v>12800</v>
      </c>
      <c r="Q136" t="s">
        <v>1983</v>
      </c>
      <c r="R136" s="19">
        <f>VLOOKUP(A136,[1]Sheet1!$A$2:$Q$1536,15,FALSE)</f>
        <v>12570.6240234375</v>
      </c>
      <c r="S136" s="27">
        <f t="shared" si="6"/>
        <v>-1.8246984090434674E-2</v>
      </c>
      <c r="T136" s="19">
        <f>VLOOKUP(A136,[1]Sheet1!$A$2:$Q$1536,16,FALSE)</f>
        <v>10333.878250932819</v>
      </c>
      <c r="U136" s="27">
        <f t="shared" si="7"/>
        <v>-0.23864435879574725</v>
      </c>
      <c r="V136" s="19">
        <f>VLOOKUP(A136,[1]Sheet1!$A$2:$Q$1536,17,FALSE)</f>
        <v>12728.0908203125</v>
      </c>
      <c r="W136" s="27">
        <f t="shared" si="8"/>
        <v>-5.6496438234665651E-3</v>
      </c>
    </row>
    <row r="137" spans="1:23" x14ac:dyDescent="0.3">
      <c r="A137" s="4" t="s">
        <v>651</v>
      </c>
      <c r="B137" s="5">
        <v>2018</v>
      </c>
      <c r="C137" s="5" t="s">
        <v>636</v>
      </c>
      <c r="D137" s="15" t="s">
        <v>641</v>
      </c>
      <c r="E137" s="6">
        <v>120493</v>
      </c>
      <c r="F137" s="5" t="s">
        <v>36</v>
      </c>
      <c r="G137" s="5" t="s">
        <v>25</v>
      </c>
      <c r="H137" s="5" t="s">
        <v>18</v>
      </c>
      <c r="I137" s="5" t="s">
        <v>17</v>
      </c>
      <c r="J137" s="7">
        <v>45561</v>
      </c>
      <c r="K137" s="5" t="s">
        <v>17</v>
      </c>
      <c r="L137" s="8">
        <v>44451</v>
      </c>
      <c r="M137" s="19">
        <v>264</v>
      </c>
      <c r="N137" s="19">
        <v>314</v>
      </c>
      <c r="O137" s="24">
        <v>0</v>
      </c>
      <c r="P137" s="24">
        <v>11500</v>
      </c>
      <c r="Q137" t="s">
        <v>1983</v>
      </c>
      <c r="R137" s="19">
        <f>VLOOKUP(A137,[1]Sheet1!$A$2:$Q$1536,15,FALSE)</f>
        <v>3077.054443359375</v>
      </c>
      <c r="S137" s="27">
        <f t="shared" si="6"/>
        <v>-2.7373404376442791</v>
      </c>
      <c r="T137" s="19">
        <f>VLOOKUP(A137,[1]Sheet1!$A$2:$Q$1536,16,FALSE)</f>
        <v>8990.6797664237783</v>
      </c>
      <c r="U137" s="27">
        <f t="shared" si="7"/>
        <v>-0.27910239256295455</v>
      </c>
      <c r="V137" s="19">
        <f>VLOOKUP(A137,[1]Sheet1!$A$2:$Q$1536,17,FALSE)</f>
        <v>2948.25927734375</v>
      </c>
      <c r="W137" s="27">
        <f t="shared" si="8"/>
        <v>-2.9006067371255715</v>
      </c>
    </row>
    <row r="138" spans="1:23" x14ac:dyDescent="0.3">
      <c r="A138" s="4" t="s">
        <v>597</v>
      </c>
      <c r="B138" s="5">
        <v>2014</v>
      </c>
      <c r="C138" s="5" t="s">
        <v>391</v>
      </c>
      <c r="D138" s="15" t="s">
        <v>587</v>
      </c>
      <c r="E138" s="6">
        <v>126767</v>
      </c>
      <c r="F138" s="5" t="s">
        <v>38</v>
      </c>
      <c r="G138" s="5" t="s">
        <v>25</v>
      </c>
      <c r="H138" s="5" t="s">
        <v>18</v>
      </c>
      <c r="I138" s="5" t="s">
        <v>17</v>
      </c>
      <c r="J138" s="7">
        <v>45608</v>
      </c>
      <c r="K138" s="5" t="s">
        <v>17</v>
      </c>
      <c r="L138" s="8">
        <v>43605</v>
      </c>
      <c r="M138" s="19">
        <v>264</v>
      </c>
      <c r="N138" s="19">
        <v>314</v>
      </c>
      <c r="O138" s="24">
        <v>2900</v>
      </c>
      <c r="P138" s="24">
        <v>1500</v>
      </c>
      <c r="Q138" t="s">
        <v>1984</v>
      </c>
      <c r="R138" s="19">
        <f>VLOOKUP(A138,[1]Sheet1!$A$2:$Q$1536,15,FALSE)</f>
        <v>1891.902954101562</v>
      </c>
      <c r="S138" s="27">
        <f t="shared" si="6"/>
        <v>0.20714749308463934</v>
      </c>
      <c r="T138" s="19">
        <f>VLOOKUP(A138,[1]Sheet1!$A$2:$Q$1536,16,FALSE)</f>
        <v>9161.1298872061197</v>
      </c>
      <c r="U138" s="27">
        <f t="shared" si="7"/>
        <v>0.83626473825081238</v>
      </c>
      <c r="V138" s="19">
        <f>VLOOKUP(A138,[1]Sheet1!$A$2:$Q$1536,17,FALSE)</f>
        <v>1785.74853515625</v>
      </c>
      <c r="W138" s="27">
        <f t="shared" si="8"/>
        <v>0.16001611062850318</v>
      </c>
    </row>
    <row r="139" spans="1:23" x14ac:dyDescent="0.3">
      <c r="A139" s="4" t="s">
        <v>204</v>
      </c>
      <c r="B139" s="5">
        <v>2015</v>
      </c>
      <c r="C139" s="5" t="s">
        <v>83</v>
      </c>
      <c r="D139" s="15" t="s">
        <v>205</v>
      </c>
      <c r="E139" s="6">
        <v>173402</v>
      </c>
      <c r="F139" s="5" t="s">
        <v>40</v>
      </c>
      <c r="G139" s="5" t="s">
        <v>25</v>
      </c>
      <c r="H139" s="5" t="s">
        <v>18</v>
      </c>
      <c r="I139" s="5" t="s">
        <v>17</v>
      </c>
      <c r="J139" s="7">
        <v>45454</v>
      </c>
      <c r="K139" s="5" t="s">
        <v>17</v>
      </c>
      <c r="L139" s="8">
        <v>43605</v>
      </c>
      <c r="M139" s="20">
        <v>264</v>
      </c>
      <c r="N139" s="20">
        <v>314</v>
      </c>
      <c r="O139" s="24">
        <v>4700</v>
      </c>
      <c r="P139" s="24">
        <v>2700</v>
      </c>
      <c r="Q139" t="s">
        <v>1984</v>
      </c>
      <c r="R139" s="19">
        <f>VLOOKUP(A139,[1]Sheet1!$A$2:$Q$1536,15,FALSE)</f>
        <v>2463.27197265625</v>
      </c>
      <c r="S139" s="27">
        <f t="shared" si="6"/>
        <v>-9.6103081580746513E-2</v>
      </c>
      <c r="T139" s="19">
        <f>VLOOKUP(A139,[1]Sheet1!$A$2:$Q$1536,16,FALSE)</f>
        <v>9040.2641336413835</v>
      </c>
      <c r="U139" s="27">
        <f t="shared" si="7"/>
        <v>0.70133616008490995</v>
      </c>
      <c r="V139" s="19">
        <f>VLOOKUP(A139,[1]Sheet1!$A$2:$Q$1536,17,FALSE)</f>
        <v>2338.3408203125</v>
      </c>
      <c r="W139" s="27">
        <f t="shared" si="8"/>
        <v>-0.15466487029857659</v>
      </c>
    </row>
    <row r="140" spans="1:23" x14ac:dyDescent="0.3">
      <c r="A140" s="4" t="s">
        <v>862</v>
      </c>
      <c r="B140" s="5">
        <v>2013</v>
      </c>
      <c r="C140" s="5" t="s">
        <v>391</v>
      </c>
      <c r="D140" s="15" t="s">
        <v>580</v>
      </c>
      <c r="E140" s="6">
        <v>112799</v>
      </c>
      <c r="F140" s="5" t="s">
        <v>27</v>
      </c>
      <c r="G140" s="5" t="s">
        <v>33</v>
      </c>
      <c r="H140" s="5" t="s">
        <v>17</v>
      </c>
      <c r="I140" s="5" t="s">
        <v>18</v>
      </c>
      <c r="J140" s="7">
        <v>45302</v>
      </c>
      <c r="K140" s="5" t="s">
        <v>17</v>
      </c>
      <c r="L140" s="8">
        <v>44035</v>
      </c>
      <c r="M140" s="19">
        <v>222</v>
      </c>
      <c r="N140" s="19">
        <v>272</v>
      </c>
      <c r="O140" s="24">
        <v>0</v>
      </c>
      <c r="P140" s="24">
        <v>4200</v>
      </c>
      <c r="Q140" t="s">
        <v>1983</v>
      </c>
      <c r="R140" s="19">
        <f>VLOOKUP(A140,[1]Sheet1!$A$2:$Q$1536,15,FALSE)</f>
        <v>2414.114501953125</v>
      </c>
      <c r="S140" s="27">
        <f t="shared" si="6"/>
        <v>-0.73976834843666894</v>
      </c>
      <c r="T140" s="19">
        <f>VLOOKUP(A140,[1]Sheet1!$A$2:$Q$1536,16,FALSE)</f>
        <v>9295.817435771618</v>
      </c>
      <c r="U140" s="27">
        <f t="shared" si="7"/>
        <v>0.54818389786380628</v>
      </c>
      <c r="V140" s="19">
        <f>VLOOKUP(A140,[1]Sheet1!$A$2:$Q$1536,17,FALSE)</f>
        <v>2358.90087890625</v>
      </c>
      <c r="W140" s="27">
        <f t="shared" si="8"/>
        <v>-0.78049024338293149</v>
      </c>
    </row>
    <row r="141" spans="1:23" x14ac:dyDescent="0.3">
      <c r="A141" s="4" t="s">
        <v>1237</v>
      </c>
      <c r="B141" s="5">
        <v>2019</v>
      </c>
      <c r="C141" s="5" t="s">
        <v>920</v>
      </c>
      <c r="D141" s="15" t="s">
        <v>1238</v>
      </c>
      <c r="E141" s="6">
        <v>120246</v>
      </c>
      <c r="F141" s="5" t="s">
        <v>73</v>
      </c>
      <c r="G141" s="5" t="s">
        <v>28</v>
      </c>
      <c r="H141" s="5" t="s">
        <v>17</v>
      </c>
      <c r="I141" s="5" t="s">
        <v>18</v>
      </c>
      <c r="J141" s="7">
        <v>45666</v>
      </c>
      <c r="K141" s="5" t="s">
        <v>17</v>
      </c>
      <c r="L141" s="8">
        <v>43608</v>
      </c>
      <c r="M141" s="19">
        <v>264</v>
      </c>
      <c r="N141" s="19">
        <v>314</v>
      </c>
      <c r="O141" s="24">
        <v>0</v>
      </c>
      <c r="P141" s="24">
        <v>20800</v>
      </c>
      <c r="Q141" t="s">
        <v>1983</v>
      </c>
      <c r="R141" s="19">
        <f>VLOOKUP(A141,[1]Sheet1!$A$2:$Q$1536,15,FALSE)</f>
        <v>6335.6640625</v>
      </c>
      <c r="S141" s="27">
        <f t="shared" si="6"/>
        <v>-2.2830023490532882</v>
      </c>
      <c r="T141" s="19">
        <f>VLOOKUP(A141,[1]Sheet1!$A$2:$Q$1536,16,FALSE)</f>
        <v>9464.7292444037521</v>
      </c>
      <c r="U141" s="27">
        <f t="shared" si="7"/>
        <v>-1.1976328601579911</v>
      </c>
      <c r="V141" s="19">
        <f>VLOOKUP(A141,[1]Sheet1!$A$2:$Q$1536,17,FALSE)</f>
        <v>6296.287109375</v>
      </c>
      <c r="W141" s="27">
        <f t="shared" si="8"/>
        <v>-2.3035342319490746</v>
      </c>
    </row>
    <row r="142" spans="1:23" x14ac:dyDescent="0.3">
      <c r="A142" s="4" t="s">
        <v>1802</v>
      </c>
      <c r="B142" s="5">
        <v>2018</v>
      </c>
      <c r="C142" s="5" t="s">
        <v>636</v>
      </c>
      <c r="D142" s="15" t="s">
        <v>1300</v>
      </c>
      <c r="E142" s="6">
        <v>142824</v>
      </c>
      <c r="F142" s="5" t="s">
        <v>66</v>
      </c>
      <c r="G142" s="5" t="s">
        <v>25</v>
      </c>
      <c r="H142" s="5" t="s">
        <v>18</v>
      </c>
      <c r="I142" s="5" t="s">
        <v>17</v>
      </c>
      <c r="J142" s="7">
        <v>45680</v>
      </c>
      <c r="K142" s="5" t="s">
        <v>17</v>
      </c>
      <c r="L142" s="8">
        <v>43617</v>
      </c>
      <c r="M142" s="19">
        <v>264</v>
      </c>
      <c r="N142" s="19">
        <v>314</v>
      </c>
      <c r="O142" s="24">
        <v>0</v>
      </c>
      <c r="P142" s="24">
        <v>12100</v>
      </c>
      <c r="Q142" t="s">
        <v>1983</v>
      </c>
      <c r="R142" s="19">
        <f>VLOOKUP(A142,[1]Sheet1!$A$2:$Q$1536,15,FALSE)</f>
        <v>1717.989379882812</v>
      </c>
      <c r="S142" s="27">
        <f t="shared" si="6"/>
        <v>-6.0431168793519365</v>
      </c>
      <c r="T142" s="19">
        <f>VLOOKUP(A142,[1]Sheet1!$A$2:$Q$1536,16,FALSE)</f>
        <v>8898.5303700392651</v>
      </c>
      <c r="U142" s="27">
        <f t="shared" si="7"/>
        <v>-0.35977509732841517</v>
      </c>
      <c r="V142" s="19">
        <f>VLOOKUP(A142,[1]Sheet1!$A$2:$Q$1536,17,FALSE)</f>
        <v>1672.987060546875</v>
      </c>
      <c r="W142" s="27">
        <f t="shared" si="8"/>
        <v>-6.2325723762888439</v>
      </c>
    </row>
    <row r="143" spans="1:23" x14ac:dyDescent="0.3">
      <c r="A143" s="4" t="s">
        <v>255</v>
      </c>
      <c r="B143" s="5">
        <v>2015</v>
      </c>
      <c r="C143" s="5" t="s">
        <v>237</v>
      </c>
      <c r="D143" s="15" t="s">
        <v>250</v>
      </c>
      <c r="E143" s="6">
        <v>85761</v>
      </c>
      <c r="F143" s="5" t="s">
        <v>73</v>
      </c>
      <c r="G143" s="5" t="s">
        <v>33</v>
      </c>
      <c r="H143" s="5" t="s">
        <v>17</v>
      </c>
      <c r="I143" s="5" t="s">
        <v>18</v>
      </c>
      <c r="J143" s="7">
        <v>45468</v>
      </c>
      <c r="K143" s="5" t="s">
        <v>17</v>
      </c>
      <c r="L143" s="8">
        <v>44135</v>
      </c>
      <c r="M143" s="20">
        <v>235</v>
      </c>
      <c r="N143" s="20">
        <v>285</v>
      </c>
      <c r="O143" s="24">
        <v>4500</v>
      </c>
      <c r="P143" s="24">
        <v>4200</v>
      </c>
      <c r="Q143" t="s">
        <v>1984</v>
      </c>
      <c r="R143" s="19">
        <f>VLOOKUP(A143,[1]Sheet1!$A$2:$Q$1536,15,FALSE)</f>
        <v>4304.212890625</v>
      </c>
      <c r="S143" s="27">
        <f t="shared" si="6"/>
        <v>2.4211834607899146E-2</v>
      </c>
      <c r="T143" s="19">
        <f>VLOOKUP(A143,[1]Sheet1!$A$2:$Q$1536,16,FALSE)</f>
        <v>9304.9490573343101</v>
      </c>
      <c r="U143" s="27">
        <f t="shared" si="7"/>
        <v>0.5486272977830553</v>
      </c>
      <c r="V143" s="19">
        <f>VLOOKUP(A143,[1]Sheet1!$A$2:$Q$1536,17,FALSE)</f>
        <v>4277.6435546875</v>
      </c>
      <c r="W143" s="27">
        <f t="shared" si="8"/>
        <v>1.8151010876634902E-2</v>
      </c>
    </row>
    <row r="144" spans="1:23" x14ac:dyDescent="0.3">
      <c r="A144" s="4" t="s">
        <v>711</v>
      </c>
      <c r="B144" s="5">
        <v>2013</v>
      </c>
      <c r="C144" s="5" t="s">
        <v>237</v>
      </c>
      <c r="D144" s="15" t="s">
        <v>245</v>
      </c>
      <c r="E144" s="6">
        <v>113081</v>
      </c>
      <c r="F144" s="5" t="s">
        <v>199</v>
      </c>
      <c r="G144" s="5" t="s">
        <v>16</v>
      </c>
      <c r="H144" s="5" t="s">
        <v>17</v>
      </c>
      <c r="I144" s="5" t="s">
        <v>18</v>
      </c>
      <c r="J144" s="7">
        <v>45384</v>
      </c>
      <c r="K144" s="5" t="s">
        <v>17</v>
      </c>
      <c r="L144" s="8">
        <v>44128</v>
      </c>
      <c r="M144" s="19">
        <v>264</v>
      </c>
      <c r="N144" s="19">
        <v>314</v>
      </c>
      <c r="O144" s="24">
        <v>14800</v>
      </c>
      <c r="P144" s="24">
        <v>11400</v>
      </c>
      <c r="Q144" t="s">
        <v>1984</v>
      </c>
      <c r="R144" s="19">
        <f>VLOOKUP(A144,[1]Sheet1!$A$2:$Q$1536,15,FALSE)</f>
        <v>7909.49462890625</v>
      </c>
      <c r="S144" s="27">
        <f t="shared" si="6"/>
        <v>-0.44130573884420582</v>
      </c>
      <c r="T144" s="19">
        <f>VLOOKUP(A144,[1]Sheet1!$A$2:$Q$1536,16,FALSE)</f>
        <v>10791.07302472186</v>
      </c>
      <c r="U144" s="27">
        <f t="shared" si="7"/>
        <v>-5.6428769769523011E-2</v>
      </c>
      <c r="V144" s="19">
        <f>VLOOKUP(A144,[1]Sheet1!$A$2:$Q$1536,17,FALSE)</f>
        <v>7666.888671875</v>
      </c>
      <c r="W144" s="27">
        <f t="shared" si="8"/>
        <v>-0.48691346488692883</v>
      </c>
    </row>
    <row r="145" spans="1:23" x14ac:dyDescent="0.3">
      <c r="A145" s="4" t="s">
        <v>710</v>
      </c>
      <c r="B145" s="5">
        <v>2011</v>
      </c>
      <c r="C145" s="5" t="s">
        <v>237</v>
      </c>
      <c r="D145" s="15" t="s">
        <v>245</v>
      </c>
      <c r="E145" s="5">
        <v>68059</v>
      </c>
      <c r="F145" s="5" t="s">
        <v>40</v>
      </c>
      <c r="G145" s="5" t="s">
        <v>28</v>
      </c>
      <c r="H145" s="5" t="s">
        <v>17</v>
      </c>
      <c r="I145" s="5" t="s">
        <v>18</v>
      </c>
      <c r="J145" s="7">
        <v>45608</v>
      </c>
      <c r="K145" s="5" t="s">
        <v>17</v>
      </c>
      <c r="L145" s="8">
        <v>44451</v>
      </c>
      <c r="M145" s="19">
        <v>264</v>
      </c>
      <c r="N145" s="19">
        <v>314</v>
      </c>
      <c r="O145" s="24">
        <v>12400</v>
      </c>
      <c r="P145" s="24">
        <v>3000</v>
      </c>
      <c r="Q145" t="s">
        <v>1984</v>
      </c>
      <c r="R145" s="19">
        <f>VLOOKUP(A145,[1]Sheet1!$A$2:$Q$1536,15,FALSE)</f>
        <v>5205.3046875</v>
      </c>
      <c r="S145" s="27">
        <f t="shared" si="6"/>
        <v>0.4236648611167394</v>
      </c>
      <c r="T145" s="19">
        <f>VLOOKUP(A145,[1]Sheet1!$A$2:$Q$1536,16,FALSE)</f>
        <v>10577.97276814432</v>
      </c>
      <c r="U145" s="27">
        <f t="shared" si="7"/>
        <v>0.71639178264529735</v>
      </c>
      <c r="V145" s="19">
        <f>VLOOKUP(A145,[1]Sheet1!$A$2:$Q$1536,17,FALSE)</f>
        <v>4865.36376953125</v>
      </c>
      <c r="W145" s="27">
        <f t="shared" si="8"/>
        <v>0.38339656763444169</v>
      </c>
    </row>
    <row r="146" spans="1:23" x14ac:dyDescent="0.3">
      <c r="A146" s="4" t="s">
        <v>1634</v>
      </c>
      <c r="B146" s="5">
        <v>2014</v>
      </c>
      <c r="C146" s="5" t="s">
        <v>519</v>
      </c>
      <c r="D146" s="15" t="s">
        <v>1607</v>
      </c>
      <c r="E146" s="6">
        <v>98904</v>
      </c>
      <c r="F146" s="5" t="s">
        <v>73</v>
      </c>
      <c r="G146" s="5" t="s">
        <v>28</v>
      </c>
      <c r="H146" s="5" t="s">
        <v>17</v>
      </c>
      <c r="I146" s="5" t="s">
        <v>18</v>
      </c>
      <c r="J146" s="7">
        <v>45622</v>
      </c>
      <c r="K146" s="5" t="s">
        <v>17</v>
      </c>
      <c r="L146" s="8">
        <v>44128</v>
      </c>
      <c r="M146" s="19">
        <v>264</v>
      </c>
      <c r="N146" s="19">
        <v>314</v>
      </c>
      <c r="O146" s="24">
        <v>6500</v>
      </c>
      <c r="P146" s="24">
        <v>4800</v>
      </c>
      <c r="Q146" t="s">
        <v>1984</v>
      </c>
      <c r="R146" s="19">
        <f>VLOOKUP(A146,[1]Sheet1!$A$2:$Q$1536,15,FALSE)</f>
        <v>2148.056640625</v>
      </c>
      <c r="S146" s="27">
        <f t="shared" si="6"/>
        <v>-1.2345779479089476</v>
      </c>
      <c r="T146" s="19">
        <f>VLOOKUP(A146,[1]Sheet1!$A$2:$Q$1536,16,FALSE)</f>
        <v>9117.0502946504239</v>
      </c>
      <c r="U146" s="27">
        <f t="shared" si="7"/>
        <v>0.47351392776493978</v>
      </c>
      <c r="V146" s="19">
        <f>VLOOKUP(A146,[1]Sheet1!$A$2:$Q$1536,17,FALSE)</f>
        <v>2079.332763671875</v>
      </c>
      <c r="W146" s="27">
        <f t="shared" si="8"/>
        <v>-1.3084328222307828</v>
      </c>
    </row>
    <row r="147" spans="1:23" x14ac:dyDescent="0.3">
      <c r="A147" s="4" t="s">
        <v>1796</v>
      </c>
      <c r="B147" s="5">
        <v>2019</v>
      </c>
      <c r="C147" s="5" t="s">
        <v>1086</v>
      </c>
      <c r="D147" s="15" t="s">
        <v>1795</v>
      </c>
      <c r="E147" s="6">
        <v>133955</v>
      </c>
      <c r="F147" s="5" t="s">
        <v>87</v>
      </c>
      <c r="G147" s="5" t="s">
        <v>33</v>
      </c>
      <c r="H147" s="5" t="s">
        <v>17</v>
      </c>
      <c r="I147" s="5" t="s">
        <v>18</v>
      </c>
      <c r="J147" s="7">
        <v>45673</v>
      </c>
      <c r="K147" s="5" t="s">
        <v>17</v>
      </c>
      <c r="L147" s="8">
        <v>44451</v>
      </c>
      <c r="M147" s="19">
        <v>264</v>
      </c>
      <c r="N147" s="19">
        <v>314</v>
      </c>
      <c r="O147" s="24">
        <v>0</v>
      </c>
      <c r="P147" s="24">
        <v>11500</v>
      </c>
      <c r="Q147" t="s">
        <v>1983</v>
      </c>
      <c r="R147" s="19">
        <f>VLOOKUP(A147,[1]Sheet1!$A$2:$Q$1536,15,FALSE)</f>
        <v>2709.547607421875</v>
      </c>
      <c r="S147" s="27">
        <f t="shared" si="6"/>
        <v>-3.2442509474643293</v>
      </c>
      <c r="T147" s="19">
        <f>VLOOKUP(A147,[1]Sheet1!$A$2:$Q$1536,16,FALSE)</f>
        <v>8737.1881274834213</v>
      </c>
      <c r="U147" s="27">
        <f t="shared" si="7"/>
        <v>-0.31621293168976933</v>
      </c>
      <c r="V147" s="19">
        <f>VLOOKUP(A147,[1]Sheet1!$A$2:$Q$1536,17,FALSE)</f>
        <v>2516.7978515625</v>
      </c>
      <c r="W147" s="27">
        <f t="shared" si="8"/>
        <v>-3.5692982425507362</v>
      </c>
    </row>
    <row r="148" spans="1:23" x14ac:dyDescent="0.3">
      <c r="A148" s="4" t="s">
        <v>1501</v>
      </c>
      <c r="B148" s="5">
        <v>2016</v>
      </c>
      <c r="C148" s="5" t="s">
        <v>1228</v>
      </c>
      <c r="D148" s="15" t="s">
        <v>1232</v>
      </c>
      <c r="E148" s="6">
        <v>60315</v>
      </c>
      <c r="F148" s="5" t="s">
        <v>57</v>
      </c>
      <c r="G148" s="5" t="s">
        <v>28</v>
      </c>
      <c r="H148" s="5" t="s">
        <v>17</v>
      </c>
      <c r="I148" s="5" t="s">
        <v>18</v>
      </c>
      <c r="J148" s="7">
        <v>45594</v>
      </c>
      <c r="K148" s="5" t="s">
        <v>17</v>
      </c>
      <c r="L148" s="8">
        <v>44067</v>
      </c>
      <c r="M148" s="19">
        <v>235</v>
      </c>
      <c r="N148" s="19">
        <v>285</v>
      </c>
      <c r="O148" s="24">
        <v>8800</v>
      </c>
      <c r="P148" s="24">
        <v>8000</v>
      </c>
      <c r="Q148" t="s">
        <v>1984</v>
      </c>
      <c r="R148" s="19">
        <f>VLOOKUP(A148,[1]Sheet1!$A$2:$Q$1536,15,FALSE)</f>
        <v>6340.5849609375</v>
      </c>
      <c r="S148" s="27">
        <f t="shared" si="6"/>
        <v>-0.26171324085800812</v>
      </c>
      <c r="T148" s="19">
        <f>VLOOKUP(A148,[1]Sheet1!$A$2:$Q$1536,16,FALSE)</f>
        <v>11170.26803786498</v>
      </c>
      <c r="U148" s="27">
        <f t="shared" si="7"/>
        <v>0.28381306761112662</v>
      </c>
      <c r="V148" s="19">
        <f>VLOOKUP(A148,[1]Sheet1!$A$2:$Q$1536,17,FALSE)</f>
        <v>5960.42333984375</v>
      </c>
      <c r="W148" s="27">
        <f t="shared" si="8"/>
        <v>-0.34218654344939814</v>
      </c>
    </row>
    <row r="149" spans="1:23" x14ac:dyDescent="0.3">
      <c r="A149" s="4" t="s">
        <v>1948</v>
      </c>
      <c r="B149" s="5">
        <v>2013</v>
      </c>
      <c r="C149" s="5" t="s">
        <v>1805</v>
      </c>
      <c r="D149" s="15" t="s">
        <v>1949</v>
      </c>
      <c r="E149" s="6">
        <v>87969</v>
      </c>
      <c r="F149" s="5" t="s">
        <v>79</v>
      </c>
      <c r="G149" s="5" t="s">
        <v>25</v>
      </c>
      <c r="H149" s="5" t="s">
        <v>18</v>
      </c>
      <c r="I149" s="5" t="s">
        <v>17</v>
      </c>
      <c r="J149" s="7">
        <v>45426</v>
      </c>
      <c r="K149" s="5" t="s">
        <v>17</v>
      </c>
      <c r="L149" s="8">
        <v>43608</v>
      </c>
      <c r="M149" s="19">
        <v>264</v>
      </c>
      <c r="N149" s="19">
        <v>314</v>
      </c>
      <c r="O149" s="24">
        <v>5800</v>
      </c>
      <c r="P149" s="24">
        <v>1100</v>
      </c>
      <c r="Q149" t="s">
        <v>1984</v>
      </c>
      <c r="R149" s="19">
        <f>VLOOKUP(A149,[1]Sheet1!$A$2:$Q$1536,15,FALSE)</f>
        <v>3550.198974609375</v>
      </c>
      <c r="S149" s="27">
        <f t="shared" si="6"/>
        <v>0.69015821145037881</v>
      </c>
      <c r="T149" s="19">
        <f>VLOOKUP(A149,[1]Sheet1!$A$2:$Q$1536,16,FALSE)</f>
        <v>9316.402689888384</v>
      </c>
      <c r="U149" s="27">
        <f t="shared" si="7"/>
        <v>0.88192867605498715</v>
      </c>
      <c r="V149" s="19">
        <f>VLOOKUP(A149,[1]Sheet1!$A$2:$Q$1536,17,FALSE)</f>
        <v>3484.11572265625</v>
      </c>
      <c r="W149" s="27">
        <f t="shared" si="8"/>
        <v>0.68428143966430233</v>
      </c>
    </row>
    <row r="150" spans="1:23" x14ac:dyDescent="0.3">
      <c r="A150" s="4" t="s">
        <v>1652</v>
      </c>
      <c r="B150" s="5">
        <v>2016</v>
      </c>
      <c r="C150" s="5" t="s">
        <v>391</v>
      </c>
      <c r="D150" s="15" t="s">
        <v>1067</v>
      </c>
      <c r="E150" s="6">
        <v>49548</v>
      </c>
      <c r="F150" s="5" t="s">
        <v>246</v>
      </c>
      <c r="G150" s="5" t="s">
        <v>16</v>
      </c>
      <c r="H150" s="5" t="s">
        <v>17</v>
      </c>
      <c r="I150" s="5" t="s">
        <v>18</v>
      </c>
      <c r="J150" s="7">
        <v>45421</v>
      </c>
      <c r="K150" s="5" t="s">
        <v>17</v>
      </c>
      <c r="L150" s="8">
        <v>44028</v>
      </c>
      <c r="M150" s="19">
        <v>235</v>
      </c>
      <c r="N150" s="19">
        <v>285</v>
      </c>
      <c r="O150" s="24">
        <v>0</v>
      </c>
      <c r="P150" s="24">
        <v>8100</v>
      </c>
      <c r="Q150" t="s">
        <v>1983</v>
      </c>
      <c r="R150" s="19">
        <f>VLOOKUP(A150,[1]Sheet1!$A$2:$Q$1536,15,FALSE)</f>
        <v>14839.4892578125</v>
      </c>
      <c r="S150" s="27">
        <f t="shared" si="6"/>
        <v>0.45415911159236039</v>
      </c>
      <c r="T150" s="19">
        <f>VLOOKUP(A150,[1]Sheet1!$A$2:$Q$1536,16,FALSE)</f>
        <v>12508.718166229921</v>
      </c>
      <c r="U150" s="27">
        <f t="shared" si="7"/>
        <v>0.35245163474321778</v>
      </c>
      <c r="V150" s="19">
        <f>VLOOKUP(A150,[1]Sheet1!$A$2:$Q$1536,17,FALSE)</f>
        <v>15282.5029296875</v>
      </c>
      <c r="W150" s="27">
        <f t="shared" si="8"/>
        <v>0.46998210716746575</v>
      </c>
    </row>
    <row r="151" spans="1:23" x14ac:dyDescent="0.3">
      <c r="A151" s="4" t="s">
        <v>350</v>
      </c>
      <c r="B151" s="5">
        <v>2019</v>
      </c>
      <c r="C151" s="5" t="s">
        <v>237</v>
      </c>
      <c r="D151" s="15" t="s">
        <v>339</v>
      </c>
      <c r="E151" s="6">
        <v>138516</v>
      </c>
      <c r="F151" s="5" t="s">
        <v>170</v>
      </c>
      <c r="G151" s="5" t="s">
        <v>25</v>
      </c>
      <c r="H151" s="5" t="s">
        <v>18</v>
      </c>
      <c r="I151" s="5" t="s">
        <v>17</v>
      </c>
      <c r="J151" s="7">
        <v>45701</v>
      </c>
      <c r="K151" s="5" t="s">
        <v>17</v>
      </c>
      <c r="L151" s="8">
        <v>44224</v>
      </c>
      <c r="M151" s="19">
        <v>235</v>
      </c>
      <c r="N151" s="19">
        <v>285</v>
      </c>
      <c r="O151" s="24">
        <v>0</v>
      </c>
      <c r="P151" s="24">
        <v>10500</v>
      </c>
      <c r="Q151" t="s">
        <v>1983</v>
      </c>
      <c r="R151" s="19">
        <f>VLOOKUP(A151,[1]Sheet1!$A$2:$Q$1536,15,FALSE)</f>
        <v>8475.1396484375</v>
      </c>
      <c r="S151" s="27">
        <f t="shared" si="6"/>
        <v>-0.23891763859440462</v>
      </c>
      <c r="T151" s="19">
        <f>VLOOKUP(A151,[1]Sheet1!$A$2:$Q$1536,16,FALSE)</f>
        <v>9403.0774890316879</v>
      </c>
      <c r="U151" s="27">
        <f t="shared" si="7"/>
        <v>-0.1166556919527493</v>
      </c>
      <c r="V151" s="19">
        <f>VLOOKUP(A151,[1]Sheet1!$A$2:$Q$1536,17,FALSE)</f>
        <v>8476.7822265625</v>
      </c>
      <c r="W151" s="27">
        <f t="shared" si="8"/>
        <v>-0.23867756884182151</v>
      </c>
    </row>
    <row r="152" spans="1:23" x14ac:dyDescent="0.3">
      <c r="A152" s="4" t="s">
        <v>532</v>
      </c>
      <c r="B152" s="5">
        <v>2013</v>
      </c>
      <c r="C152" s="5" t="s">
        <v>519</v>
      </c>
      <c r="D152" s="15" t="s">
        <v>530</v>
      </c>
      <c r="E152" s="6">
        <v>95891</v>
      </c>
      <c r="F152" s="5" t="s">
        <v>79</v>
      </c>
      <c r="G152" s="5" t="s">
        <v>22</v>
      </c>
      <c r="H152" s="5" t="s">
        <v>18</v>
      </c>
      <c r="I152" s="5" t="s">
        <v>17</v>
      </c>
      <c r="J152" s="7">
        <v>45533</v>
      </c>
      <c r="K152" s="5" t="s">
        <v>17</v>
      </c>
      <c r="L152" s="8">
        <v>44067</v>
      </c>
      <c r="M152" s="19">
        <v>235</v>
      </c>
      <c r="N152" s="19">
        <v>285</v>
      </c>
      <c r="O152" s="24">
        <v>1000</v>
      </c>
      <c r="P152" s="24">
        <v>700</v>
      </c>
      <c r="Q152" t="s">
        <v>1984</v>
      </c>
      <c r="R152" s="19">
        <f>VLOOKUP(A152,[1]Sheet1!$A$2:$Q$1536,15,FALSE)</f>
        <v>2108.68310546875</v>
      </c>
      <c r="S152" s="27">
        <f t="shared" si="6"/>
        <v>0.66803926195235797</v>
      </c>
      <c r="T152" s="19">
        <f>VLOOKUP(A152,[1]Sheet1!$A$2:$Q$1536,16,FALSE)</f>
        <v>9165.3452611871598</v>
      </c>
      <c r="U152" s="27">
        <f t="shared" si="7"/>
        <v>0.92362535397719092</v>
      </c>
      <c r="V152" s="19">
        <f>VLOOKUP(A152,[1]Sheet1!$A$2:$Q$1536,17,FALSE)</f>
        <v>2045.358154296875</v>
      </c>
      <c r="W152" s="27">
        <f t="shared" si="8"/>
        <v>0.65776164994407238</v>
      </c>
    </row>
    <row r="153" spans="1:23" x14ac:dyDescent="0.3">
      <c r="A153" s="4" t="s">
        <v>927</v>
      </c>
      <c r="B153" s="5">
        <v>2014</v>
      </c>
      <c r="C153" s="5" t="s">
        <v>920</v>
      </c>
      <c r="D153" s="15" t="s">
        <v>928</v>
      </c>
      <c r="E153" s="6">
        <v>113061</v>
      </c>
      <c r="F153" s="5" t="s">
        <v>92</v>
      </c>
      <c r="G153" s="5" t="s">
        <v>33</v>
      </c>
      <c r="H153" s="5" t="s">
        <v>17</v>
      </c>
      <c r="I153" s="5" t="s">
        <v>18</v>
      </c>
      <c r="J153" s="7">
        <v>45421</v>
      </c>
      <c r="K153" s="5" t="s">
        <v>17</v>
      </c>
      <c r="L153" s="8">
        <v>44113</v>
      </c>
      <c r="M153" s="19">
        <v>264</v>
      </c>
      <c r="N153" s="19">
        <v>314</v>
      </c>
      <c r="O153" s="24">
        <v>0</v>
      </c>
      <c r="P153" s="24">
        <v>5400</v>
      </c>
      <c r="Q153" t="s">
        <v>1983</v>
      </c>
      <c r="R153" s="19">
        <f>VLOOKUP(A153,[1]Sheet1!$A$2:$Q$1536,15,FALSE)</f>
        <v>7830.2939453125</v>
      </c>
      <c r="S153" s="27">
        <f t="shared" si="6"/>
        <v>0.31037071689592993</v>
      </c>
      <c r="T153" s="19">
        <f>VLOOKUP(A153,[1]Sheet1!$A$2:$Q$1536,16,FALSE)</f>
        <v>10211.473866759139</v>
      </c>
      <c r="U153" s="27">
        <f t="shared" si="7"/>
        <v>0.4711830955589742</v>
      </c>
      <c r="V153" s="19">
        <f>VLOOKUP(A153,[1]Sheet1!$A$2:$Q$1536,17,FALSE)</f>
        <v>7827.77783203125</v>
      </c>
      <c r="W153" s="27">
        <f t="shared" si="8"/>
        <v>0.31014904665495086</v>
      </c>
    </row>
    <row r="154" spans="1:23" x14ac:dyDescent="0.3">
      <c r="A154" s="4" t="s">
        <v>334</v>
      </c>
      <c r="B154" s="5">
        <v>2014</v>
      </c>
      <c r="C154" s="5" t="s">
        <v>237</v>
      </c>
      <c r="D154" s="15" t="s">
        <v>306</v>
      </c>
      <c r="E154" s="6">
        <v>167894</v>
      </c>
      <c r="F154" s="5" t="s">
        <v>27</v>
      </c>
      <c r="G154" s="5" t="s">
        <v>25</v>
      </c>
      <c r="H154" s="5" t="s">
        <v>18</v>
      </c>
      <c r="I154" s="5" t="s">
        <v>17</v>
      </c>
      <c r="J154" s="7">
        <v>45575</v>
      </c>
      <c r="K154" s="5" t="s">
        <v>17</v>
      </c>
      <c r="L154" s="8">
        <v>43605</v>
      </c>
      <c r="M154" s="19">
        <v>264</v>
      </c>
      <c r="N154" s="19">
        <v>314</v>
      </c>
      <c r="O154" s="24">
        <v>0</v>
      </c>
      <c r="P154" s="24">
        <v>500</v>
      </c>
      <c r="Q154" t="s">
        <v>1983</v>
      </c>
      <c r="R154" s="19">
        <f>VLOOKUP(A154,[1]Sheet1!$A$2:$Q$1536,15,FALSE)</f>
        <v>1893.149047851562</v>
      </c>
      <c r="S154" s="27">
        <f t="shared" si="6"/>
        <v>0.73588978608555711</v>
      </c>
      <c r="T154" s="19">
        <f>VLOOKUP(A154,[1]Sheet1!$A$2:$Q$1536,16,FALSE)</f>
        <v>9191.0031059465873</v>
      </c>
      <c r="U154" s="27">
        <f t="shared" si="7"/>
        <v>0.94559897388387348</v>
      </c>
      <c r="V154" s="19">
        <f>VLOOKUP(A154,[1]Sheet1!$A$2:$Q$1536,17,FALSE)</f>
        <v>1785.74853515625</v>
      </c>
      <c r="W154" s="27">
        <f t="shared" si="8"/>
        <v>0.72000537020950106</v>
      </c>
    </row>
    <row r="155" spans="1:23" x14ac:dyDescent="0.3">
      <c r="A155" s="4" t="s">
        <v>146</v>
      </c>
      <c r="B155" s="5">
        <v>2016</v>
      </c>
      <c r="C155" s="5" t="s">
        <v>96</v>
      </c>
      <c r="D155" s="15" t="s">
        <v>130</v>
      </c>
      <c r="E155" s="6">
        <v>82970</v>
      </c>
      <c r="F155" s="5" t="s">
        <v>92</v>
      </c>
      <c r="G155" s="5" t="s">
        <v>28</v>
      </c>
      <c r="H155" s="5" t="s">
        <v>17</v>
      </c>
      <c r="I155" s="5" t="s">
        <v>18</v>
      </c>
      <c r="J155" s="7">
        <v>45356</v>
      </c>
      <c r="K155" s="5" t="s">
        <v>17</v>
      </c>
      <c r="L155" s="8">
        <v>44067</v>
      </c>
      <c r="M155" s="19">
        <v>235</v>
      </c>
      <c r="N155" s="19">
        <v>285</v>
      </c>
      <c r="O155" s="24">
        <v>9800</v>
      </c>
      <c r="P155" s="24">
        <v>8600</v>
      </c>
      <c r="Q155" t="s">
        <v>1984</v>
      </c>
      <c r="R155" s="19">
        <f>VLOOKUP(A155,[1]Sheet1!$A$2:$Q$1536,15,FALSE)</f>
        <v>9580.1318359375</v>
      </c>
      <c r="S155" s="27">
        <f t="shared" si="6"/>
        <v>0.10230880458876122</v>
      </c>
      <c r="T155" s="19">
        <f>VLOOKUP(A155,[1]Sheet1!$A$2:$Q$1536,16,FALSE)</f>
        <v>10186.15575900867</v>
      </c>
      <c r="U155" s="27">
        <f t="shared" si="7"/>
        <v>0.15571681766262693</v>
      </c>
      <c r="V155" s="19">
        <f>VLOOKUP(A155,[1]Sheet1!$A$2:$Q$1536,17,FALSE)</f>
        <v>9722.689453125</v>
      </c>
      <c r="W155" s="27">
        <f t="shared" si="8"/>
        <v>0.11547108015099185</v>
      </c>
    </row>
    <row r="156" spans="1:23" x14ac:dyDescent="0.3">
      <c r="A156" s="4" t="s">
        <v>1393</v>
      </c>
      <c r="B156" s="5">
        <v>2012</v>
      </c>
      <c r="C156" s="5" t="s">
        <v>1089</v>
      </c>
      <c r="D156" s="15" t="s">
        <v>1363</v>
      </c>
      <c r="E156" s="6">
        <v>91749</v>
      </c>
      <c r="F156" s="5" t="s">
        <v>115</v>
      </c>
      <c r="G156" s="5" t="s">
        <v>28</v>
      </c>
      <c r="H156" s="5" t="s">
        <v>17</v>
      </c>
      <c r="I156" s="5" t="s">
        <v>18</v>
      </c>
      <c r="J156" s="7">
        <v>45498</v>
      </c>
      <c r="K156" s="5" t="s">
        <v>17</v>
      </c>
      <c r="L156" s="8">
        <v>44067</v>
      </c>
      <c r="M156" s="19">
        <v>235</v>
      </c>
      <c r="N156" s="19">
        <v>285</v>
      </c>
      <c r="O156" s="24">
        <v>5000</v>
      </c>
      <c r="P156" s="24">
        <v>800</v>
      </c>
      <c r="Q156" t="s">
        <v>1984</v>
      </c>
      <c r="R156" s="19">
        <f>VLOOKUP(A156,[1]Sheet1!$A$2:$Q$1536,15,FALSE)</f>
        <v>5022.763671875</v>
      </c>
      <c r="S156" s="27">
        <f t="shared" si="6"/>
        <v>0.8407251361477337</v>
      </c>
      <c r="T156" s="19">
        <f>VLOOKUP(A156,[1]Sheet1!$A$2:$Q$1536,16,FALSE)</f>
        <v>9590.5064321316295</v>
      </c>
      <c r="U156" s="27">
        <f t="shared" si="7"/>
        <v>0.91658417564689665</v>
      </c>
      <c r="V156" s="19">
        <f>VLOOKUP(A156,[1]Sheet1!$A$2:$Q$1536,17,FALSE)</f>
        <v>5016.734375</v>
      </c>
      <c r="W156" s="27">
        <f t="shared" si="8"/>
        <v>0.84053371372687036</v>
      </c>
    </row>
    <row r="157" spans="1:23" x14ac:dyDescent="0.3">
      <c r="A157" s="4" t="s">
        <v>1003</v>
      </c>
      <c r="B157" s="5">
        <v>2017</v>
      </c>
      <c r="C157" s="5" t="s">
        <v>237</v>
      </c>
      <c r="D157" s="15" t="s">
        <v>238</v>
      </c>
      <c r="E157" s="6">
        <v>82311</v>
      </c>
      <c r="F157" s="5" t="s">
        <v>21</v>
      </c>
      <c r="G157" s="5" t="s">
        <v>25</v>
      </c>
      <c r="H157" s="5" t="s">
        <v>18</v>
      </c>
      <c r="I157" s="5" t="s">
        <v>17</v>
      </c>
      <c r="J157" s="7">
        <v>45533</v>
      </c>
      <c r="K157" s="5" t="s">
        <v>17</v>
      </c>
      <c r="L157" s="8">
        <v>43612</v>
      </c>
      <c r="M157" s="19">
        <v>264</v>
      </c>
      <c r="N157" s="19">
        <v>314</v>
      </c>
      <c r="O157" s="24">
        <v>0</v>
      </c>
      <c r="P157" s="24">
        <v>9000</v>
      </c>
      <c r="Q157" t="s">
        <v>1983</v>
      </c>
      <c r="R157" s="19">
        <f>VLOOKUP(A157,[1]Sheet1!$A$2:$Q$1536,15,FALSE)</f>
        <v>4382.544921875</v>
      </c>
      <c r="S157" s="27">
        <f t="shared" si="6"/>
        <v>-1.0536013116665321</v>
      </c>
      <c r="T157" s="19">
        <f>VLOOKUP(A157,[1]Sheet1!$A$2:$Q$1536,16,FALSE)</f>
        <v>9436.0472504182799</v>
      </c>
      <c r="U157" s="27">
        <f t="shared" si="7"/>
        <v>4.6210795563677451E-2</v>
      </c>
      <c r="V157" s="19">
        <f>VLOOKUP(A157,[1]Sheet1!$A$2:$Q$1536,17,FALSE)</f>
        <v>4486.7080078125</v>
      </c>
      <c r="W157" s="27">
        <f t="shared" si="8"/>
        <v>-1.0059250533640056</v>
      </c>
    </row>
    <row r="158" spans="1:23" x14ac:dyDescent="0.3">
      <c r="A158" s="4" t="s">
        <v>1706</v>
      </c>
      <c r="B158" s="5">
        <v>2015</v>
      </c>
      <c r="C158" s="5" t="s">
        <v>1089</v>
      </c>
      <c r="D158" s="15" t="s">
        <v>1328</v>
      </c>
      <c r="E158" s="6">
        <v>117094</v>
      </c>
      <c r="F158" s="5" t="s">
        <v>81</v>
      </c>
      <c r="G158" s="5" t="s">
        <v>25</v>
      </c>
      <c r="H158" s="5" t="s">
        <v>18</v>
      </c>
      <c r="I158" s="5" t="s">
        <v>17</v>
      </c>
      <c r="J158" s="7">
        <v>45400</v>
      </c>
      <c r="K158" s="5" t="s">
        <v>17</v>
      </c>
      <c r="L158" s="8">
        <v>43608</v>
      </c>
      <c r="M158" s="19">
        <v>264</v>
      </c>
      <c r="N158" s="19">
        <v>314</v>
      </c>
      <c r="O158" s="24">
        <v>4000</v>
      </c>
      <c r="P158" s="24">
        <v>1600</v>
      </c>
      <c r="Q158" t="s">
        <v>1984</v>
      </c>
      <c r="R158" s="19">
        <f>VLOOKUP(A158,[1]Sheet1!$A$2:$Q$1536,15,FALSE)</f>
        <v>1910.245361328125</v>
      </c>
      <c r="S158" s="27">
        <f t="shared" si="6"/>
        <v>0.16241126276701048</v>
      </c>
      <c r="T158" s="19">
        <f>VLOOKUP(A158,[1]Sheet1!$A$2:$Q$1536,16,FALSE)</f>
        <v>8669.1411595887294</v>
      </c>
      <c r="U158" s="27">
        <f t="shared" si="7"/>
        <v>0.81543731143075482</v>
      </c>
      <c r="V158" s="19">
        <f>VLOOKUP(A158,[1]Sheet1!$A$2:$Q$1536,17,FALSE)</f>
        <v>1783.572998046875</v>
      </c>
      <c r="W158" s="27">
        <f t="shared" si="8"/>
        <v>0.10292429760256464</v>
      </c>
    </row>
    <row r="159" spans="1:23" x14ac:dyDescent="0.3">
      <c r="A159" s="4" t="s">
        <v>1692</v>
      </c>
      <c r="B159" s="5">
        <v>2013</v>
      </c>
      <c r="C159" s="5" t="s">
        <v>1089</v>
      </c>
      <c r="D159" s="15" t="s">
        <v>1090</v>
      </c>
      <c r="E159" s="6">
        <v>102660</v>
      </c>
      <c r="F159" s="5" t="s">
        <v>59</v>
      </c>
      <c r="G159" s="5" t="s">
        <v>16</v>
      </c>
      <c r="H159" s="5" t="s">
        <v>17</v>
      </c>
      <c r="I159" s="5" t="s">
        <v>18</v>
      </c>
      <c r="J159" s="7">
        <v>45538</v>
      </c>
      <c r="K159" s="5" t="s">
        <v>17</v>
      </c>
      <c r="L159" s="8">
        <v>43950</v>
      </c>
      <c r="M159" s="19">
        <v>264</v>
      </c>
      <c r="N159" s="19">
        <v>314</v>
      </c>
      <c r="O159" s="24">
        <v>4300</v>
      </c>
      <c r="P159" s="24">
        <v>1700</v>
      </c>
      <c r="Q159" t="s">
        <v>1984</v>
      </c>
      <c r="R159" s="19">
        <f>VLOOKUP(A159,[1]Sheet1!$A$2:$Q$1536,15,FALSE)</f>
        <v>5406.5068359375</v>
      </c>
      <c r="S159" s="27">
        <f t="shared" si="6"/>
        <v>0.68556407092654381</v>
      </c>
      <c r="T159" s="19">
        <f>VLOOKUP(A159,[1]Sheet1!$A$2:$Q$1536,16,FALSE)</f>
        <v>9451.9884134774311</v>
      </c>
      <c r="U159" s="27">
        <f t="shared" si="7"/>
        <v>0.82014366441922437</v>
      </c>
      <c r="V159" s="19">
        <f>VLOOKUP(A159,[1]Sheet1!$A$2:$Q$1536,17,FALSE)</f>
        <v>5482.1513671875</v>
      </c>
      <c r="W159" s="27">
        <f t="shared" si="8"/>
        <v>0.68990276150070107</v>
      </c>
    </row>
    <row r="160" spans="1:23" x14ac:dyDescent="0.3">
      <c r="A160" s="4" t="s">
        <v>1173</v>
      </c>
      <c r="B160" s="5">
        <v>2021</v>
      </c>
      <c r="C160" s="5" t="s">
        <v>636</v>
      </c>
      <c r="D160" s="15" t="s">
        <v>1164</v>
      </c>
      <c r="E160" s="6">
        <v>62551</v>
      </c>
      <c r="F160" s="5" t="s">
        <v>73</v>
      </c>
      <c r="G160" s="5" t="s">
        <v>33</v>
      </c>
      <c r="H160" s="5" t="s">
        <v>17</v>
      </c>
      <c r="I160" s="5" t="s">
        <v>18</v>
      </c>
      <c r="J160" s="7">
        <v>45328</v>
      </c>
      <c r="K160" s="5" t="s">
        <v>17</v>
      </c>
      <c r="L160" s="8">
        <v>44135</v>
      </c>
      <c r="M160" s="19">
        <v>235</v>
      </c>
      <c r="N160" s="19">
        <v>285</v>
      </c>
      <c r="O160" s="24">
        <v>9800</v>
      </c>
      <c r="P160" s="24">
        <v>8000</v>
      </c>
      <c r="Q160" t="s">
        <v>1984</v>
      </c>
      <c r="R160" s="19">
        <f>VLOOKUP(A160,[1]Sheet1!$A$2:$Q$1536,15,FALSE)</f>
        <v>8166.23779296875</v>
      </c>
      <c r="S160" s="27">
        <f t="shared" si="6"/>
        <v>2.0356717154609821E-2</v>
      </c>
      <c r="T160" s="19">
        <f>VLOOKUP(A160,[1]Sheet1!$A$2:$Q$1536,16,FALSE)</f>
        <v>12703.87149790641</v>
      </c>
      <c r="U160" s="27">
        <f t="shared" si="7"/>
        <v>0.37027070831766562</v>
      </c>
      <c r="V160" s="19">
        <f>VLOOKUP(A160,[1]Sheet1!$A$2:$Q$1536,17,FALSE)</f>
        <v>8470.005859375</v>
      </c>
      <c r="W160" s="27">
        <f t="shared" si="8"/>
        <v>5.5490617973395551E-2</v>
      </c>
    </row>
    <row r="161" spans="1:23" x14ac:dyDescent="0.3">
      <c r="A161" s="4" t="s">
        <v>157</v>
      </c>
      <c r="B161" s="5">
        <v>2016</v>
      </c>
      <c r="C161" s="5" t="s">
        <v>96</v>
      </c>
      <c r="D161" s="15" t="s">
        <v>156</v>
      </c>
      <c r="E161" s="6">
        <v>70607</v>
      </c>
      <c r="F161" s="5" t="s">
        <v>158</v>
      </c>
      <c r="G161" s="5" t="s">
        <v>16</v>
      </c>
      <c r="H161" s="5" t="s">
        <v>17</v>
      </c>
      <c r="I161" s="5" t="s">
        <v>18</v>
      </c>
      <c r="J161" s="7">
        <v>45400</v>
      </c>
      <c r="K161" s="5" t="s">
        <v>17</v>
      </c>
      <c r="L161" s="8">
        <v>44113</v>
      </c>
      <c r="M161" s="19">
        <v>264</v>
      </c>
      <c r="N161" s="19">
        <v>314</v>
      </c>
      <c r="O161" s="24">
        <v>0</v>
      </c>
      <c r="P161" s="24">
        <v>11500</v>
      </c>
      <c r="Q161" t="s">
        <v>1983</v>
      </c>
      <c r="R161" s="19">
        <f>VLOOKUP(A161,[1]Sheet1!$A$2:$Q$1536,15,FALSE)</f>
        <v>12815.2451171875</v>
      </c>
      <c r="S161" s="27">
        <f t="shared" si="6"/>
        <v>0.10263128837259029</v>
      </c>
      <c r="T161" s="19">
        <f>VLOOKUP(A161,[1]Sheet1!$A$2:$Q$1536,16,FALSE)</f>
        <v>10491.30215678177</v>
      </c>
      <c r="U161" s="27">
        <f t="shared" si="7"/>
        <v>-9.6146105425644307E-2</v>
      </c>
      <c r="V161" s="19">
        <f>VLOOKUP(A161,[1]Sheet1!$A$2:$Q$1536,17,FALSE)</f>
        <v>12976.556640625</v>
      </c>
      <c r="W161" s="27">
        <f t="shared" si="8"/>
        <v>0.11378647521966069</v>
      </c>
    </row>
    <row r="162" spans="1:23" x14ac:dyDescent="0.3">
      <c r="A162" s="4" t="s">
        <v>1691</v>
      </c>
      <c r="B162" s="5">
        <v>2014</v>
      </c>
      <c r="C162" s="5" t="s">
        <v>1089</v>
      </c>
      <c r="D162" s="15" t="s">
        <v>1090</v>
      </c>
      <c r="E162" s="6">
        <v>112790</v>
      </c>
      <c r="F162" s="5" t="s">
        <v>144</v>
      </c>
      <c r="G162" s="5" t="s">
        <v>33</v>
      </c>
      <c r="H162" s="5" t="s">
        <v>17</v>
      </c>
      <c r="I162" s="5" t="s">
        <v>18</v>
      </c>
      <c r="J162" s="7">
        <v>45482</v>
      </c>
      <c r="K162" s="5" t="s">
        <v>17</v>
      </c>
      <c r="L162" s="8">
        <v>44128</v>
      </c>
      <c r="M162" s="19">
        <v>264</v>
      </c>
      <c r="N162" s="19">
        <v>314</v>
      </c>
      <c r="O162" s="24">
        <v>800</v>
      </c>
      <c r="P162" s="24">
        <v>500</v>
      </c>
      <c r="Q162" t="s">
        <v>1984</v>
      </c>
      <c r="R162" s="19">
        <f>VLOOKUP(A162,[1]Sheet1!$A$2:$Q$1536,15,FALSE)</f>
        <v>1293.581909179688</v>
      </c>
      <c r="S162" s="27">
        <f t="shared" si="6"/>
        <v>0.61347635085816099</v>
      </c>
      <c r="T162" s="19">
        <f>VLOOKUP(A162,[1]Sheet1!$A$2:$Q$1536,16,FALSE)</f>
        <v>8647.612954175187</v>
      </c>
      <c r="U162" s="27">
        <f t="shared" si="7"/>
        <v>0.94218057599830562</v>
      </c>
      <c r="V162" s="19">
        <f>VLOOKUP(A162,[1]Sheet1!$A$2:$Q$1536,17,FALSE)</f>
        <v>1333.555419921875</v>
      </c>
      <c r="W162" s="27">
        <f t="shared" si="8"/>
        <v>0.62506245145080508</v>
      </c>
    </row>
    <row r="163" spans="1:23" x14ac:dyDescent="0.3">
      <c r="A163" s="4" t="s">
        <v>457</v>
      </c>
      <c r="B163" s="5">
        <v>2013</v>
      </c>
      <c r="C163" s="5" t="s">
        <v>391</v>
      </c>
      <c r="D163" s="15" t="s">
        <v>413</v>
      </c>
      <c r="E163" s="6">
        <v>103937</v>
      </c>
      <c r="F163" s="5" t="s">
        <v>42</v>
      </c>
      <c r="G163" s="5" t="s">
        <v>28</v>
      </c>
      <c r="H163" s="5" t="s">
        <v>17</v>
      </c>
      <c r="I163" s="5" t="s">
        <v>18</v>
      </c>
      <c r="J163" s="7">
        <v>45300</v>
      </c>
      <c r="K163" s="5" t="s">
        <v>17</v>
      </c>
      <c r="L163" s="8">
        <v>43612</v>
      </c>
      <c r="M163" s="19">
        <v>264</v>
      </c>
      <c r="N163" s="19">
        <v>314</v>
      </c>
      <c r="O163" s="24">
        <v>4000</v>
      </c>
      <c r="P163" s="24">
        <v>1400</v>
      </c>
      <c r="Q163" t="s">
        <v>1984</v>
      </c>
      <c r="R163" s="19">
        <f>VLOOKUP(A163,[1]Sheet1!$A$2:$Q$1536,15,FALSE)</f>
        <v>2725.303955078125</v>
      </c>
      <c r="S163" s="27">
        <f t="shared" si="6"/>
        <v>0.48629583229006584</v>
      </c>
      <c r="T163" s="19">
        <f>VLOOKUP(A163,[1]Sheet1!$A$2:$Q$1536,16,FALSE)</f>
        <v>9315.6934645407509</v>
      </c>
      <c r="U163" s="27">
        <f t="shared" si="7"/>
        <v>0.84971596528707616</v>
      </c>
      <c r="V163" s="19">
        <f>VLOOKUP(A163,[1]Sheet1!$A$2:$Q$1536,17,FALSE)</f>
        <v>2556.26416015625</v>
      </c>
      <c r="W163" s="27">
        <f t="shared" si="8"/>
        <v>0.45232577218685183</v>
      </c>
    </row>
    <row r="164" spans="1:23" x14ac:dyDescent="0.3">
      <c r="A164" s="4" t="s">
        <v>1050</v>
      </c>
      <c r="B164" s="5">
        <v>2021</v>
      </c>
      <c r="C164" s="5" t="s">
        <v>391</v>
      </c>
      <c r="D164" s="15" t="s">
        <v>1051</v>
      </c>
      <c r="E164" s="6">
        <v>125529</v>
      </c>
      <c r="F164" s="5" t="s">
        <v>73</v>
      </c>
      <c r="G164" s="5" t="s">
        <v>33</v>
      </c>
      <c r="H164" s="5" t="s">
        <v>17</v>
      </c>
      <c r="I164" s="5" t="s">
        <v>18</v>
      </c>
      <c r="J164" s="7">
        <v>45680</v>
      </c>
      <c r="K164" s="5" t="s">
        <v>17</v>
      </c>
      <c r="L164" s="8">
        <v>43608</v>
      </c>
      <c r="M164" s="19">
        <v>264</v>
      </c>
      <c r="N164" s="19">
        <v>314</v>
      </c>
      <c r="O164" s="24">
        <v>0</v>
      </c>
      <c r="P164" s="24">
        <v>18000</v>
      </c>
      <c r="Q164" t="s">
        <v>1983</v>
      </c>
      <c r="R164" s="19">
        <f>VLOOKUP(A164,[1]Sheet1!$A$2:$Q$1536,15,FALSE)</f>
        <v>7318.56787109375</v>
      </c>
      <c r="S164" s="27">
        <f t="shared" si="6"/>
        <v>-1.4594975843695939</v>
      </c>
      <c r="T164" s="19">
        <f>VLOOKUP(A164,[1]Sheet1!$A$2:$Q$1536,16,FALSE)</f>
        <v>11882.34939303198</v>
      </c>
      <c r="U164" s="27">
        <f t="shared" si="7"/>
        <v>-0.51485193749272495</v>
      </c>
      <c r="V164" s="19">
        <f>VLOOKUP(A164,[1]Sheet1!$A$2:$Q$1536,17,FALSE)</f>
        <v>6824.8876953125</v>
      </c>
      <c r="W164" s="27">
        <f t="shared" si="8"/>
        <v>-1.6374060356132807</v>
      </c>
    </row>
    <row r="165" spans="1:23" x14ac:dyDescent="0.3">
      <c r="A165" s="4" t="s">
        <v>1577</v>
      </c>
      <c r="B165" s="5">
        <v>2017</v>
      </c>
      <c r="C165" s="5" t="s">
        <v>636</v>
      </c>
      <c r="D165" s="15" t="s">
        <v>1578</v>
      </c>
      <c r="E165" s="6">
        <v>136084</v>
      </c>
      <c r="F165" s="5" t="s">
        <v>32</v>
      </c>
      <c r="G165" s="5" t="s">
        <v>25</v>
      </c>
      <c r="H165" s="5" t="s">
        <v>18</v>
      </c>
      <c r="I165" s="5" t="s">
        <v>17</v>
      </c>
      <c r="J165" s="7">
        <v>45351</v>
      </c>
      <c r="K165" s="5" t="s">
        <v>17</v>
      </c>
      <c r="L165" s="8">
        <v>44444</v>
      </c>
      <c r="M165" s="19">
        <v>264</v>
      </c>
      <c r="N165" s="19">
        <v>314</v>
      </c>
      <c r="O165" s="24">
        <v>0</v>
      </c>
      <c r="P165" s="24">
        <v>11600</v>
      </c>
      <c r="Q165" t="s">
        <v>1983</v>
      </c>
      <c r="R165" s="19">
        <f>VLOOKUP(A165,[1]Sheet1!$A$2:$Q$1536,15,FALSE)</f>
        <v>2328.882080078125</v>
      </c>
      <c r="S165" s="27">
        <f t="shared" si="6"/>
        <v>-3.98093059293533</v>
      </c>
      <c r="T165" s="19">
        <f>VLOOKUP(A165,[1]Sheet1!$A$2:$Q$1536,16,FALSE)</f>
        <v>8776.3849382808567</v>
      </c>
      <c r="U165" s="27">
        <f t="shared" si="7"/>
        <v>-0.32172871650183577</v>
      </c>
      <c r="V165" s="19">
        <f>VLOOKUP(A165,[1]Sheet1!$A$2:$Q$1536,17,FALSE)</f>
        <v>2176.38525390625</v>
      </c>
      <c r="W165" s="27">
        <f t="shared" si="8"/>
        <v>-4.3299387041792929</v>
      </c>
    </row>
    <row r="166" spans="1:23" x14ac:dyDescent="0.3">
      <c r="A166" s="4" t="s">
        <v>1801</v>
      </c>
      <c r="B166" s="5">
        <v>2016</v>
      </c>
      <c r="C166" s="5" t="s">
        <v>636</v>
      </c>
      <c r="D166" s="15" t="s">
        <v>1578</v>
      </c>
      <c r="E166" s="6">
        <v>105850</v>
      </c>
      <c r="F166" s="5" t="s">
        <v>36</v>
      </c>
      <c r="G166" s="5" t="s">
        <v>25</v>
      </c>
      <c r="H166" s="5" t="s">
        <v>18</v>
      </c>
      <c r="I166" s="5" t="s">
        <v>17</v>
      </c>
      <c r="J166" s="7">
        <v>45449</v>
      </c>
      <c r="K166" s="5" t="s">
        <v>17</v>
      </c>
      <c r="L166" s="8">
        <v>44128</v>
      </c>
      <c r="M166" s="19">
        <v>264</v>
      </c>
      <c r="N166" s="19">
        <v>314</v>
      </c>
      <c r="O166" s="24">
        <v>0</v>
      </c>
      <c r="P166" s="24">
        <v>10800</v>
      </c>
      <c r="Q166" t="s">
        <v>1983</v>
      </c>
      <c r="R166" s="19">
        <f>VLOOKUP(A166,[1]Sheet1!$A$2:$Q$1536,15,FALSE)</f>
        <v>2767.32861328125</v>
      </c>
      <c r="S166" s="27">
        <f t="shared" si="6"/>
        <v>-2.9026807109815298</v>
      </c>
      <c r="T166" s="19">
        <f>VLOOKUP(A166,[1]Sheet1!$A$2:$Q$1536,16,FALSE)</f>
        <v>8898.553946738537</v>
      </c>
      <c r="U166" s="27">
        <f t="shared" si="7"/>
        <v>-0.21368034229408403</v>
      </c>
      <c r="V166" s="19">
        <f>VLOOKUP(A166,[1]Sheet1!$A$2:$Q$1536,17,FALSE)</f>
        <v>2601.28369140625</v>
      </c>
      <c r="W166" s="27">
        <f t="shared" si="8"/>
        <v>-3.1517962979891427</v>
      </c>
    </row>
    <row r="167" spans="1:23" x14ac:dyDescent="0.3">
      <c r="A167" s="4" t="s">
        <v>621</v>
      </c>
      <c r="B167" s="5">
        <v>2015</v>
      </c>
      <c r="C167" s="5" t="s">
        <v>30</v>
      </c>
      <c r="D167" s="15" t="s">
        <v>614</v>
      </c>
      <c r="E167" s="6">
        <v>61540</v>
      </c>
      <c r="F167" s="5" t="s">
        <v>40</v>
      </c>
      <c r="G167" s="5" t="s">
        <v>28</v>
      </c>
      <c r="H167" s="5" t="s">
        <v>17</v>
      </c>
      <c r="I167" s="5" t="s">
        <v>18</v>
      </c>
      <c r="J167" s="7">
        <v>45398</v>
      </c>
      <c r="K167" s="5" t="s">
        <v>17</v>
      </c>
      <c r="L167" s="8">
        <v>43605</v>
      </c>
      <c r="M167" s="19">
        <v>264</v>
      </c>
      <c r="N167" s="19">
        <v>314</v>
      </c>
      <c r="O167" s="24">
        <v>12250</v>
      </c>
      <c r="P167" s="24">
        <v>3400</v>
      </c>
      <c r="Q167" t="s">
        <v>1984</v>
      </c>
      <c r="R167" s="19">
        <f>VLOOKUP(A167,[1]Sheet1!$A$2:$Q$1536,15,FALSE)</f>
        <v>6808.10107421875</v>
      </c>
      <c r="S167" s="27">
        <f t="shared" si="6"/>
        <v>0.50059495842749957</v>
      </c>
      <c r="T167" s="19">
        <f>VLOOKUP(A167,[1]Sheet1!$A$2:$Q$1536,16,FALSE)</f>
        <v>11083.17606776858</v>
      </c>
      <c r="U167" s="27">
        <f t="shared" si="7"/>
        <v>0.69322872981440098</v>
      </c>
      <c r="V167" s="19">
        <f>VLOOKUP(A167,[1]Sheet1!$A$2:$Q$1536,17,FALSE)</f>
        <v>6409.05224609375</v>
      </c>
      <c r="W167" s="27">
        <f t="shared" si="8"/>
        <v>0.4695003458471938</v>
      </c>
    </row>
    <row r="168" spans="1:23" x14ac:dyDescent="0.3">
      <c r="A168" s="4" t="s">
        <v>474</v>
      </c>
      <c r="B168" s="5">
        <v>2012</v>
      </c>
      <c r="C168" s="5" t="s">
        <v>391</v>
      </c>
      <c r="D168" s="15" t="s">
        <v>413</v>
      </c>
      <c r="E168" s="6">
        <v>98118</v>
      </c>
      <c r="F168" s="5" t="s">
        <v>103</v>
      </c>
      <c r="G168" s="5" t="s">
        <v>25</v>
      </c>
      <c r="H168" s="5" t="s">
        <v>18</v>
      </c>
      <c r="I168" s="5" t="s">
        <v>17</v>
      </c>
      <c r="J168" s="7">
        <v>45664</v>
      </c>
      <c r="K168" s="5" t="s">
        <v>17</v>
      </c>
      <c r="L168" s="8">
        <v>44662</v>
      </c>
      <c r="M168" s="19">
        <v>235</v>
      </c>
      <c r="N168" s="19">
        <v>285</v>
      </c>
      <c r="O168" s="24">
        <v>4900</v>
      </c>
      <c r="P168" s="24">
        <v>1500</v>
      </c>
      <c r="Q168" t="s">
        <v>1984</v>
      </c>
      <c r="R168" s="19">
        <f>VLOOKUP(A168,[1]Sheet1!$A$2:$Q$1536,15,FALSE)</f>
        <v>4742.60546875</v>
      </c>
      <c r="S168" s="27">
        <f t="shared" si="6"/>
        <v>0.68371815663693558</v>
      </c>
      <c r="T168" s="19">
        <f>VLOOKUP(A168,[1]Sheet1!$A$2:$Q$1536,16,FALSE)</f>
        <v>9501.992672075241</v>
      </c>
      <c r="U168" s="27">
        <f t="shared" si="7"/>
        <v>0.8421383754159012</v>
      </c>
      <c r="V168" s="19">
        <f>VLOOKUP(A168,[1]Sheet1!$A$2:$Q$1536,17,FALSE)</f>
        <v>4760.8662109375</v>
      </c>
      <c r="W168" s="27">
        <f t="shared" si="8"/>
        <v>0.68493128486704036</v>
      </c>
    </row>
    <row r="169" spans="1:23" x14ac:dyDescent="0.3">
      <c r="A169" s="4" t="s">
        <v>1879</v>
      </c>
      <c r="B169" s="5">
        <v>2018</v>
      </c>
      <c r="C169" s="5" t="s">
        <v>1401</v>
      </c>
      <c r="D169" s="15" t="s">
        <v>1877</v>
      </c>
      <c r="E169" s="6">
        <v>118001</v>
      </c>
      <c r="F169" s="5" t="s">
        <v>184</v>
      </c>
      <c r="G169" s="5" t="s">
        <v>28</v>
      </c>
      <c r="H169" s="5" t="s">
        <v>17</v>
      </c>
      <c r="I169" s="5" t="s">
        <v>18</v>
      </c>
      <c r="J169" s="7">
        <v>45426</v>
      </c>
      <c r="K169" s="5" t="s">
        <v>17</v>
      </c>
      <c r="L169" s="8">
        <v>44451</v>
      </c>
      <c r="M169" s="19">
        <v>264</v>
      </c>
      <c r="N169" s="19">
        <v>314</v>
      </c>
      <c r="O169" s="24">
        <v>10700</v>
      </c>
      <c r="P169" s="24">
        <v>5500</v>
      </c>
      <c r="Q169" t="s">
        <v>1984</v>
      </c>
      <c r="R169" s="19">
        <f>VLOOKUP(A169,[1]Sheet1!$A$2:$Q$1536,15,FALSE)</f>
        <v>10368.6220703125</v>
      </c>
      <c r="S169" s="27">
        <f t="shared" si="6"/>
        <v>0.46955343123676652</v>
      </c>
      <c r="T169" s="19">
        <f>VLOOKUP(A169,[1]Sheet1!$A$2:$Q$1536,16,FALSE)</f>
        <v>10172.2575926681</v>
      </c>
      <c r="U169" s="27">
        <f t="shared" si="7"/>
        <v>0.45931373150004995</v>
      </c>
      <c r="V169" s="19">
        <f>VLOOKUP(A169,[1]Sheet1!$A$2:$Q$1536,17,FALSE)</f>
        <v>10524.953125</v>
      </c>
      <c r="W169" s="27">
        <f t="shared" si="8"/>
        <v>0.47743235198494055</v>
      </c>
    </row>
    <row r="170" spans="1:23" x14ac:dyDescent="0.3">
      <c r="A170" s="4" t="s">
        <v>1531</v>
      </c>
      <c r="B170" s="5">
        <v>2015</v>
      </c>
      <c r="C170" s="5" t="s">
        <v>1139</v>
      </c>
      <c r="D170" s="15" t="s">
        <v>1528</v>
      </c>
      <c r="E170" s="6">
        <v>154030</v>
      </c>
      <c r="F170" s="5" t="s">
        <v>36</v>
      </c>
      <c r="G170" s="5" t="s">
        <v>25</v>
      </c>
      <c r="H170" s="5" t="s">
        <v>18</v>
      </c>
      <c r="I170" s="5" t="s">
        <v>17</v>
      </c>
      <c r="J170" s="7">
        <v>45505</v>
      </c>
      <c r="K170" s="5" t="s">
        <v>17</v>
      </c>
      <c r="L170" s="8">
        <v>44113</v>
      </c>
      <c r="M170" s="19">
        <v>264</v>
      </c>
      <c r="N170" s="19">
        <v>314</v>
      </c>
      <c r="O170" s="24">
        <v>4200</v>
      </c>
      <c r="P170" s="24">
        <v>4200</v>
      </c>
      <c r="Q170" t="s">
        <v>1984</v>
      </c>
      <c r="R170" s="19">
        <f>VLOOKUP(A170,[1]Sheet1!$A$2:$Q$1536,15,FALSE)</f>
        <v>1945.2080078125</v>
      </c>
      <c r="S170" s="27">
        <f t="shared" si="6"/>
        <v>-1.1591521231311119</v>
      </c>
      <c r="T170" s="19">
        <f>VLOOKUP(A170,[1]Sheet1!$A$2:$Q$1536,16,FALSE)</f>
        <v>9117.4917118129797</v>
      </c>
      <c r="U170" s="27">
        <f t="shared" si="7"/>
        <v>0.53934699007641373</v>
      </c>
      <c r="V170" s="19">
        <f>VLOOKUP(A170,[1]Sheet1!$A$2:$Q$1536,17,FALSE)</f>
        <v>1885.53759765625</v>
      </c>
      <c r="W170" s="27">
        <f t="shared" si="8"/>
        <v>-1.227481438302084</v>
      </c>
    </row>
    <row r="171" spans="1:23" x14ac:dyDescent="0.3">
      <c r="A171" s="4" t="s">
        <v>1235</v>
      </c>
      <c r="B171" s="5">
        <v>2019</v>
      </c>
      <c r="C171" s="5" t="s">
        <v>1228</v>
      </c>
      <c r="D171" s="15" t="s">
        <v>1236</v>
      </c>
      <c r="E171" s="6">
        <v>45551</v>
      </c>
      <c r="F171" s="5" t="s">
        <v>170</v>
      </c>
      <c r="G171" s="5" t="s">
        <v>28</v>
      </c>
      <c r="H171" s="5" t="s">
        <v>17</v>
      </c>
      <c r="I171" s="5" t="s">
        <v>18</v>
      </c>
      <c r="J171" s="7">
        <v>45664</v>
      </c>
      <c r="K171" s="5" t="s">
        <v>17</v>
      </c>
      <c r="L171" s="8">
        <v>43950</v>
      </c>
      <c r="M171" s="19">
        <v>264</v>
      </c>
      <c r="N171" s="19">
        <v>314</v>
      </c>
      <c r="O171" s="24">
        <v>18750</v>
      </c>
      <c r="P171" s="24">
        <v>15900</v>
      </c>
      <c r="Q171" t="s">
        <v>1984</v>
      </c>
      <c r="R171" s="19">
        <f>VLOOKUP(A171,[1]Sheet1!$A$2:$Q$1536,15,FALSE)</f>
        <v>15084.3720703125</v>
      </c>
      <c r="S171" s="27">
        <f t="shared" si="6"/>
        <v>-5.4071056182228128E-2</v>
      </c>
      <c r="T171" s="19">
        <f>VLOOKUP(A171,[1]Sheet1!$A$2:$Q$1536,16,FALSE)</f>
        <v>12124.954626359789</v>
      </c>
      <c r="U171" s="27">
        <f t="shared" si="7"/>
        <v>-0.31134511344341187</v>
      </c>
      <c r="V171" s="19">
        <f>VLOOKUP(A171,[1]Sheet1!$A$2:$Q$1536,17,FALSE)</f>
        <v>15301.8544921875</v>
      </c>
      <c r="W171" s="27">
        <f t="shared" si="8"/>
        <v>-3.9089739620638046E-2</v>
      </c>
    </row>
    <row r="172" spans="1:23" x14ac:dyDescent="0.3">
      <c r="A172" s="4" t="s">
        <v>529</v>
      </c>
      <c r="B172" s="5">
        <v>2013</v>
      </c>
      <c r="C172" s="5" t="s">
        <v>519</v>
      </c>
      <c r="D172" s="15" t="s">
        <v>530</v>
      </c>
      <c r="E172" s="6">
        <v>116272</v>
      </c>
      <c r="F172" s="5" t="s">
        <v>21</v>
      </c>
      <c r="G172" s="5" t="s">
        <v>33</v>
      </c>
      <c r="H172" s="5" t="s">
        <v>17</v>
      </c>
      <c r="I172" s="5" t="s">
        <v>18</v>
      </c>
      <c r="J172" s="7">
        <v>45664</v>
      </c>
      <c r="K172" s="5" t="s">
        <v>17</v>
      </c>
      <c r="L172" s="8">
        <v>44113</v>
      </c>
      <c r="M172" s="19">
        <v>264</v>
      </c>
      <c r="N172" s="19">
        <v>314</v>
      </c>
      <c r="O172" s="24">
        <v>3100</v>
      </c>
      <c r="P172" s="24">
        <v>1500</v>
      </c>
      <c r="Q172" t="s">
        <v>1984</v>
      </c>
      <c r="R172" s="19">
        <f>VLOOKUP(A172,[1]Sheet1!$A$2:$Q$1536,15,FALSE)</f>
        <v>1169.074829101562</v>
      </c>
      <c r="S172" s="27">
        <f t="shared" si="6"/>
        <v>-0.28306585913987647</v>
      </c>
      <c r="T172" s="19">
        <f>VLOOKUP(A172,[1]Sheet1!$A$2:$Q$1536,16,FALSE)</f>
        <v>9001.7853457319325</v>
      </c>
      <c r="U172" s="27">
        <f t="shared" si="7"/>
        <v>0.83336638873407443</v>
      </c>
      <c r="V172" s="19">
        <f>VLOOKUP(A172,[1]Sheet1!$A$2:$Q$1536,17,FALSE)</f>
        <v>1276.312622070312</v>
      </c>
      <c r="W172" s="27">
        <f t="shared" si="8"/>
        <v>-0.17526064857592941</v>
      </c>
    </row>
    <row r="173" spans="1:23" x14ac:dyDescent="0.3">
      <c r="A173" s="4" t="s">
        <v>829</v>
      </c>
      <c r="B173" s="5">
        <v>2015</v>
      </c>
      <c r="C173" s="5" t="s">
        <v>559</v>
      </c>
      <c r="D173" s="15" t="s">
        <v>760</v>
      </c>
      <c r="E173" s="6">
        <v>99892</v>
      </c>
      <c r="F173" s="5" t="s">
        <v>125</v>
      </c>
      <c r="G173" s="5" t="s">
        <v>16</v>
      </c>
      <c r="H173" s="5" t="s">
        <v>17</v>
      </c>
      <c r="I173" s="5" t="s">
        <v>18</v>
      </c>
      <c r="J173" s="7">
        <v>45384</v>
      </c>
      <c r="K173" s="5" t="s">
        <v>17</v>
      </c>
      <c r="L173" s="8">
        <v>44128</v>
      </c>
      <c r="M173" s="19">
        <v>264</v>
      </c>
      <c r="N173" s="19">
        <v>314</v>
      </c>
      <c r="O173" s="24">
        <v>10800</v>
      </c>
      <c r="P173" s="24">
        <v>3900</v>
      </c>
      <c r="Q173" t="s">
        <v>1984</v>
      </c>
      <c r="R173" s="19">
        <f>VLOOKUP(A173,[1]Sheet1!$A$2:$Q$1536,15,FALSE)</f>
        <v>11250.1533203125</v>
      </c>
      <c r="S173" s="27">
        <f t="shared" si="6"/>
        <v>0.65333805780598297</v>
      </c>
      <c r="T173" s="19">
        <f>VLOOKUP(A173,[1]Sheet1!$A$2:$Q$1536,16,FALSE)</f>
        <v>11085.795597663689</v>
      </c>
      <c r="U173" s="27">
        <f t="shared" si="7"/>
        <v>0.64819845669697196</v>
      </c>
      <c r="V173" s="19">
        <f>VLOOKUP(A173,[1]Sheet1!$A$2:$Q$1536,17,FALSE)</f>
        <v>11341.4404296875</v>
      </c>
      <c r="W173" s="27">
        <f t="shared" si="8"/>
        <v>0.65612833535753445</v>
      </c>
    </row>
    <row r="174" spans="1:23" x14ac:dyDescent="0.3">
      <c r="A174" s="4" t="s">
        <v>767</v>
      </c>
      <c r="B174" s="5">
        <v>2011</v>
      </c>
      <c r="C174" s="5" t="s">
        <v>237</v>
      </c>
      <c r="D174" s="15" t="s">
        <v>768</v>
      </c>
      <c r="E174" s="6">
        <v>139030</v>
      </c>
      <c r="F174" s="5" t="s">
        <v>92</v>
      </c>
      <c r="G174" s="5" t="s">
        <v>28</v>
      </c>
      <c r="H174" s="5" t="s">
        <v>17</v>
      </c>
      <c r="I174" s="5" t="s">
        <v>18</v>
      </c>
      <c r="J174" s="7">
        <v>45589</v>
      </c>
      <c r="K174" s="5" t="s">
        <v>17</v>
      </c>
      <c r="L174" s="8">
        <v>43950</v>
      </c>
      <c r="M174" s="19">
        <v>264</v>
      </c>
      <c r="N174" s="19">
        <v>314</v>
      </c>
      <c r="O174" s="24">
        <v>0</v>
      </c>
      <c r="P174" s="24">
        <v>9100</v>
      </c>
      <c r="Q174" t="s">
        <v>1983</v>
      </c>
      <c r="R174" s="19">
        <f>VLOOKUP(A174,[1]Sheet1!$A$2:$Q$1536,15,FALSE)</f>
        <v>3763.01953125</v>
      </c>
      <c r="S174" s="27">
        <f t="shared" si="6"/>
        <v>-1.4182707329656516</v>
      </c>
      <c r="T174" s="19">
        <f>VLOOKUP(A174,[1]Sheet1!$A$2:$Q$1536,16,FALSE)</f>
        <v>10021.726334401899</v>
      </c>
      <c r="U174" s="27">
        <f t="shared" si="7"/>
        <v>9.1972810237080607E-2</v>
      </c>
      <c r="V174" s="19">
        <f>VLOOKUP(A174,[1]Sheet1!$A$2:$Q$1536,17,FALSE)</f>
        <v>3616.418701171875</v>
      </c>
      <c r="W174" s="27">
        <f t="shared" si="8"/>
        <v>-1.5163015546433296</v>
      </c>
    </row>
    <row r="175" spans="1:23" x14ac:dyDescent="0.3">
      <c r="A175" s="4" t="s">
        <v>90</v>
      </c>
      <c r="B175" s="5">
        <v>2014</v>
      </c>
      <c r="C175" s="5" t="s">
        <v>83</v>
      </c>
      <c r="D175" s="15" t="s">
        <v>91</v>
      </c>
      <c r="E175" s="6">
        <v>79863</v>
      </c>
      <c r="F175" s="5" t="s">
        <v>92</v>
      </c>
      <c r="G175" s="5" t="s">
        <v>28</v>
      </c>
      <c r="H175" s="5" t="s">
        <v>17</v>
      </c>
      <c r="I175" s="5" t="s">
        <v>18</v>
      </c>
      <c r="J175" s="7">
        <v>45622</v>
      </c>
      <c r="K175" s="5" t="s">
        <v>17</v>
      </c>
      <c r="L175" s="8">
        <v>44054</v>
      </c>
      <c r="M175" s="19">
        <v>235</v>
      </c>
      <c r="N175" s="19">
        <v>285</v>
      </c>
      <c r="O175" s="24">
        <v>5000</v>
      </c>
      <c r="P175" s="24">
        <v>3400</v>
      </c>
      <c r="Q175" t="s">
        <v>1984</v>
      </c>
      <c r="R175" s="19">
        <f>VLOOKUP(A175,[1]Sheet1!$A$2:$Q$1536,15,FALSE)</f>
        <v>7602.46240234375</v>
      </c>
      <c r="S175" s="27">
        <f t="shared" si="6"/>
        <v>0.5527764795059269</v>
      </c>
      <c r="T175" s="19">
        <f>VLOOKUP(A175,[1]Sheet1!$A$2:$Q$1536,16,FALSE)</f>
        <v>9881.0084250520904</v>
      </c>
      <c r="U175" s="27">
        <f t="shared" si="7"/>
        <v>0.6559055661383999</v>
      </c>
      <c r="V175" s="19">
        <f>VLOOKUP(A175,[1]Sheet1!$A$2:$Q$1536,17,FALSE)</f>
        <v>7710.37646484375</v>
      </c>
      <c r="W175" s="27">
        <f t="shared" si="8"/>
        <v>0.55903579864061792</v>
      </c>
    </row>
    <row r="176" spans="1:23" x14ac:dyDescent="0.3">
      <c r="A176" s="4" t="s">
        <v>1927</v>
      </c>
      <c r="B176" s="5">
        <v>2020</v>
      </c>
      <c r="C176" s="5" t="s">
        <v>1921</v>
      </c>
      <c r="D176" s="15" t="s">
        <v>1926</v>
      </c>
      <c r="E176" s="6">
        <v>39723</v>
      </c>
      <c r="F176" s="5" t="s">
        <v>115</v>
      </c>
      <c r="G176" s="5" t="s">
        <v>16</v>
      </c>
      <c r="H176" s="5" t="s">
        <v>17</v>
      </c>
      <c r="I176" s="5" t="s">
        <v>18</v>
      </c>
      <c r="J176" s="7">
        <v>45636</v>
      </c>
      <c r="K176" s="5" t="s">
        <v>17</v>
      </c>
      <c r="L176" s="8">
        <v>43935</v>
      </c>
      <c r="M176" s="19">
        <v>222</v>
      </c>
      <c r="N176" s="19">
        <v>272</v>
      </c>
      <c r="O176" s="24">
        <v>37100</v>
      </c>
      <c r="P176" s="24">
        <v>21776.470588235301</v>
      </c>
      <c r="Q176" t="s">
        <v>1984</v>
      </c>
      <c r="R176" s="19">
        <f>VLOOKUP(A176,[1]Sheet1!$A$2:$Q$1536,15,FALSE)</f>
        <v>50617.75390625</v>
      </c>
      <c r="S176" s="27">
        <f t="shared" si="6"/>
        <v>0.56978591684317181</v>
      </c>
      <c r="T176" s="19">
        <f>VLOOKUP(A176,[1]Sheet1!$A$2:$Q$1536,16,FALSE)</f>
        <v>17006.842050223881</v>
      </c>
      <c r="U176" s="27">
        <f t="shared" si="7"/>
        <v>-0.28045350947142078</v>
      </c>
      <c r="V176" s="19">
        <f>VLOOKUP(A176,[1]Sheet1!$A$2:$Q$1536,17,FALSE)</f>
        <v>52229.671875</v>
      </c>
      <c r="W176" s="27">
        <f t="shared" si="8"/>
        <v>0.58306323194309173</v>
      </c>
    </row>
    <row r="177" spans="1:23" x14ac:dyDescent="0.3">
      <c r="A177" s="4" t="s">
        <v>124</v>
      </c>
      <c r="B177" s="5">
        <v>2014</v>
      </c>
      <c r="C177" s="5" t="s">
        <v>96</v>
      </c>
      <c r="D177" s="15" t="s">
        <v>117</v>
      </c>
      <c r="E177" s="6">
        <v>110361</v>
      </c>
      <c r="F177" s="5" t="s">
        <v>125</v>
      </c>
      <c r="G177" s="5" t="s">
        <v>25</v>
      </c>
      <c r="H177" s="5" t="s">
        <v>18</v>
      </c>
      <c r="I177" s="5" t="s">
        <v>17</v>
      </c>
      <c r="J177" s="7">
        <v>45449</v>
      </c>
      <c r="K177" s="5" t="s">
        <v>17</v>
      </c>
      <c r="L177" s="8">
        <v>43935</v>
      </c>
      <c r="M177" s="19">
        <v>222</v>
      </c>
      <c r="N177" s="19">
        <v>272</v>
      </c>
      <c r="O177" s="24">
        <v>0</v>
      </c>
      <c r="P177" s="24">
        <v>6000</v>
      </c>
      <c r="Q177" t="s">
        <v>1983</v>
      </c>
      <c r="R177" s="19">
        <f>VLOOKUP(A177,[1]Sheet1!$A$2:$Q$1536,15,FALSE)</f>
        <v>7680.6943359375</v>
      </c>
      <c r="S177" s="27">
        <f t="shared" si="6"/>
        <v>0.21882062511896011</v>
      </c>
      <c r="T177" s="19">
        <f>VLOOKUP(A177,[1]Sheet1!$A$2:$Q$1536,16,FALSE)</f>
        <v>10085.54026365238</v>
      </c>
      <c r="U177" s="27">
        <f t="shared" si="7"/>
        <v>0.40508888535960702</v>
      </c>
      <c r="V177" s="19">
        <f>VLOOKUP(A177,[1]Sheet1!$A$2:$Q$1536,17,FALSE)</f>
        <v>7566.962890625</v>
      </c>
      <c r="W177" s="27">
        <f t="shared" si="8"/>
        <v>0.20707949983029128</v>
      </c>
    </row>
    <row r="178" spans="1:23" x14ac:dyDescent="0.3">
      <c r="A178" s="4" t="s">
        <v>936</v>
      </c>
      <c r="B178" s="5">
        <v>2013</v>
      </c>
      <c r="C178" s="5" t="s">
        <v>932</v>
      </c>
      <c r="D178" s="15">
        <v>500</v>
      </c>
      <c r="E178" s="6">
        <v>83081</v>
      </c>
      <c r="F178" s="5" t="s">
        <v>15</v>
      </c>
      <c r="G178" s="5" t="s">
        <v>22</v>
      </c>
      <c r="H178" s="5" t="s">
        <v>18</v>
      </c>
      <c r="I178" s="5" t="s">
        <v>17</v>
      </c>
      <c r="J178" s="7">
        <v>45580</v>
      </c>
      <c r="K178" s="5" t="s">
        <v>17</v>
      </c>
      <c r="L178" s="8">
        <v>44307</v>
      </c>
      <c r="M178" s="19">
        <v>235</v>
      </c>
      <c r="N178" s="19">
        <v>285</v>
      </c>
      <c r="O178" s="24">
        <v>700</v>
      </c>
      <c r="P178" s="24">
        <v>600</v>
      </c>
      <c r="Q178" t="s">
        <v>1984</v>
      </c>
      <c r="R178" s="19">
        <f>VLOOKUP(A178,[1]Sheet1!$A$2:$Q$1536,15,FALSE)</f>
        <v>4570.97412109375</v>
      </c>
      <c r="S178" s="27">
        <f t="shared" si="6"/>
        <v>0.8687369510076266</v>
      </c>
      <c r="T178" s="19">
        <f>VLOOKUP(A178,[1]Sheet1!$A$2:$Q$1536,16,FALSE)</f>
        <v>9998.8211388338477</v>
      </c>
      <c r="U178" s="27">
        <f t="shared" si="7"/>
        <v>0.93999292599907658</v>
      </c>
      <c r="V178" s="19">
        <f>VLOOKUP(A178,[1]Sheet1!$A$2:$Q$1536,17,FALSE)</f>
        <v>4413.1611328125</v>
      </c>
      <c r="W178" s="27">
        <f t="shared" si="8"/>
        <v>0.86404303356636769</v>
      </c>
    </row>
    <row r="179" spans="1:23" x14ac:dyDescent="0.3">
      <c r="A179" s="4" t="s">
        <v>43</v>
      </c>
      <c r="B179" s="5">
        <v>2017</v>
      </c>
      <c r="C179" s="5" t="s">
        <v>30</v>
      </c>
      <c r="D179" s="15" t="s">
        <v>31</v>
      </c>
      <c r="E179" s="6">
        <v>119483</v>
      </c>
      <c r="F179" s="5" t="s">
        <v>44</v>
      </c>
      <c r="G179" s="5" t="s">
        <v>28</v>
      </c>
      <c r="H179" s="5" t="s">
        <v>17</v>
      </c>
      <c r="I179" s="5" t="s">
        <v>18</v>
      </c>
      <c r="J179" s="7">
        <v>45412</v>
      </c>
      <c r="K179" s="5" t="s">
        <v>17</v>
      </c>
      <c r="L179" s="8">
        <v>44224</v>
      </c>
      <c r="M179" s="19">
        <v>235</v>
      </c>
      <c r="N179" s="19">
        <v>285</v>
      </c>
      <c r="O179" s="24">
        <v>9000</v>
      </c>
      <c r="P179" s="24">
        <v>4000</v>
      </c>
      <c r="Q179" t="s">
        <v>1984</v>
      </c>
      <c r="R179" s="19">
        <f>VLOOKUP(A179,[1]Sheet1!$A$2:$Q$1536,15,FALSE)</f>
        <v>9191.865234375</v>
      </c>
      <c r="S179" s="27">
        <f t="shared" si="6"/>
        <v>0.56483261035626142</v>
      </c>
      <c r="T179" s="19">
        <f>VLOOKUP(A179,[1]Sheet1!$A$2:$Q$1536,16,FALSE)</f>
        <v>9173.1146492167354</v>
      </c>
      <c r="U179" s="27">
        <f t="shared" si="7"/>
        <v>0.56394309316284974</v>
      </c>
      <c r="V179" s="19">
        <f>VLOOKUP(A179,[1]Sheet1!$A$2:$Q$1536,17,FALSE)</f>
        <v>9417.2470703125</v>
      </c>
      <c r="W179" s="27">
        <f t="shared" si="8"/>
        <v>0.57524741889698927</v>
      </c>
    </row>
    <row r="180" spans="1:23" x14ac:dyDescent="0.3">
      <c r="A180" s="4" t="s">
        <v>1209</v>
      </c>
      <c r="B180" s="5">
        <v>2012</v>
      </c>
      <c r="C180" s="5" t="s">
        <v>684</v>
      </c>
      <c r="D180" s="15" t="s">
        <v>1208</v>
      </c>
      <c r="E180" s="6">
        <v>128112</v>
      </c>
      <c r="F180" s="5" t="s">
        <v>79</v>
      </c>
      <c r="G180" s="5" t="s">
        <v>25</v>
      </c>
      <c r="H180" s="5" t="s">
        <v>18</v>
      </c>
      <c r="I180" s="5" t="s">
        <v>17</v>
      </c>
      <c r="J180" s="7">
        <v>45463</v>
      </c>
      <c r="K180" s="5" t="s">
        <v>17</v>
      </c>
      <c r="L180" s="8">
        <v>44113</v>
      </c>
      <c r="M180" s="19">
        <v>264</v>
      </c>
      <c r="N180" s="19">
        <v>314</v>
      </c>
      <c r="O180" s="24">
        <v>0</v>
      </c>
      <c r="P180" s="24">
        <v>500</v>
      </c>
      <c r="Q180" t="s">
        <v>1983</v>
      </c>
      <c r="R180" s="19">
        <f>VLOOKUP(A180,[1]Sheet1!$A$2:$Q$1536,15,FALSE)</f>
        <v>694.9273681640625</v>
      </c>
      <c r="S180" s="27">
        <f t="shared" si="6"/>
        <v>0.2805003473658601</v>
      </c>
      <c r="T180" s="19">
        <f>VLOOKUP(A180,[1]Sheet1!$A$2:$Q$1536,16,FALSE)</f>
        <v>8810.3289746750197</v>
      </c>
      <c r="U180" s="27">
        <f t="shared" si="7"/>
        <v>0.94324843017358007</v>
      </c>
      <c r="V180" s="19">
        <f>VLOOKUP(A180,[1]Sheet1!$A$2:$Q$1536,17,FALSE)</f>
        <v>932.59674072265625</v>
      </c>
      <c r="W180" s="27">
        <f t="shared" si="8"/>
        <v>0.46386259122827628</v>
      </c>
    </row>
    <row r="181" spans="1:23" x14ac:dyDescent="0.3">
      <c r="A181" s="4" t="s">
        <v>867</v>
      </c>
      <c r="B181" s="5">
        <v>2018</v>
      </c>
      <c r="C181" s="5" t="s">
        <v>391</v>
      </c>
      <c r="D181" s="15" t="s">
        <v>582</v>
      </c>
      <c r="E181" s="6">
        <v>77574</v>
      </c>
      <c r="F181" s="5" t="s">
        <v>24</v>
      </c>
      <c r="G181" s="5" t="s">
        <v>28</v>
      </c>
      <c r="H181" s="5" t="s">
        <v>17</v>
      </c>
      <c r="I181" s="5" t="s">
        <v>18</v>
      </c>
      <c r="J181" s="7">
        <v>45426</v>
      </c>
      <c r="K181" s="5" t="s">
        <v>17</v>
      </c>
      <c r="L181" s="8">
        <v>44224</v>
      </c>
      <c r="M181" s="19">
        <v>235</v>
      </c>
      <c r="N181" s="19">
        <v>285</v>
      </c>
      <c r="O181" s="24">
        <v>10700</v>
      </c>
      <c r="P181" s="24">
        <v>9400</v>
      </c>
      <c r="Q181" t="s">
        <v>1984</v>
      </c>
      <c r="R181" s="19">
        <f>VLOOKUP(A181,[1]Sheet1!$A$2:$Q$1536,15,FALSE)</f>
        <v>6209.56787109375</v>
      </c>
      <c r="S181" s="27">
        <f t="shared" si="6"/>
        <v>-0.51379293940212445</v>
      </c>
      <c r="T181" s="19">
        <f>VLOOKUP(A181,[1]Sheet1!$A$2:$Q$1536,16,FALSE)</f>
        <v>9734.8277107955164</v>
      </c>
      <c r="U181" s="27">
        <f t="shared" si="7"/>
        <v>3.4394826569370762E-2</v>
      </c>
      <c r="V181" s="19">
        <f>VLOOKUP(A181,[1]Sheet1!$A$2:$Q$1536,17,FALSE)</f>
        <v>6192.2958984375</v>
      </c>
      <c r="W181" s="27">
        <f t="shared" si="8"/>
        <v>-0.51801531357245034</v>
      </c>
    </row>
    <row r="182" spans="1:23" x14ac:dyDescent="0.3">
      <c r="A182" s="4" t="s">
        <v>1234</v>
      </c>
      <c r="B182" s="5">
        <v>2019</v>
      </c>
      <c r="C182" s="5" t="s">
        <v>1228</v>
      </c>
      <c r="D182" s="15" t="s">
        <v>1232</v>
      </c>
      <c r="E182" s="6">
        <v>37562</v>
      </c>
      <c r="F182" s="5" t="s">
        <v>64</v>
      </c>
      <c r="G182" s="5" t="s">
        <v>28</v>
      </c>
      <c r="H182" s="5" t="s">
        <v>17</v>
      </c>
      <c r="I182" s="5" t="s">
        <v>18</v>
      </c>
      <c r="J182" s="7">
        <v>45678</v>
      </c>
      <c r="K182" s="5" t="s">
        <v>17</v>
      </c>
      <c r="L182" s="8">
        <v>44067</v>
      </c>
      <c r="M182" s="19">
        <v>235</v>
      </c>
      <c r="N182" s="19">
        <v>285</v>
      </c>
      <c r="O182" s="24">
        <v>17500</v>
      </c>
      <c r="P182" s="24">
        <v>15400</v>
      </c>
      <c r="Q182" t="s">
        <v>1984</v>
      </c>
      <c r="R182" s="19">
        <f>VLOOKUP(A182,[1]Sheet1!$A$2:$Q$1536,15,FALSE)</f>
        <v>16146.1025390625</v>
      </c>
      <c r="S182" s="27">
        <f t="shared" si="6"/>
        <v>4.6209451306124395E-2</v>
      </c>
      <c r="T182" s="19">
        <f>VLOOKUP(A182,[1]Sheet1!$A$2:$Q$1536,16,FALSE)</f>
        <v>11692.97070315002</v>
      </c>
      <c r="U182" s="27">
        <f t="shared" si="7"/>
        <v>-0.31703058110385302</v>
      </c>
      <c r="V182" s="19">
        <f>VLOOKUP(A182,[1]Sheet1!$A$2:$Q$1536,17,FALSE)</f>
        <v>15963.310546875</v>
      </c>
      <c r="W182" s="27">
        <f t="shared" si="8"/>
        <v>3.5287827372704618E-2</v>
      </c>
    </row>
    <row r="183" spans="1:23" x14ac:dyDescent="0.3">
      <c r="A183" s="4" t="s">
        <v>662</v>
      </c>
      <c r="B183" s="5">
        <v>2015</v>
      </c>
      <c r="C183" s="5" t="s">
        <v>636</v>
      </c>
      <c r="D183" s="15" t="s">
        <v>641</v>
      </c>
      <c r="E183" s="6">
        <v>114480</v>
      </c>
      <c r="F183" s="5" t="s">
        <v>44</v>
      </c>
      <c r="G183" s="5" t="s">
        <v>33</v>
      </c>
      <c r="H183" s="5" t="s">
        <v>17</v>
      </c>
      <c r="I183" s="5" t="s">
        <v>18</v>
      </c>
      <c r="J183" s="7">
        <v>45645</v>
      </c>
      <c r="K183" s="5" t="s">
        <v>17</v>
      </c>
      <c r="L183" s="8">
        <v>44113</v>
      </c>
      <c r="M183" s="19">
        <v>264</v>
      </c>
      <c r="N183" s="19">
        <v>314</v>
      </c>
      <c r="O183" s="24">
        <v>0</v>
      </c>
      <c r="P183" s="24">
        <v>3500</v>
      </c>
      <c r="Q183" t="s">
        <v>1983</v>
      </c>
      <c r="R183" s="19">
        <f>VLOOKUP(A183,[1]Sheet1!$A$2:$Q$1536,15,FALSE)</f>
        <v>4370.73974609375</v>
      </c>
      <c r="S183" s="27">
        <f t="shared" si="6"/>
        <v>0.19922022281741986</v>
      </c>
      <c r="T183" s="19">
        <f>VLOOKUP(A183,[1]Sheet1!$A$2:$Q$1536,16,FALSE)</f>
        <v>8888.0032658938781</v>
      </c>
      <c r="U183" s="27">
        <f t="shared" si="7"/>
        <v>0.60621076575988408</v>
      </c>
      <c r="V183" s="19">
        <f>VLOOKUP(A183,[1]Sheet1!$A$2:$Q$1536,17,FALSE)</f>
        <v>4365.63232421875</v>
      </c>
      <c r="W183" s="27">
        <f t="shared" si="8"/>
        <v>0.19828337796945805</v>
      </c>
    </row>
    <row r="184" spans="1:23" x14ac:dyDescent="0.3">
      <c r="A184" s="4" t="s">
        <v>1404</v>
      </c>
      <c r="B184" s="5">
        <v>2013</v>
      </c>
      <c r="C184" s="5" t="s">
        <v>1401</v>
      </c>
      <c r="D184" s="15" t="s">
        <v>1405</v>
      </c>
      <c r="E184" s="6">
        <v>73623</v>
      </c>
      <c r="F184" s="5" t="s">
        <v>81</v>
      </c>
      <c r="G184" s="5" t="s">
        <v>28</v>
      </c>
      <c r="H184" s="5" t="s">
        <v>17</v>
      </c>
      <c r="I184" s="5" t="s">
        <v>18</v>
      </c>
      <c r="J184" s="7">
        <v>45538</v>
      </c>
      <c r="K184" s="5" t="s">
        <v>17</v>
      </c>
      <c r="L184" s="8">
        <v>44028</v>
      </c>
      <c r="M184" s="19">
        <v>235</v>
      </c>
      <c r="N184" s="19">
        <v>285</v>
      </c>
      <c r="O184" s="24">
        <v>6700</v>
      </c>
      <c r="P184" s="24">
        <v>5300</v>
      </c>
      <c r="Q184" t="s">
        <v>1984</v>
      </c>
      <c r="R184" s="19">
        <f>VLOOKUP(A184,[1]Sheet1!$A$2:$Q$1536,15,FALSE)</f>
        <v>3982.284423828125</v>
      </c>
      <c r="S184" s="27">
        <f t="shared" si="6"/>
        <v>-0.33089439023674</v>
      </c>
      <c r="T184" s="19">
        <f>VLOOKUP(A184,[1]Sheet1!$A$2:$Q$1536,16,FALSE)</f>
        <v>9700.6619855805184</v>
      </c>
      <c r="U184" s="27">
        <f t="shared" si="7"/>
        <v>0.45364553389468182</v>
      </c>
      <c r="V184" s="19">
        <f>VLOOKUP(A184,[1]Sheet1!$A$2:$Q$1536,17,FALSE)</f>
        <v>4058.1806640625</v>
      </c>
      <c r="W184" s="27">
        <f t="shared" si="8"/>
        <v>-0.30600395564803634</v>
      </c>
    </row>
    <row r="185" spans="1:23" x14ac:dyDescent="0.3">
      <c r="A185" s="4" t="s">
        <v>849</v>
      </c>
      <c r="B185" s="5">
        <v>2014</v>
      </c>
      <c r="C185" s="5" t="s">
        <v>391</v>
      </c>
      <c r="D185" s="15" t="s">
        <v>580</v>
      </c>
      <c r="E185" s="6">
        <v>150703</v>
      </c>
      <c r="F185" s="5" t="s">
        <v>87</v>
      </c>
      <c r="G185" s="5" t="s">
        <v>25</v>
      </c>
      <c r="H185" s="5" t="s">
        <v>18</v>
      </c>
      <c r="I185" s="5" t="s">
        <v>17</v>
      </c>
      <c r="J185" s="7">
        <v>45309</v>
      </c>
      <c r="K185" s="5" t="s">
        <v>17</v>
      </c>
      <c r="L185" s="8">
        <v>44905</v>
      </c>
      <c r="M185" s="19">
        <v>128</v>
      </c>
      <c r="N185" s="19">
        <v>158</v>
      </c>
      <c r="O185" s="24">
        <v>0</v>
      </c>
      <c r="P185" s="24">
        <v>3600</v>
      </c>
      <c r="Q185" t="s">
        <v>1983</v>
      </c>
      <c r="R185" s="19">
        <f>VLOOKUP(A185,[1]Sheet1!$A$2:$Q$1536,15,FALSE)</f>
        <v>2128.736328125</v>
      </c>
      <c r="S185" s="27">
        <f t="shared" si="6"/>
        <v>-0.69114415554269015</v>
      </c>
      <c r="T185" s="19">
        <f>VLOOKUP(A185,[1]Sheet1!$A$2:$Q$1536,16,FALSE)</f>
        <v>9295.8318657860473</v>
      </c>
      <c r="U185" s="27">
        <f t="shared" si="7"/>
        <v>0.61272965647646349</v>
      </c>
      <c r="V185" s="19">
        <f>VLOOKUP(A185,[1]Sheet1!$A$2:$Q$1536,17,FALSE)</f>
        <v>2082.649169921875</v>
      </c>
      <c r="W185" s="27">
        <f t="shared" si="8"/>
        <v>-0.72856765891830177</v>
      </c>
    </row>
    <row r="186" spans="1:23" x14ac:dyDescent="0.3">
      <c r="A186" s="4" t="s">
        <v>270</v>
      </c>
      <c r="B186" s="5">
        <v>2015</v>
      </c>
      <c r="C186" s="5" t="s">
        <v>237</v>
      </c>
      <c r="D186" s="15" t="s">
        <v>250</v>
      </c>
      <c r="E186" s="6">
        <v>91397</v>
      </c>
      <c r="F186" s="5" t="s">
        <v>81</v>
      </c>
      <c r="G186" s="5" t="s">
        <v>33</v>
      </c>
      <c r="H186" s="5" t="s">
        <v>17</v>
      </c>
      <c r="I186" s="5" t="s">
        <v>18</v>
      </c>
      <c r="J186" s="7">
        <v>45664</v>
      </c>
      <c r="K186" s="5" t="s">
        <v>17</v>
      </c>
      <c r="L186" s="8">
        <v>44113</v>
      </c>
      <c r="M186" s="19">
        <v>264</v>
      </c>
      <c r="N186" s="19">
        <v>314</v>
      </c>
      <c r="O186" s="24">
        <v>3100</v>
      </c>
      <c r="P186" s="24">
        <v>2300</v>
      </c>
      <c r="Q186" t="s">
        <v>1984</v>
      </c>
      <c r="R186" s="19">
        <f>VLOOKUP(A186,[1]Sheet1!$A$2:$Q$1536,15,FALSE)</f>
        <v>3697.223388671875</v>
      </c>
      <c r="S186" s="27">
        <f t="shared" si="6"/>
        <v>0.37791154111837122</v>
      </c>
      <c r="T186" s="19">
        <f>VLOOKUP(A186,[1]Sheet1!$A$2:$Q$1536,16,FALSE)</f>
        <v>9412.6492761794416</v>
      </c>
      <c r="U186" s="27">
        <f t="shared" si="7"/>
        <v>0.75564796557111691</v>
      </c>
      <c r="V186" s="19">
        <f>VLOOKUP(A186,[1]Sheet1!$A$2:$Q$1536,17,FALSE)</f>
        <v>3718.7939453125</v>
      </c>
      <c r="W186" s="27">
        <f t="shared" si="8"/>
        <v>0.38151991376152328</v>
      </c>
    </row>
    <row r="187" spans="1:23" x14ac:dyDescent="0.3">
      <c r="A187" s="4" t="s">
        <v>1048</v>
      </c>
      <c r="B187" s="5">
        <v>2018</v>
      </c>
      <c r="C187" s="5" t="s">
        <v>391</v>
      </c>
      <c r="D187" s="15" t="s">
        <v>582</v>
      </c>
      <c r="E187" s="6">
        <v>65947</v>
      </c>
      <c r="F187" s="5" t="s">
        <v>81</v>
      </c>
      <c r="G187" s="5" t="s">
        <v>33</v>
      </c>
      <c r="H187" s="5" t="s">
        <v>17</v>
      </c>
      <c r="I187" s="5" t="s">
        <v>18</v>
      </c>
      <c r="J187" s="7">
        <v>45356</v>
      </c>
      <c r="K187" s="5" t="s">
        <v>17</v>
      </c>
      <c r="L187" s="8">
        <v>44905</v>
      </c>
      <c r="M187" s="19">
        <v>128</v>
      </c>
      <c r="N187" s="19">
        <v>158</v>
      </c>
      <c r="O187" s="24">
        <v>12000</v>
      </c>
      <c r="P187" s="24">
        <v>6600</v>
      </c>
      <c r="Q187" t="s">
        <v>1984</v>
      </c>
      <c r="R187" s="19">
        <f>VLOOKUP(A187,[1]Sheet1!$A$2:$Q$1536,15,FALSE)</f>
        <v>6636.2080078125</v>
      </c>
      <c r="S187" s="27">
        <f t="shared" si="6"/>
        <v>5.4561291282422117E-3</v>
      </c>
      <c r="T187" s="19">
        <f>VLOOKUP(A187,[1]Sheet1!$A$2:$Q$1536,16,FALSE)</f>
        <v>10920.680713582469</v>
      </c>
      <c r="U187" s="27">
        <f t="shared" si="7"/>
        <v>0.39564206910734723</v>
      </c>
      <c r="V187" s="19">
        <f>VLOOKUP(A187,[1]Sheet1!$A$2:$Q$1536,17,FALSE)</f>
        <v>6409.05224609375</v>
      </c>
      <c r="W187" s="27">
        <f t="shared" si="8"/>
        <v>-2.9793446296623755E-2</v>
      </c>
    </row>
    <row r="188" spans="1:23" x14ac:dyDescent="0.3">
      <c r="A188" s="4" t="s">
        <v>1733</v>
      </c>
      <c r="B188" s="5">
        <v>2016</v>
      </c>
      <c r="C188" s="5" t="s">
        <v>1086</v>
      </c>
      <c r="D188" s="15" t="s">
        <v>1087</v>
      </c>
      <c r="E188" s="6">
        <v>84871</v>
      </c>
      <c r="F188" s="5" t="s">
        <v>115</v>
      </c>
      <c r="G188" s="5" t="s">
        <v>16</v>
      </c>
      <c r="H188" s="5" t="s">
        <v>17</v>
      </c>
      <c r="I188" s="5" t="s">
        <v>18</v>
      </c>
      <c r="J188" s="7">
        <v>45407</v>
      </c>
      <c r="K188" s="5" t="s">
        <v>17</v>
      </c>
      <c r="L188" s="8">
        <v>44113</v>
      </c>
      <c r="M188" s="19">
        <v>264</v>
      </c>
      <c r="N188" s="19">
        <v>314</v>
      </c>
      <c r="O188" s="24">
        <v>6500</v>
      </c>
      <c r="P188" s="24">
        <v>2800</v>
      </c>
      <c r="Q188" t="s">
        <v>1984</v>
      </c>
      <c r="R188" s="19">
        <f>VLOOKUP(A188,[1]Sheet1!$A$2:$Q$1536,15,FALSE)</f>
        <v>8069.71923828125</v>
      </c>
      <c r="S188" s="27">
        <f t="shared" si="6"/>
        <v>0.65302386398806544</v>
      </c>
      <c r="T188" s="19">
        <f>VLOOKUP(A188,[1]Sheet1!$A$2:$Q$1536,16,FALSE)</f>
        <v>9733.4862453154128</v>
      </c>
      <c r="U188" s="27">
        <f t="shared" si="7"/>
        <v>0.71233328640623494</v>
      </c>
      <c r="V188" s="19">
        <f>VLOOKUP(A188,[1]Sheet1!$A$2:$Q$1536,17,FALSE)</f>
        <v>8182.09619140625</v>
      </c>
      <c r="W188" s="27">
        <f t="shared" si="8"/>
        <v>0.65778940573433098</v>
      </c>
    </row>
    <row r="189" spans="1:23" x14ac:dyDescent="0.3">
      <c r="A189" s="4" t="s">
        <v>720</v>
      </c>
      <c r="B189" s="5">
        <v>2012</v>
      </c>
      <c r="C189" s="5" t="s">
        <v>46</v>
      </c>
      <c r="D189" s="15">
        <v>300</v>
      </c>
      <c r="E189" s="6">
        <v>155376</v>
      </c>
      <c r="F189" s="5" t="s">
        <v>27</v>
      </c>
      <c r="G189" s="5" t="s">
        <v>28</v>
      </c>
      <c r="H189" s="5" t="s">
        <v>17</v>
      </c>
      <c r="I189" s="5" t="s">
        <v>18</v>
      </c>
      <c r="J189" s="7">
        <v>45594</v>
      </c>
      <c r="K189" s="5" t="s">
        <v>17</v>
      </c>
      <c r="L189" s="8">
        <v>44067</v>
      </c>
      <c r="M189" s="19">
        <v>235</v>
      </c>
      <c r="N189" s="19">
        <v>285</v>
      </c>
      <c r="O189" s="24">
        <v>3750</v>
      </c>
      <c r="P189" s="24">
        <v>500</v>
      </c>
      <c r="Q189" t="s">
        <v>1984</v>
      </c>
      <c r="R189" s="19">
        <f>VLOOKUP(A189,[1]Sheet1!$A$2:$Q$1536,15,FALSE)</f>
        <v>540.25604248046875</v>
      </c>
      <c r="S189" s="27">
        <f t="shared" si="6"/>
        <v>7.4512896321606764E-2</v>
      </c>
      <c r="T189" s="19">
        <f>VLOOKUP(A189,[1]Sheet1!$A$2:$Q$1536,16,FALSE)</f>
        <v>8785.0048706129637</v>
      </c>
      <c r="U189" s="27">
        <f t="shared" si="7"/>
        <v>0.9430848351976937</v>
      </c>
      <c r="V189" s="19">
        <f>VLOOKUP(A189,[1]Sheet1!$A$2:$Q$1536,17,FALSE)</f>
        <v>815.262451171875</v>
      </c>
      <c r="W189" s="27">
        <f t="shared" si="8"/>
        <v>0.38670056583460977</v>
      </c>
    </row>
    <row r="190" spans="1:23" x14ac:dyDescent="0.3">
      <c r="A190" s="4" t="s">
        <v>780</v>
      </c>
      <c r="B190" s="5">
        <v>2018</v>
      </c>
      <c r="C190" s="5" t="s">
        <v>237</v>
      </c>
      <c r="D190" s="15" t="s">
        <v>766</v>
      </c>
      <c r="E190" s="6">
        <v>133346</v>
      </c>
      <c r="F190" s="5" t="s">
        <v>92</v>
      </c>
      <c r="G190" s="5" t="s">
        <v>28</v>
      </c>
      <c r="H190" s="5" t="s">
        <v>17</v>
      </c>
      <c r="I190" s="5" t="s">
        <v>18</v>
      </c>
      <c r="J190" s="7">
        <v>45645</v>
      </c>
      <c r="K190" s="5" t="s">
        <v>17</v>
      </c>
      <c r="L190" s="8">
        <v>44451</v>
      </c>
      <c r="M190" s="19">
        <v>264</v>
      </c>
      <c r="N190" s="19">
        <v>314</v>
      </c>
      <c r="O190" s="24">
        <v>0</v>
      </c>
      <c r="P190" s="24">
        <v>10700</v>
      </c>
      <c r="Q190" t="s">
        <v>1983</v>
      </c>
      <c r="R190" s="19">
        <f>VLOOKUP(A190,[1]Sheet1!$A$2:$Q$1536,15,FALSE)</f>
        <v>7890.71142578125</v>
      </c>
      <c r="S190" s="27">
        <f t="shared" si="6"/>
        <v>-0.35602475146157125</v>
      </c>
      <c r="T190" s="19">
        <f>VLOOKUP(A190,[1]Sheet1!$A$2:$Q$1536,16,FALSE)</f>
        <v>10110.30526507749</v>
      </c>
      <c r="U190" s="27">
        <f t="shared" si="7"/>
        <v>-5.8326105835736157E-2</v>
      </c>
      <c r="V190" s="19">
        <f>VLOOKUP(A190,[1]Sheet1!$A$2:$Q$1536,17,FALSE)</f>
        <v>7827.77783203125</v>
      </c>
      <c r="W190" s="27">
        <f t="shared" si="8"/>
        <v>-0.36692688903556042</v>
      </c>
    </row>
    <row r="191" spans="1:23" x14ac:dyDescent="0.3">
      <c r="A191" s="4" t="s">
        <v>183</v>
      </c>
      <c r="B191" s="5">
        <v>2016</v>
      </c>
      <c r="C191" s="5" t="s">
        <v>96</v>
      </c>
      <c r="D191" s="15" t="s">
        <v>154</v>
      </c>
      <c r="E191" s="6">
        <v>69637</v>
      </c>
      <c r="F191" s="5" t="s">
        <v>184</v>
      </c>
      <c r="G191" s="5" t="s">
        <v>33</v>
      </c>
      <c r="H191" s="5" t="s">
        <v>17</v>
      </c>
      <c r="I191" s="5" t="s">
        <v>18</v>
      </c>
      <c r="J191" s="7">
        <v>45482</v>
      </c>
      <c r="K191" s="5" t="s">
        <v>17</v>
      </c>
      <c r="L191" s="8">
        <v>44307</v>
      </c>
      <c r="M191" s="19">
        <v>235</v>
      </c>
      <c r="N191" s="19">
        <v>285</v>
      </c>
      <c r="O191" s="24">
        <v>10000</v>
      </c>
      <c r="P191" s="24">
        <v>6800</v>
      </c>
      <c r="Q191" t="s">
        <v>1984</v>
      </c>
      <c r="R191" s="19">
        <f>VLOOKUP(A191,[1]Sheet1!$A$2:$Q$1536,15,FALSE)</f>
        <v>11115.2177734375</v>
      </c>
      <c r="S191" s="27">
        <f t="shared" si="6"/>
        <v>0.38822611139025598</v>
      </c>
      <c r="T191" s="19">
        <f>VLOOKUP(A191,[1]Sheet1!$A$2:$Q$1536,16,FALSE)</f>
        <v>10640.601006201359</v>
      </c>
      <c r="U191" s="27">
        <f t="shared" si="7"/>
        <v>0.36093835338464914</v>
      </c>
      <c r="V191" s="19">
        <f>VLOOKUP(A191,[1]Sheet1!$A$2:$Q$1536,17,FALSE)</f>
        <v>11127.865234375</v>
      </c>
      <c r="W191" s="27">
        <f t="shared" si="8"/>
        <v>0.38892142771515831</v>
      </c>
    </row>
    <row r="192" spans="1:23" x14ac:dyDescent="0.3">
      <c r="A192" s="4" t="s">
        <v>1882</v>
      </c>
      <c r="B192" s="5">
        <v>2009</v>
      </c>
      <c r="C192" s="5" t="s">
        <v>1223</v>
      </c>
      <c r="D192" s="15" t="s">
        <v>1883</v>
      </c>
      <c r="E192" s="6">
        <v>75239</v>
      </c>
      <c r="F192" s="5" t="s">
        <v>79</v>
      </c>
      <c r="G192" s="5" t="s">
        <v>25</v>
      </c>
      <c r="H192" s="5" t="s">
        <v>18</v>
      </c>
      <c r="I192" s="5" t="s">
        <v>17</v>
      </c>
      <c r="J192" s="7">
        <v>45552</v>
      </c>
      <c r="K192" s="5" t="s">
        <v>17</v>
      </c>
      <c r="L192" s="8">
        <v>44310</v>
      </c>
      <c r="M192" s="19">
        <v>235</v>
      </c>
      <c r="N192" s="19">
        <v>285</v>
      </c>
      <c r="O192" s="24">
        <v>0</v>
      </c>
      <c r="P192" s="24">
        <v>15066.666666666701</v>
      </c>
      <c r="Q192" t="s">
        <v>1983</v>
      </c>
      <c r="R192" s="19">
        <f>VLOOKUP(A192,[1]Sheet1!$A$2:$Q$1536,15,FALSE)</f>
        <v>4550.8935546875</v>
      </c>
      <c r="S192" s="27">
        <f t="shared" si="6"/>
        <v>-2.3107051363897031</v>
      </c>
      <c r="T192" s="19">
        <f>VLOOKUP(A192,[1]Sheet1!$A$2:$Q$1536,16,FALSE)</f>
        <v>9894.9891497831559</v>
      </c>
      <c r="U192" s="27">
        <f t="shared" si="7"/>
        <v>-0.52265620897592191</v>
      </c>
      <c r="V192" s="19">
        <f>VLOOKUP(A192,[1]Sheet1!$A$2:$Q$1536,17,FALSE)</f>
        <v>4511.9150390625</v>
      </c>
      <c r="W192" s="27">
        <f t="shared" si="8"/>
        <v>-2.3393063779404191</v>
      </c>
    </row>
    <row r="193" spans="1:23" x14ac:dyDescent="0.3">
      <c r="A193" s="4" t="s">
        <v>195</v>
      </c>
      <c r="B193" s="5">
        <v>2015</v>
      </c>
      <c r="C193" s="5" t="s">
        <v>96</v>
      </c>
      <c r="D193" s="15" t="s">
        <v>154</v>
      </c>
      <c r="E193" s="6">
        <v>109522</v>
      </c>
      <c r="F193" s="5" t="s">
        <v>64</v>
      </c>
      <c r="G193" s="5" t="s">
        <v>28</v>
      </c>
      <c r="H193" s="5" t="s">
        <v>17</v>
      </c>
      <c r="I193" s="5" t="s">
        <v>18</v>
      </c>
      <c r="J193" s="7">
        <v>45664</v>
      </c>
      <c r="K193" s="5" t="s">
        <v>17</v>
      </c>
      <c r="L193" s="8">
        <v>44827</v>
      </c>
      <c r="M193" s="19">
        <v>128</v>
      </c>
      <c r="N193" s="19">
        <v>158</v>
      </c>
      <c r="O193" s="24">
        <v>7800</v>
      </c>
      <c r="P193" s="24">
        <v>5300</v>
      </c>
      <c r="Q193" t="s">
        <v>1984</v>
      </c>
      <c r="R193" s="19">
        <f>VLOOKUP(A193,[1]Sheet1!$A$2:$Q$1536,15,FALSE)</f>
        <v>6222.640625</v>
      </c>
      <c r="S193" s="27">
        <f t="shared" si="6"/>
        <v>0.14827155874842121</v>
      </c>
      <c r="T193" s="19">
        <f>VLOOKUP(A193,[1]Sheet1!$A$2:$Q$1536,16,FALSE)</f>
        <v>9216.579455101135</v>
      </c>
      <c r="U193" s="27">
        <f t="shared" si="7"/>
        <v>0.42494935069793283</v>
      </c>
      <c r="V193" s="19">
        <f>VLOOKUP(A193,[1]Sheet1!$A$2:$Q$1536,17,FALSE)</f>
        <v>6160.89794921875</v>
      </c>
      <c r="W193" s="27">
        <f t="shared" si="8"/>
        <v>0.13973579116464971</v>
      </c>
    </row>
    <row r="194" spans="1:23" x14ac:dyDescent="0.3">
      <c r="A194" s="4" t="s">
        <v>1660</v>
      </c>
      <c r="B194" s="5">
        <v>2016</v>
      </c>
      <c r="C194" s="5" t="s">
        <v>1089</v>
      </c>
      <c r="D194" s="15" t="s">
        <v>1659</v>
      </c>
      <c r="E194" s="6">
        <v>105302</v>
      </c>
      <c r="F194" s="5" t="s">
        <v>47</v>
      </c>
      <c r="G194" s="5" t="s">
        <v>16</v>
      </c>
      <c r="H194" s="5" t="s">
        <v>17</v>
      </c>
      <c r="I194" s="5" t="s">
        <v>18</v>
      </c>
      <c r="J194" s="7">
        <v>45510</v>
      </c>
      <c r="K194" s="5" t="s">
        <v>17</v>
      </c>
      <c r="L194" s="8">
        <v>44113</v>
      </c>
      <c r="M194" s="19">
        <v>264</v>
      </c>
      <c r="N194" s="19">
        <v>314</v>
      </c>
      <c r="O194" s="24">
        <v>7500</v>
      </c>
      <c r="P194" s="24">
        <v>3700</v>
      </c>
      <c r="Q194" t="s">
        <v>1984</v>
      </c>
      <c r="R194" s="19">
        <f>VLOOKUP(A194,[1]Sheet1!$A$2:$Q$1536,15,FALSE)</f>
        <v>5339.0693359375</v>
      </c>
      <c r="S194" s="27">
        <f t="shared" si="6"/>
        <v>0.30699532686433861</v>
      </c>
      <c r="T194" s="19">
        <f>VLOOKUP(A194,[1]Sheet1!$A$2:$Q$1536,16,FALSE)</f>
        <v>9559.1315027868532</v>
      </c>
      <c r="U194" s="27">
        <f t="shared" si="7"/>
        <v>0.61293554765709535</v>
      </c>
      <c r="V194" s="19">
        <f>VLOOKUP(A194,[1]Sheet1!$A$2:$Q$1536,17,FALSE)</f>
        <v>5424.1708984375</v>
      </c>
      <c r="W194" s="27">
        <f t="shared" si="8"/>
        <v>0.31786810016147699</v>
      </c>
    </row>
    <row r="195" spans="1:23" x14ac:dyDescent="0.3">
      <c r="A195" s="4" t="s">
        <v>1239</v>
      </c>
      <c r="B195" s="5">
        <v>2018</v>
      </c>
      <c r="C195" s="5" t="s">
        <v>920</v>
      </c>
      <c r="D195" s="15" t="s">
        <v>1238</v>
      </c>
      <c r="E195" s="6">
        <v>114559</v>
      </c>
      <c r="F195" s="5" t="s">
        <v>40</v>
      </c>
      <c r="G195" s="5" t="s">
        <v>33</v>
      </c>
      <c r="H195" s="5" t="s">
        <v>17</v>
      </c>
      <c r="I195" s="5" t="s">
        <v>18</v>
      </c>
      <c r="J195" s="7">
        <v>45715</v>
      </c>
      <c r="K195" s="5" t="s">
        <v>17</v>
      </c>
      <c r="L195" s="8">
        <v>44307</v>
      </c>
      <c r="M195" s="19">
        <v>235</v>
      </c>
      <c r="N195" s="19">
        <v>285</v>
      </c>
      <c r="O195" s="24">
        <v>0</v>
      </c>
      <c r="P195" s="24">
        <v>13600</v>
      </c>
      <c r="Q195" t="s">
        <v>1983</v>
      </c>
      <c r="R195" s="19">
        <f>VLOOKUP(A195,[1]Sheet1!$A$2:$Q$1536,15,FALSE)</f>
        <v>6335.3203125</v>
      </c>
      <c r="S195" s="27">
        <f t="shared" ref="S195:S258" si="9">(R195-$P195)/R195</f>
        <v>-1.1466949308255674</v>
      </c>
      <c r="T195" s="19">
        <f>VLOOKUP(A195,[1]Sheet1!$A$2:$Q$1536,16,FALSE)</f>
        <v>9574.1271269589506</v>
      </c>
      <c r="U195" s="27">
        <f t="shared" ref="U195:U258" si="10">(T195-$P195)/T195</f>
        <v>-0.42049502995473548</v>
      </c>
      <c r="V195" s="19">
        <f>VLOOKUP(A195,[1]Sheet1!$A$2:$Q$1536,17,FALSE)</f>
        <v>6303.5380859375</v>
      </c>
      <c r="W195" s="27">
        <f t="shared" ref="W195:W258" si="11">(V195-$P195)/V195</f>
        <v>-1.1575184943103785</v>
      </c>
    </row>
    <row r="196" spans="1:23" x14ac:dyDescent="0.3">
      <c r="A196" s="4" t="s">
        <v>1058</v>
      </c>
      <c r="B196" s="5">
        <v>2016</v>
      </c>
      <c r="C196" s="5" t="s">
        <v>391</v>
      </c>
      <c r="D196" s="15" t="s">
        <v>1056</v>
      </c>
      <c r="E196" s="6">
        <v>68665</v>
      </c>
      <c r="F196" s="5" t="s">
        <v>164</v>
      </c>
      <c r="G196" s="5" t="s">
        <v>28</v>
      </c>
      <c r="H196" s="5" t="s">
        <v>17</v>
      </c>
      <c r="I196" s="5" t="s">
        <v>18</v>
      </c>
      <c r="J196" s="7">
        <v>45594</v>
      </c>
      <c r="K196" s="5" t="s">
        <v>17</v>
      </c>
      <c r="L196" s="8">
        <v>44128</v>
      </c>
      <c r="M196" s="19">
        <v>264</v>
      </c>
      <c r="N196" s="19">
        <v>314</v>
      </c>
      <c r="O196" s="24">
        <v>6000</v>
      </c>
      <c r="P196" s="24">
        <v>1000</v>
      </c>
      <c r="Q196" t="s">
        <v>1984</v>
      </c>
      <c r="R196" s="19">
        <f>VLOOKUP(A196,[1]Sheet1!$A$2:$Q$1536,15,FALSE)</f>
        <v>8489.6552734375</v>
      </c>
      <c r="S196" s="27">
        <f t="shared" si="9"/>
        <v>0.88220958710434239</v>
      </c>
      <c r="T196" s="19">
        <f>VLOOKUP(A196,[1]Sheet1!$A$2:$Q$1536,16,FALSE)</f>
        <v>9910.5215613251585</v>
      </c>
      <c r="U196" s="27">
        <f t="shared" si="10"/>
        <v>0.89909713693551685</v>
      </c>
      <c r="V196" s="19">
        <f>VLOOKUP(A196,[1]Sheet1!$A$2:$Q$1536,17,FALSE)</f>
        <v>8503.9990234375</v>
      </c>
      <c r="W196" s="27">
        <f t="shared" si="11"/>
        <v>0.88240826495347147</v>
      </c>
    </row>
    <row r="197" spans="1:23" x14ac:dyDescent="0.3">
      <c r="A197" s="4" t="s">
        <v>861</v>
      </c>
      <c r="B197" s="5">
        <v>2017</v>
      </c>
      <c r="C197" s="5" t="s">
        <v>391</v>
      </c>
      <c r="D197" s="15" t="s">
        <v>580</v>
      </c>
      <c r="E197" s="6">
        <v>157068</v>
      </c>
      <c r="F197" s="5" t="s">
        <v>79</v>
      </c>
      <c r="G197" s="5" t="s">
        <v>22</v>
      </c>
      <c r="H197" s="5" t="s">
        <v>18</v>
      </c>
      <c r="I197" s="5" t="s">
        <v>17</v>
      </c>
      <c r="J197" s="7">
        <v>45561</v>
      </c>
      <c r="K197" s="5" t="s">
        <v>17</v>
      </c>
      <c r="L197" s="8">
        <v>44067</v>
      </c>
      <c r="M197" s="19">
        <v>235</v>
      </c>
      <c r="N197" s="19">
        <v>285</v>
      </c>
      <c r="O197" s="24">
        <v>0</v>
      </c>
      <c r="P197" s="24">
        <v>12200</v>
      </c>
      <c r="Q197" t="s">
        <v>1983</v>
      </c>
      <c r="R197" s="19">
        <f>VLOOKUP(A197,[1]Sheet1!$A$2:$Q$1536,15,FALSE)</f>
        <v>2995.284912109375</v>
      </c>
      <c r="S197" s="27">
        <f t="shared" si="9"/>
        <v>-3.0730682916598981</v>
      </c>
      <c r="T197" s="19">
        <f>VLOOKUP(A197,[1]Sheet1!$A$2:$Q$1536,16,FALSE)</f>
        <v>9340.893233204135</v>
      </c>
      <c r="U197" s="27">
        <f t="shared" si="10"/>
        <v>-0.30608494235139949</v>
      </c>
      <c r="V197" s="19">
        <f>VLOOKUP(A197,[1]Sheet1!$A$2:$Q$1536,17,FALSE)</f>
        <v>2903.884765625</v>
      </c>
      <c r="W197" s="27">
        <f t="shared" si="11"/>
        <v>-3.2012686400020445</v>
      </c>
    </row>
    <row r="198" spans="1:23" x14ac:dyDescent="0.3">
      <c r="A198" s="4" t="s">
        <v>525</v>
      </c>
      <c r="B198" s="5">
        <v>2010</v>
      </c>
      <c r="C198" s="5" t="s">
        <v>519</v>
      </c>
      <c r="D198" s="15" t="s">
        <v>520</v>
      </c>
      <c r="E198" s="6">
        <v>79367</v>
      </c>
      <c r="F198" s="5" t="s">
        <v>42</v>
      </c>
      <c r="G198" s="5" t="s">
        <v>33</v>
      </c>
      <c r="H198" s="5" t="s">
        <v>17</v>
      </c>
      <c r="I198" s="5" t="s">
        <v>18</v>
      </c>
      <c r="J198" s="7">
        <v>45566</v>
      </c>
      <c r="K198" s="5" t="s">
        <v>17</v>
      </c>
      <c r="L198" s="8">
        <v>44310</v>
      </c>
      <c r="M198" s="19">
        <v>235</v>
      </c>
      <c r="N198" s="19">
        <v>285</v>
      </c>
      <c r="O198" s="24">
        <v>3600</v>
      </c>
      <c r="P198" s="24">
        <v>500</v>
      </c>
      <c r="Q198" t="s">
        <v>1984</v>
      </c>
      <c r="R198" s="19">
        <f>VLOOKUP(A198,[1]Sheet1!$A$2:$Q$1536,15,FALSE)</f>
        <v>2564.7138671875</v>
      </c>
      <c r="S198" s="27">
        <f t="shared" si="9"/>
        <v>0.80504647851874922</v>
      </c>
      <c r="T198" s="19">
        <f>VLOOKUP(A198,[1]Sheet1!$A$2:$Q$1536,16,FALSE)</f>
        <v>9263.4060255431559</v>
      </c>
      <c r="U198" s="27">
        <f t="shared" si="10"/>
        <v>0.94602417311501974</v>
      </c>
      <c r="V198" s="19">
        <f>VLOOKUP(A198,[1]Sheet1!$A$2:$Q$1536,17,FALSE)</f>
        <v>2440.115234375</v>
      </c>
      <c r="W198" s="27">
        <f t="shared" si="11"/>
        <v>0.79509164446159131</v>
      </c>
    </row>
    <row r="199" spans="1:23" x14ac:dyDescent="0.3">
      <c r="A199" s="4" t="s">
        <v>276</v>
      </c>
      <c r="B199" s="5">
        <v>2016</v>
      </c>
      <c r="C199" s="5" t="s">
        <v>237</v>
      </c>
      <c r="D199" s="15" t="s">
        <v>277</v>
      </c>
      <c r="E199" s="6">
        <v>62644</v>
      </c>
      <c r="F199" s="5" t="s">
        <v>170</v>
      </c>
      <c r="G199" s="5" t="s">
        <v>28</v>
      </c>
      <c r="H199" s="5" t="s">
        <v>17</v>
      </c>
      <c r="I199" s="5" t="s">
        <v>18</v>
      </c>
      <c r="J199" s="7">
        <v>45510</v>
      </c>
      <c r="K199" s="5" t="s">
        <v>17</v>
      </c>
      <c r="L199" s="8">
        <v>43612</v>
      </c>
      <c r="M199" s="19">
        <v>264</v>
      </c>
      <c r="N199" s="19">
        <v>314</v>
      </c>
      <c r="O199" s="24">
        <v>11400</v>
      </c>
      <c r="P199" s="24">
        <v>1500</v>
      </c>
      <c r="Q199" t="s">
        <v>1984</v>
      </c>
      <c r="R199" s="19">
        <f>VLOOKUP(A199,[1]Sheet1!$A$2:$Q$1536,15,FALSE)</f>
        <v>12104.6796875</v>
      </c>
      <c r="S199" s="27">
        <f t="shared" si="9"/>
        <v>0.87608098365882514</v>
      </c>
      <c r="T199" s="19">
        <f>VLOOKUP(A199,[1]Sheet1!$A$2:$Q$1536,16,FALSE)</f>
        <v>11424.169132086779</v>
      </c>
      <c r="U199" s="27">
        <f t="shared" si="10"/>
        <v>0.86869942289396018</v>
      </c>
      <c r="V199" s="19">
        <f>VLOOKUP(A199,[1]Sheet1!$A$2:$Q$1536,17,FALSE)</f>
        <v>12040.1181640625</v>
      </c>
      <c r="W199" s="27">
        <f t="shared" si="11"/>
        <v>0.87541650509068758</v>
      </c>
    </row>
    <row r="200" spans="1:23" x14ac:dyDescent="0.3">
      <c r="A200" s="4" t="s">
        <v>62</v>
      </c>
      <c r="B200" s="5">
        <v>2015</v>
      </c>
      <c r="C200" s="5" t="s">
        <v>46</v>
      </c>
      <c r="D200" s="15" t="s">
        <v>53</v>
      </c>
      <c r="E200" s="6">
        <v>103281</v>
      </c>
      <c r="F200" s="5" t="s">
        <v>40</v>
      </c>
      <c r="G200" s="5" t="s">
        <v>25</v>
      </c>
      <c r="H200" s="5" t="s">
        <v>18</v>
      </c>
      <c r="I200" s="5" t="s">
        <v>17</v>
      </c>
      <c r="J200" s="7">
        <v>45484</v>
      </c>
      <c r="K200" s="5" t="s">
        <v>17</v>
      </c>
      <c r="L200" s="8">
        <v>43608</v>
      </c>
      <c r="M200" s="19">
        <v>264</v>
      </c>
      <c r="N200" s="19">
        <v>314</v>
      </c>
      <c r="O200" s="24">
        <v>0</v>
      </c>
      <c r="P200" s="24">
        <v>9000</v>
      </c>
      <c r="Q200" t="s">
        <v>1983</v>
      </c>
      <c r="R200" s="19">
        <f>VLOOKUP(A200,[1]Sheet1!$A$2:$Q$1536,15,FALSE)</f>
        <v>2497.375</v>
      </c>
      <c r="S200" s="27">
        <f t="shared" si="9"/>
        <v>-2.6037839731718306</v>
      </c>
      <c r="T200" s="19">
        <f>VLOOKUP(A200,[1]Sheet1!$A$2:$Q$1536,16,FALSE)</f>
        <v>8971.8319518385943</v>
      </c>
      <c r="U200" s="27">
        <f t="shared" si="10"/>
        <v>-3.1396094256572965E-3</v>
      </c>
      <c r="V200" s="19">
        <f>VLOOKUP(A200,[1]Sheet1!$A$2:$Q$1536,17,FALSE)</f>
        <v>2338.3408203125</v>
      </c>
      <c r="W200" s="27">
        <f t="shared" si="11"/>
        <v>-2.8488829009952554</v>
      </c>
    </row>
    <row r="201" spans="1:23" x14ac:dyDescent="0.3">
      <c r="A201" s="4" t="s">
        <v>1127</v>
      </c>
      <c r="B201" s="5">
        <v>2017</v>
      </c>
      <c r="C201" s="5" t="s">
        <v>633</v>
      </c>
      <c r="D201" s="15" t="s">
        <v>1119</v>
      </c>
      <c r="E201" s="6">
        <v>50716</v>
      </c>
      <c r="F201" s="5" t="s">
        <v>47</v>
      </c>
      <c r="G201" s="5" t="s">
        <v>16</v>
      </c>
      <c r="H201" s="5" t="s">
        <v>17</v>
      </c>
      <c r="I201" s="5" t="s">
        <v>18</v>
      </c>
      <c r="J201" s="7">
        <v>45314</v>
      </c>
      <c r="K201" s="5" t="s">
        <v>17</v>
      </c>
      <c r="L201" s="8">
        <v>44203</v>
      </c>
      <c r="M201" s="19">
        <v>235</v>
      </c>
      <c r="N201" s="19">
        <v>285</v>
      </c>
      <c r="O201" s="24">
        <v>12750</v>
      </c>
      <c r="P201" s="24">
        <v>8900</v>
      </c>
      <c r="Q201" t="s">
        <v>1984</v>
      </c>
      <c r="R201" s="19">
        <f>VLOOKUP(A201,[1]Sheet1!$A$2:$Q$1536,15,FALSE)</f>
        <v>14038.1962890625</v>
      </c>
      <c r="S201" s="27">
        <f t="shared" si="9"/>
        <v>0.36601541845271057</v>
      </c>
      <c r="T201" s="19">
        <f>VLOOKUP(A201,[1]Sheet1!$A$2:$Q$1536,16,FALSE)</f>
        <v>12069.858330859261</v>
      </c>
      <c r="U201" s="27">
        <f t="shared" si="10"/>
        <v>0.26262597654148245</v>
      </c>
      <c r="V201" s="19">
        <f>VLOOKUP(A201,[1]Sheet1!$A$2:$Q$1536,17,FALSE)</f>
        <v>13914.982421875</v>
      </c>
      <c r="W201" s="27">
        <f t="shared" si="11"/>
        <v>0.36040163543370446</v>
      </c>
    </row>
    <row r="202" spans="1:23" x14ac:dyDescent="0.3">
      <c r="A202" s="4" t="s">
        <v>873</v>
      </c>
      <c r="B202" s="5">
        <v>2020</v>
      </c>
      <c r="C202" s="5" t="s">
        <v>391</v>
      </c>
      <c r="D202" s="15" t="s">
        <v>580</v>
      </c>
      <c r="E202" s="6">
        <v>92802</v>
      </c>
      <c r="F202" s="5" t="s">
        <v>592</v>
      </c>
      <c r="G202" s="5" t="s">
        <v>16</v>
      </c>
      <c r="H202" s="5" t="s">
        <v>17</v>
      </c>
      <c r="I202" s="5" t="s">
        <v>18</v>
      </c>
      <c r="J202" s="7">
        <v>45400</v>
      </c>
      <c r="K202" s="5" t="s">
        <v>17</v>
      </c>
      <c r="L202" s="8">
        <v>44137</v>
      </c>
      <c r="M202" s="19">
        <v>280</v>
      </c>
      <c r="N202" s="19">
        <v>330</v>
      </c>
      <c r="O202" s="24">
        <v>0</v>
      </c>
      <c r="P202" s="24">
        <v>20600</v>
      </c>
      <c r="Q202" t="s">
        <v>1983</v>
      </c>
      <c r="R202" s="19">
        <f>VLOOKUP(A202,[1]Sheet1!$A$2:$Q$1536,15,FALSE)</f>
        <v>14137.1650390625</v>
      </c>
      <c r="S202" s="27">
        <f t="shared" si="9"/>
        <v>-0.4571521194723267</v>
      </c>
      <c r="T202" s="19">
        <f>VLOOKUP(A202,[1]Sheet1!$A$2:$Q$1536,16,FALSE)</f>
        <v>11712.329398623529</v>
      </c>
      <c r="U202" s="27">
        <f t="shared" si="10"/>
        <v>-0.75883031452487826</v>
      </c>
      <c r="V202" s="19">
        <f>VLOOKUP(A202,[1]Sheet1!$A$2:$Q$1536,17,FALSE)</f>
        <v>14223.2822265625</v>
      </c>
      <c r="W202" s="27">
        <f t="shared" si="11"/>
        <v>-0.44832955374595229</v>
      </c>
    </row>
    <row r="203" spans="1:23" x14ac:dyDescent="0.3">
      <c r="A203" s="4" t="s">
        <v>1214</v>
      </c>
      <c r="B203" s="5">
        <v>2014</v>
      </c>
      <c r="C203" s="5" t="s">
        <v>684</v>
      </c>
      <c r="D203" s="15" t="s">
        <v>1215</v>
      </c>
      <c r="E203" s="6">
        <v>112929</v>
      </c>
      <c r="F203" s="5" t="s">
        <v>170</v>
      </c>
      <c r="G203" s="5" t="s">
        <v>28</v>
      </c>
      <c r="H203" s="5" t="s">
        <v>17</v>
      </c>
      <c r="I203" s="5" t="s">
        <v>18</v>
      </c>
      <c r="J203" s="7">
        <v>45440</v>
      </c>
      <c r="K203" s="5" t="s">
        <v>17</v>
      </c>
      <c r="L203" s="8">
        <v>43950</v>
      </c>
      <c r="M203" s="19">
        <v>264</v>
      </c>
      <c r="N203" s="19">
        <v>314</v>
      </c>
      <c r="O203" s="24">
        <v>0</v>
      </c>
      <c r="P203" s="24">
        <v>11510.593220339</v>
      </c>
      <c r="Q203" t="s">
        <v>1983</v>
      </c>
      <c r="R203" s="19">
        <f>VLOOKUP(A203,[1]Sheet1!$A$2:$Q$1536,15,FALSE)</f>
        <v>4628.9755859375</v>
      </c>
      <c r="S203" s="27">
        <f t="shared" si="9"/>
        <v>-1.4866394316935625</v>
      </c>
      <c r="T203" s="19">
        <f>VLOOKUP(A203,[1]Sheet1!$A$2:$Q$1536,16,FALSE)</f>
        <v>8938.4336035545875</v>
      </c>
      <c r="U203" s="27">
        <f t="shared" si="10"/>
        <v>-0.28776402341474355</v>
      </c>
      <c r="V203" s="19">
        <f>VLOOKUP(A203,[1]Sheet1!$A$2:$Q$1536,17,FALSE)</f>
        <v>4484.4765625</v>
      </c>
      <c r="W203" s="27">
        <f t="shared" si="11"/>
        <v>-1.5667640492521808</v>
      </c>
    </row>
    <row r="204" spans="1:23" x14ac:dyDescent="0.3">
      <c r="A204" s="4" t="s">
        <v>104</v>
      </c>
      <c r="B204" s="5">
        <v>2016</v>
      </c>
      <c r="C204" s="5" t="s">
        <v>96</v>
      </c>
      <c r="D204" s="15" t="s">
        <v>105</v>
      </c>
      <c r="E204" s="6">
        <v>94561</v>
      </c>
      <c r="F204" s="5" t="s">
        <v>81</v>
      </c>
      <c r="G204" s="5" t="s">
        <v>25</v>
      </c>
      <c r="H204" s="5" t="s">
        <v>18</v>
      </c>
      <c r="I204" s="5" t="s">
        <v>17</v>
      </c>
      <c r="J204" s="7">
        <v>45666</v>
      </c>
      <c r="K204" s="5" t="s">
        <v>17</v>
      </c>
      <c r="L204" s="8">
        <v>44444</v>
      </c>
      <c r="M204" s="19">
        <v>264</v>
      </c>
      <c r="N204" s="19">
        <v>314</v>
      </c>
      <c r="O204" s="24">
        <v>0</v>
      </c>
      <c r="P204" s="24">
        <v>7400</v>
      </c>
      <c r="Q204" t="s">
        <v>1983</v>
      </c>
      <c r="R204" s="19">
        <f>VLOOKUP(A204,[1]Sheet1!$A$2:$Q$1536,15,FALSE)</f>
        <v>3932.7861328125</v>
      </c>
      <c r="S204" s="27">
        <f t="shared" si="9"/>
        <v>-0.88161770055569999</v>
      </c>
      <c r="T204" s="19">
        <f>VLOOKUP(A204,[1]Sheet1!$A$2:$Q$1536,16,FALSE)</f>
        <v>9407.1489841642015</v>
      </c>
      <c r="U204" s="27">
        <f t="shared" si="10"/>
        <v>0.21336421773940162</v>
      </c>
      <c r="V204" s="19">
        <f>VLOOKUP(A204,[1]Sheet1!$A$2:$Q$1536,17,FALSE)</f>
        <v>4007.1611328125</v>
      </c>
      <c r="W204" s="27">
        <f t="shared" si="11"/>
        <v>-0.84669389493857794</v>
      </c>
    </row>
    <row r="205" spans="1:23" x14ac:dyDescent="0.3">
      <c r="A205" s="4" t="s">
        <v>546</v>
      </c>
      <c r="B205" s="5">
        <v>2022</v>
      </c>
      <c r="C205" s="5" t="s">
        <v>391</v>
      </c>
      <c r="D205" s="15" t="s">
        <v>547</v>
      </c>
      <c r="E205" s="6">
        <v>33045</v>
      </c>
      <c r="F205" s="5" t="s">
        <v>161</v>
      </c>
      <c r="G205" s="5" t="s">
        <v>16</v>
      </c>
      <c r="H205" s="5" t="s">
        <v>17</v>
      </c>
      <c r="I205" s="5" t="s">
        <v>18</v>
      </c>
      <c r="J205" s="7">
        <v>45608</v>
      </c>
      <c r="K205" s="5" t="s">
        <v>17</v>
      </c>
      <c r="L205" s="8">
        <v>43608</v>
      </c>
      <c r="M205" s="19">
        <v>264</v>
      </c>
      <c r="N205" s="19">
        <v>314</v>
      </c>
      <c r="O205" s="24">
        <v>31500</v>
      </c>
      <c r="P205" s="24">
        <v>31000</v>
      </c>
      <c r="Q205" t="s">
        <v>1984</v>
      </c>
      <c r="R205" s="19">
        <f>VLOOKUP(A205,[1]Sheet1!$A$2:$Q$1536,15,FALSE)</f>
        <v>26792.41015625</v>
      </c>
      <c r="S205" s="27">
        <f t="shared" si="9"/>
        <v>-0.1570440964143151</v>
      </c>
      <c r="T205" s="19">
        <f>VLOOKUP(A205,[1]Sheet1!$A$2:$Q$1536,16,FALSE)</f>
        <v>16275.350647184659</v>
      </c>
      <c r="U205" s="27">
        <f t="shared" si="10"/>
        <v>-0.9047208672805116</v>
      </c>
      <c r="V205" s="19">
        <f>VLOOKUP(A205,[1]Sheet1!$A$2:$Q$1536,17,FALSE)</f>
        <v>26994.47265625</v>
      </c>
      <c r="W205" s="27">
        <f t="shared" si="11"/>
        <v>-0.1483832410714867</v>
      </c>
    </row>
    <row r="206" spans="1:23" x14ac:dyDescent="0.3">
      <c r="A206" s="4" t="s">
        <v>1942</v>
      </c>
      <c r="B206" s="5">
        <v>2012</v>
      </c>
      <c r="C206" s="5" t="s">
        <v>684</v>
      </c>
      <c r="D206" s="15" t="s">
        <v>1941</v>
      </c>
      <c r="E206" s="6">
        <v>78673</v>
      </c>
      <c r="F206" s="5" t="s">
        <v>164</v>
      </c>
      <c r="G206" s="5" t="s">
        <v>28</v>
      </c>
      <c r="H206" s="5" t="s">
        <v>17</v>
      </c>
      <c r="I206" s="5" t="s">
        <v>18</v>
      </c>
      <c r="J206" s="7">
        <v>45594</v>
      </c>
      <c r="K206" s="5" t="s">
        <v>17</v>
      </c>
      <c r="L206" s="8">
        <v>44451</v>
      </c>
      <c r="M206" s="19">
        <v>264</v>
      </c>
      <c r="N206" s="19">
        <v>314</v>
      </c>
      <c r="O206" s="24">
        <v>7200</v>
      </c>
      <c r="P206" s="24">
        <v>5500</v>
      </c>
      <c r="Q206" t="s">
        <v>1984</v>
      </c>
      <c r="R206" s="19">
        <f>VLOOKUP(A206,[1]Sheet1!$A$2:$Q$1536,15,FALSE)</f>
        <v>4096.9873046875</v>
      </c>
      <c r="S206" s="27">
        <f t="shared" si="9"/>
        <v>-0.34244985179897097</v>
      </c>
      <c r="T206" s="19">
        <f>VLOOKUP(A206,[1]Sheet1!$A$2:$Q$1536,16,FALSE)</f>
        <v>9026.1430941704184</v>
      </c>
      <c r="U206" s="27">
        <f t="shared" si="10"/>
        <v>0.39065889576332957</v>
      </c>
      <c r="V206" s="19">
        <f>VLOOKUP(A206,[1]Sheet1!$A$2:$Q$1536,17,FALSE)</f>
        <v>4002.080078125</v>
      </c>
      <c r="W206" s="27">
        <f t="shared" si="11"/>
        <v>-0.37428534477920417</v>
      </c>
    </row>
    <row r="207" spans="1:23" x14ac:dyDescent="0.3">
      <c r="A207" s="4" t="s">
        <v>1715</v>
      </c>
      <c r="B207" s="5">
        <v>2019</v>
      </c>
      <c r="C207" s="5" t="s">
        <v>1089</v>
      </c>
      <c r="D207" s="15" t="s">
        <v>1696</v>
      </c>
      <c r="E207" s="6">
        <v>128301</v>
      </c>
      <c r="F207" s="5" t="s">
        <v>57</v>
      </c>
      <c r="G207" s="5" t="s">
        <v>28</v>
      </c>
      <c r="H207" s="5" t="s">
        <v>17</v>
      </c>
      <c r="I207" s="5" t="s">
        <v>18</v>
      </c>
      <c r="J207" s="7">
        <v>45701</v>
      </c>
      <c r="K207" s="5" t="s">
        <v>17</v>
      </c>
      <c r="L207" s="8">
        <v>44224</v>
      </c>
      <c r="M207" s="19">
        <v>235</v>
      </c>
      <c r="N207" s="19">
        <v>285</v>
      </c>
      <c r="O207" s="24">
        <v>0</v>
      </c>
      <c r="P207" s="24">
        <v>14200</v>
      </c>
      <c r="Q207" t="s">
        <v>1983</v>
      </c>
      <c r="R207" s="19">
        <f>VLOOKUP(A207,[1]Sheet1!$A$2:$Q$1536,15,FALSE)</f>
        <v>3466.772216796875</v>
      </c>
      <c r="S207" s="27">
        <f t="shared" si="9"/>
        <v>-3.0960291337283454</v>
      </c>
      <c r="T207" s="19">
        <f>VLOOKUP(A207,[1]Sheet1!$A$2:$Q$1536,16,FALSE)</f>
        <v>8718.4373132362489</v>
      </c>
      <c r="U207" s="27">
        <f t="shared" si="10"/>
        <v>-0.62873224751432166</v>
      </c>
      <c r="V207" s="19">
        <f>VLOOKUP(A207,[1]Sheet1!$A$2:$Q$1536,17,FALSE)</f>
        <v>3386.35400390625</v>
      </c>
      <c r="W207" s="27">
        <f t="shared" si="11"/>
        <v>-3.1933005183805117</v>
      </c>
    </row>
    <row r="208" spans="1:23" x14ac:dyDescent="0.3">
      <c r="A208" s="4" t="s">
        <v>840</v>
      </c>
      <c r="B208" s="5">
        <v>2016</v>
      </c>
      <c r="C208" s="5" t="s">
        <v>391</v>
      </c>
      <c r="D208" s="15" t="s">
        <v>582</v>
      </c>
      <c r="E208" s="6">
        <v>103670</v>
      </c>
      <c r="F208" s="5" t="s">
        <v>219</v>
      </c>
      <c r="G208" s="5" t="s">
        <v>22</v>
      </c>
      <c r="H208" s="5" t="s">
        <v>18</v>
      </c>
      <c r="I208" s="5" t="s">
        <v>17</v>
      </c>
      <c r="J208" s="7">
        <v>45384</v>
      </c>
      <c r="K208" s="5" t="s">
        <v>17</v>
      </c>
      <c r="L208" s="8">
        <v>44662</v>
      </c>
      <c r="M208" s="19">
        <v>235</v>
      </c>
      <c r="N208" s="19">
        <v>285</v>
      </c>
      <c r="O208" s="24">
        <v>3500</v>
      </c>
      <c r="P208" s="24">
        <v>3150</v>
      </c>
      <c r="Q208" t="s">
        <v>1984</v>
      </c>
      <c r="R208" s="19">
        <f>VLOOKUP(A208,[1]Sheet1!$A$2:$Q$1536,15,FALSE)</f>
        <v>2501.442626953125</v>
      </c>
      <c r="S208" s="27">
        <f t="shared" si="9"/>
        <v>-0.25927333533803587</v>
      </c>
      <c r="T208" s="19">
        <f>VLOOKUP(A208,[1]Sheet1!$A$2:$Q$1536,16,FALSE)</f>
        <v>9247.4190632338778</v>
      </c>
      <c r="U208" s="27">
        <f t="shared" si="10"/>
        <v>0.65936441525356526</v>
      </c>
      <c r="V208" s="19">
        <f>VLOOKUP(A208,[1]Sheet1!$A$2:$Q$1536,17,FALSE)</f>
        <v>2382.8828125</v>
      </c>
      <c r="W208" s="27">
        <f t="shared" si="11"/>
        <v>-0.32192820539721778</v>
      </c>
    </row>
    <row r="209" spans="1:23" x14ac:dyDescent="0.3">
      <c r="A209" s="4" t="s">
        <v>1817</v>
      </c>
      <c r="B209" s="5">
        <v>2020</v>
      </c>
      <c r="C209" s="5" t="s">
        <v>237</v>
      </c>
      <c r="D209" s="15" t="s">
        <v>1808</v>
      </c>
      <c r="E209" s="6">
        <v>25615</v>
      </c>
      <c r="F209" s="5" t="s">
        <v>92</v>
      </c>
      <c r="G209" s="5" t="s">
        <v>16</v>
      </c>
      <c r="H209" s="5" t="s">
        <v>17</v>
      </c>
      <c r="I209" s="5" t="s">
        <v>18</v>
      </c>
      <c r="J209" s="7">
        <v>45482</v>
      </c>
      <c r="K209" s="5" t="s">
        <v>17</v>
      </c>
      <c r="L209" s="8">
        <v>44451</v>
      </c>
      <c r="M209" s="19">
        <v>264</v>
      </c>
      <c r="N209" s="19">
        <v>314</v>
      </c>
      <c r="O209" s="24">
        <v>14500</v>
      </c>
      <c r="P209" s="24">
        <v>12800</v>
      </c>
      <c r="Q209" t="s">
        <v>1984</v>
      </c>
      <c r="R209" s="19">
        <f>VLOOKUP(A209,[1]Sheet1!$A$2:$Q$1536,15,FALSE)</f>
        <v>19463.109375</v>
      </c>
      <c r="S209" s="27">
        <f t="shared" si="9"/>
        <v>0.34234557524290743</v>
      </c>
      <c r="T209" s="19">
        <f>VLOOKUP(A209,[1]Sheet1!$A$2:$Q$1536,16,FALSE)</f>
        <v>13716.679963988179</v>
      </c>
      <c r="U209" s="27">
        <f t="shared" si="10"/>
        <v>6.6829580218743467E-2</v>
      </c>
      <c r="V209" s="19">
        <f>VLOOKUP(A209,[1]Sheet1!$A$2:$Q$1536,17,FALSE)</f>
        <v>19317.044921875</v>
      </c>
      <c r="W209" s="27">
        <f t="shared" si="11"/>
        <v>0.33737276836246161</v>
      </c>
    </row>
    <row r="210" spans="1:23" x14ac:dyDescent="0.3">
      <c r="A210" s="4" t="s">
        <v>549</v>
      </c>
      <c r="B210" s="5">
        <v>2014</v>
      </c>
      <c r="C210" s="5" t="s">
        <v>391</v>
      </c>
      <c r="D210" s="15" t="s">
        <v>547</v>
      </c>
      <c r="E210" s="6">
        <v>123214</v>
      </c>
      <c r="F210" s="5" t="s">
        <v>47</v>
      </c>
      <c r="G210" s="5" t="s">
        <v>16</v>
      </c>
      <c r="H210" s="5" t="s">
        <v>17</v>
      </c>
      <c r="I210" s="5" t="s">
        <v>18</v>
      </c>
      <c r="J210" s="7">
        <v>45510</v>
      </c>
      <c r="K210" s="5" t="s">
        <v>17</v>
      </c>
      <c r="L210" s="8">
        <v>43605</v>
      </c>
      <c r="M210" s="19">
        <v>264</v>
      </c>
      <c r="N210" s="19">
        <v>314</v>
      </c>
      <c r="O210" s="24">
        <v>12100</v>
      </c>
      <c r="P210" s="24">
        <v>8200</v>
      </c>
      <c r="Q210" t="s">
        <v>1984</v>
      </c>
      <c r="R210" s="19">
        <f>VLOOKUP(A210,[1]Sheet1!$A$2:$Q$1536,15,FALSE)</f>
        <v>8396.2275390625</v>
      </c>
      <c r="S210" s="27">
        <f t="shared" si="9"/>
        <v>2.3370917254156531E-2</v>
      </c>
      <c r="T210" s="19">
        <f>VLOOKUP(A210,[1]Sheet1!$A$2:$Q$1536,16,FALSE)</f>
        <v>11428.072794039619</v>
      </c>
      <c r="U210" s="27">
        <f t="shared" si="10"/>
        <v>0.28246869373489114</v>
      </c>
      <c r="V210" s="19">
        <f>VLOOKUP(A210,[1]Sheet1!$A$2:$Q$1536,17,FALSE)</f>
        <v>8081.880859375</v>
      </c>
      <c r="W210" s="27">
        <f t="shared" si="11"/>
        <v>-1.4615303378047392E-2</v>
      </c>
    </row>
    <row r="211" spans="1:23" x14ac:dyDescent="0.3">
      <c r="A211" s="4" t="s">
        <v>1546</v>
      </c>
      <c r="B211" s="5">
        <v>2021</v>
      </c>
      <c r="C211" s="5" t="s">
        <v>636</v>
      </c>
      <c r="D211" s="15" t="s">
        <v>1547</v>
      </c>
      <c r="E211" s="6">
        <v>65089</v>
      </c>
      <c r="F211" s="5" t="s">
        <v>81</v>
      </c>
      <c r="G211" s="5" t="s">
        <v>28</v>
      </c>
      <c r="H211" s="5" t="s">
        <v>17</v>
      </c>
      <c r="I211" s="5" t="s">
        <v>18</v>
      </c>
      <c r="J211" s="7">
        <v>45701</v>
      </c>
      <c r="K211" s="5" t="s">
        <v>17</v>
      </c>
      <c r="L211" s="8">
        <v>44662</v>
      </c>
      <c r="M211" s="19">
        <v>235</v>
      </c>
      <c r="N211" s="19">
        <v>285</v>
      </c>
      <c r="O211" s="24">
        <v>0</v>
      </c>
      <c r="P211" s="24">
        <v>10200</v>
      </c>
      <c r="Q211" t="s">
        <v>1983</v>
      </c>
      <c r="R211" s="19">
        <f>VLOOKUP(A211,[1]Sheet1!$A$2:$Q$1536,15,FALSE)</f>
        <v>7364.140625</v>
      </c>
      <c r="S211" s="27">
        <f t="shared" si="9"/>
        <v>-0.38509033428459277</v>
      </c>
      <c r="T211" s="19">
        <f>VLOOKUP(A211,[1]Sheet1!$A$2:$Q$1536,16,FALSE)</f>
        <v>13033.329861361841</v>
      </c>
      <c r="U211" s="27">
        <f t="shared" si="10"/>
        <v>0.21739109586732955</v>
      </c>
      <c r="V211" s="19">
        <f>VLOOKUP(A211,[1]Sheet1!$A$2:$Q$1536,17,FALSE)</f>
        <v>7975.64453125</v>
      </c>
      <c r="W211" s="27">
        <f t="shared" si="11"/>
        <v>-0.27889350635357152</v>
      </c>
    </row>
    <row r="212" spans="1:23" x14ac:dyDescent="0.3">
      <c r="A212" s="4" t="s">
        <v>75</v>
      </c>
      <c r="B212" s="5">
        <v>2016</v>
      </c>
      <c r="C212" s="5" t="s">
        <v>46</v>
      </c>
      <c r="D212" s="15">
        <v>200</v>
      </c>
      <c r="E212" s="6">
        <v>99156</v>
      </c>
      <c r="F212" s="5" t="s">
        <v>66</v>
      </c>
      <c r="G212" s="5" t="s">
        <v>25</v>
      </c>
      <c r="H212" s="5" t="s">
        <v>18</v>
      </c>
      <c r="I212" s="5" t="s">
        <v>17</v>
      </c>
      <c r="J212" s="7">
        <v>45566</v>
      </c>
      <c r="K212" s="5" t="s">
        <v>17</v>
      </c>
      <c r="L212" s="8">
        <v>43608</v>
      </c>
      <c r="M212" s="19">
        <v>264</v>
      </c>
      <c r="N212" s="19">
        <v>314</v>
      </c>
      <c r="O212" s="24">
        <v>7400</v>
      </c>
      <c r="P212" s="24">
        <v>3200</v>
      </c>
      <c r="Q212" t="s">
        <v>1984</v>
      </c>
      <c r="R212" s="19">
        <f>VLOOKUP(A212,[1]Sheet1!$A$2:$Q$1536,15,FALSE)</f>
        <v>2490.335693359375</v>
      </c>
      <c r="S212" s="27">
        <f t="shared" si="9"/>
        <v>-0.28496732730972218</v>
      </c>
      <c r="T212" s="19">
        <f>VLOOKUP(A212,[1]Sheet1!$A$2:$Q$1536,16,FALSE)</f>
        <v>8941.9817262902652</v>
      </c>
      <c r="U212" s="27">
        <f t="shared" si="10"/>
        <v>0.64213749278957932</v>
      </c>
      <c r="V212" s="19">
        <f>VLOOKUP(A212,[1]Sheet1!$A$2:$Q$1536,17,FALSE)</f>
        <v>2338.3408203125</v>
      </c>
      <c r="W212" s="27">
        <f t="shared" si="11"/>
        <v>-0.36849169813164634</v>
      </c>
    </row>
    <row r="213" spans="1:23" x14ac:dyDescent="0.3">
      <c r="A213" s="4" t="s">
        <v>1210</v>
      </c>
      <c r="B213" s="5">
        <v>2017</v>
      </c>
      <c r="C213" s="5" t="s">
        <v>684</v>
      </c>
      <c r="D213" s="15" t="s">
        <v>1187</v>
      </c>
      <c r="E213" s="6">
        <v>177122</v>
      </c>
      <c r="F213" s="5" t="s">
        <v>36</v>
      </c>
      <c r="G213" s="5" t="s">
        <v>25</v>
      </c>
      <c r="H213" s="5" t="s">
        <v>18</v>
      </c>
      <c r="I213" s="5" t="s">
        <v>17</v>
      </c>
      <c r="J213" s="7">
        <v>45666</v>
      </c>
      <c r="K213" s="5" t="s">
        <v>17</v>
      </c>
      <c r="L213" s="8">
        <v>44307</v>
      </c>
      <c r="M213" s="19">
        <v>235</v>
      </c>
      <c r="N213" s="19">
        <v>285</v>
      </c>
      <c r="O213" s="24">
        <v>3800</v>
      </c>
      <c r="P213" s="24">
        <v>2700</v>
      </c>
      <c r="Q213" t="s">
        <v>1984</v>
      </c>
      <c r="R213" s="19">
        <f>VLOOKUP(A213,[1]Sheet1!$A$2:$Q$1536,15,FALSE)</f>
        <v>1504.9033203125</v>
      </c>
      <c r="S213" s="27">
        <f t="shared" si="9"/>
        <v>-0.79413518699615382</v>
      </c>
      <c r="T213" s="19">
        <f>VLOOKUP(A213,[1]Sheet1!$A$2:$Q$1536,16,FALSE)</f>
        <v>8964.4310095377477</v>
      </c>
      <c r="U213" s="27">
        <f t="shared" si="10"/>
        <v>0.69880966264034805</v>
      </c>
      <c r="V213" s="19">
        <f>VLOOKUP(A213,[1]Sheet1!$A$2:$Q$1536,17,FALSE)</f>
        <v>1395.367431640625</v>
      </c>
      <c r="W213" s="27">
        <f t="shared" si="11"/>
        <v>-0.93497421451598084</v>
      </c>
    </row>
    <row r="214" spans="1:23" x14ac:dyDescent="0.3">
      <c r="A214" s="4" t="s">
        <v>175</v>
      </c>
      <c r="B214" s="5">
        <v>2014</v>
      </c>
      <c r="C214" s="5" t="s">
        <v>96</v>
      </c>
      <c r="D214" s="15" t="s">
        <v>174</v>
      </c>
      <c r="E214" s="6">
        <v>117237</v>
      </c>
      <c r="F214" s="5" t="s">
        <v>73</v>
      </c>
      <c r="G214" s="5" t="s">
        <v>25</v>
      </c>
      <c r="H214" s="5" t="s">
        <v>18</v>
      </c>
      <c r="I214" s="5" t="s">
        <v>17</v>
      </c>
      <c r="J214" s="7">
        <v>45568</v>
      </c>
      <c r="K214" s="5" t="s">
        <v>17</v>
      </c>
      <c r="L214" s="8">
        <v>44128</v>
      </c>
      <c r="M214" s="19">
        <v>264</v>
      </c>
      <c r="N214" s="19">
        <v>314</v>
      </c>
      <c r="O214" s="24">
        <v>0</v>
      </c>
      <c r="P214" s="24">
        <v>12500</v>
      </c>
      <c r="Q214" t="s">
        <v>1983</v>
      </c>
      <c r="R214" s="19">
        <f>VLOOKUP(A214,[1]Sheet1!$A$2:$Q$1536,15,FALSE)</f>
        <v>2449.5537109375</v>
      </c>
      <c r="S214" s="27">
        <f t="shared" si="9"/>
        <v>-4.1029703672902791</v>
      </c>
      <c r="T214" s="19">
        <f>VLOOKUP(A214,[1]Sheet1!$A$2:$Q$1536,16,FALSE)</f>
        <v>9196.4892335764544</v>
      </c>
      <c r="U214" s="27">
        <f t="shared" si="10"/>
        <v>-0.35921433522288071</v>
      </c>
      <c r="V214" s="19">
        <f>VLOOKUP(A214,[1]Sheet1!$A$2:$Q$1536,17,FALSE)</f>
        <v>2321.60986328125</v>
      </c>
      <c r="W214" s="27">
        <f t="shared" si="11"/>
        <v>-4.3841949061730423</v>
      </c>
    </row>
    <row r="215" spans="1:23" x14ac:dyDescent="0.3">
      <c r="A215" s="4" t="s">
        <v>890</v>
      </c>
      <c r="B215" s="5">
        <v>2016</v>
      </c>
      <c r="C215" s="5" t="s">
        <v>391</v>
      </c>
      <c r="D215" s="15" t="s">
        <v>590</v>
      </c>
      <c r="E215" s="6">
        <v>112564</v>
      </c>
      <c r="F215" s="5" t="s">
        <v>81</v>
      </c>
      <c r="G215" s="5" t="s">
        <v>33</v>
      </c>
      <c r="H215" s="5" t="s">
        <v>17</v>
      </c>
      <c r="I215" s="5" t="s">
        <v>18</v>
      </c>
      <c r="J215" s="7">
        <v>45701</v>
      </c>
      <c r="K215" s="5" t="s">
        <v>17</v>
      </c>
      <c r="L215" s="8">
        <v>44113</v>
      </c>
      <c r="M215" s="19">
        <v>264</v>
      </c>
      <c r="N215" s="19">
        <v>314</v>
      </c>
      <c r="O215" s="24">
        <v>0</v>
      </c>
      <c r="P215" s="24">
        <v>10600</v>
      </c>
      <c r="Q215" t="s">
        <v>1983</v>
      </c>
      <c r="R215" s="19">
        <f>VLOOKUP(A215,[1]Sheet1!$A$2:$Q$1536,15,FALSE)</f>
        <v>3026.079345703125</v>
      </c>
      <c r="S215" s="27">
        <f t="shared" si="9"/>
        <v>-2.5028823732105532</v>
      </c>
      <c r="T215" s="19">
        <f>VLOOKUP(A215,[1]Sheet1!$A$2:$Q$1536,16,FALSE)</f>
        <v>9468.5348277529774</v>
      </c>
      <c r="U215" s="27">
        <f t="shared" si="10"/>
        <v>-0.11949738717025302</v>
      </c>
      <c r="V215" s="19">
        <f>VLOOKUP(A215,[1]Sheet1!$A$2:$Q$1536,17,FALSE)</f>
        <v>2989.50341796875</v>
      </c>
      <c r="W215" s="27">
        <f t="shared" si="11"/>
        <v>-2.5457393814261913</v>
      </c>
    </row>
    <row r="216" spans="1:23" x14ac:dyDescent="0.3">
      <c r="A216" s="4" t="s">
        <v>1358</v>
      </c>
      <c r="B216" s="5">
        <v>2013</v>
      </c>
      <c r="C216" s="5" t="s">
        <v>1089</v>
      </c>
      <c r="D216" s="15" t="s">
        <v>1328</v>
      </c>
      <c r="E216" s="6">
        <v>107381</v>
      </c>
      <c r="F216" s="5" t="s">
        <v>42</v>
      </c>
      <c r="G216" s="5" t="s">
        <v>33</v>
      </c>
      <c r="H216" s="5" t="s">
        <v>17</v>
      </c>
      <c r="I216" s="5" t="s">
        <v>18</v>
      </c>
      <c r="J216" s="7">
        <v>45456</v>
      </c>
      <c r="K216" s="5" t="s">
        <v>17</v>
      </c>
      <c r="L216" s="8">
        <v>44113</v>
      </c>
      <c r="M216" s="19">
        <v>264</v>
      </c>
      <c r="N216" s="19">
        <v>314</v>
      </c>
      <c r="O216" s="24">
        <v>2900</v>
      </c>
      <c r="P216" s="24">
        <v>2700</v>
      </c>
      <c r="Q216" t="s">
        <v>1984</v>
      </c>
      <c r="R216" s="19">
        <f>VLOOKUP(A216,[1]Sheet1!$A$2:$Q$1536,15,FALSE)</f>
        <v>1327.40625</v>
      </c>
      <c r="S216" s="27">
        <f t="shared" si="9"/>
        <v>-1.0340419521152624</v>
      </c>
      <c r="T216" s="19">
        <f>VLOOKUP(A216,[1]Sheet1!$A$2:$Q$1536,16,FALSE)</f>
        <v>8666.1639692147928</v>
      </c>
      <c r="U216" s="27">
        <f t="shared" si="10"/>
        <v>0.68844346707593662</v>
      </c>
      <c r="V216" s="19">
        <f>VLOOKUP(A216,[1]Sheet1!$A$2:$Q$1536,17,FALSE)</f>
        <v>1330.663208007812</v>
      </c>
      <c r="W216" s="27">
        <f t="shared" si="11"/>
        <v>-1.0290633901588635</v>
      </c>
    </row>
    <row r="217" spans="1:23" x14ac:dyDescent="0.3">
      <c r="A217" s="4" t="s">
        <v>475</v>
      </c>
      <c r="B217" s="5">
        <v>2012</v>
      </c>
      <c r="C217" s="5" t="s">
        <v>391</v>
      </c>
      <c r="D217" s="15" t="s">
        <v>413</v>
      </c>
      <c r="E217" s="6">
        <v>82347</v>
      </c>
      <c r="F217" s="5" t="s">
        <v>57</v>
      </c>
      <c r="G217" s="5" t="s">
        <v>22</v>
      </c>
      <c r="H217" s="5" t="s">
        <v>18</v>
      </c>
      <c r="I217" s="5" t="s">
        <v>17</v>
      </c>
      <c r="J217" s="7">
        <v>45664</v>
      </c>
      <c r="K217" s="5" t="s">
        <v>17</v>
      </c>
      <c r="L217" s="8">
        <v>44451</v>
      </c>
      <c r="M217" s="19">
        <v>264</v>
      </c>
      <c r="N217" s="19">
        <v>314</v>
      </c>
      <c r="O217" s="24">
        <v>1000</v>
      </c>
      <c r="P217" s="24">
        <v>900</v>
      </c>
      <c r="Q217" t="s">
        <v>1984</v>
      </c>
      <c r="R217" s="19">
        <f>VLOOKUP(A217,[1]Sheet1!$A$2:$Q$1536,15,FALSE)</f>
        <v>3015.509033203125</v>
      </c>
      <c r="S217" s="27">
        <f t="shared" si="9"/>
        <v>0.70154292688554654</v>
      </c>
      <c r="T217" s="19">
        <f>VLOOKUP(A217,[1]Sheet1!$A$2:$Q$1536,16,FALSE)</f>
        <v>9436.1512761796803</v>
      </c>
      <c r="U217" s="27">
        <f t="shared" si="10"/>
        <v>0.90462213103005973</v>
      </c>
      <c r="V217" s="19">
        <f>VLOOKUP(A217,[1]Sheet1!$A$2:$Q$1536,17,FALSE)</f>
        <v>2989.50341796875</v>
      </c>
      <c r="W217" s="27">
        <f t="shared" si="11"/>
        <v>0.69894665629400266</v>
      </c>
    </row>
    <row r="218" spans="1:23" x14ac:dyDescent="0.3">
      <c r="A218" s="4" t="s">
        <v>435</v>
      </c>
      <c r="B218" s="5">
        <v>2016</v>
      </c>
      <c r="C218" s="5" t="s">
        <v>391</v>
      </c>
      <c r="D218" s="15" t="s">
        <v>432</v>
      </c>
      <c r="E218" s="6">
        <v>63009</v>
      </c>
      <c r="F218" s="5" t="s">
        <v>103</v>
      </c>
      <c r="G218" s="5" t="s">
        <v>28</v>
      </c>
      <c r="H218" s="5" t="s">
        <v>17</v>
      </c>
      <c r="I218" s="5" t="s">
        <v>18</v>
      </c>
      <c r="J218" s="7">
        <v>45622</v>
      </c>
      <c r="K218" s="5" t="s">
        <v>17</v>
      </c>
      <c r="L218" s="8">
        <v>44074</v>
      </c>
      <c r="M218" s="19">
        <v>179</v>
      </c>
      <c r="N218" s="19">
        <v>229</v>
      </c>
      <c r="O218" s="24">
        <v>7250</v>
      </c>
      <c r="P218" s="24">
        <v>1300</v>
      </c>
      <c r="Q218" t="s">
        <v>1984</v>
      </c>
      <c r="R218" s="19">
        <f>VLOOKUP(A218,[1]Sheet1!$A$2:$Q$1536,15,FALSE)</f>
        <v>11747.1875</v>
      </c>
      <c r="S218" s="27">
        <f t="shared" si="9"/>
        <v>0.88933521321592934</v>
      </c>
      <c r="T218" s="19">
        <f>VLOOKUP(A218,[1]Sheet1!$A$2:$Q$1536,16,FALSE)</f>
        <v>11393.771999267001</v>
      </c>
      <c r="U218" s="27">
        <f t="shared" si="10"/>
        <v>0.88590257905076275</v>
      </c>
      <c r="V218" s="19">
        <f>VLOOKUP(A218,[1]Sheet1!$A$2:$Q$1536,17,FALSE)</f>
        <v>11654.806640625</v>
      </c>
      <c r="W218" s="27">
        <f t="shared" si="11"/>
        <v>0.88845803795074496</v>
      </c>
    </row>
    <row r="219" spans="1:23" x14ac:dyDescent="0.3">
      <c r="A219" s="4" t="s">
        <v>295</v>
      </c>
      <c r="B219" s="5">
        <v>2014</v>
      </c>
      <c r="C219" s="5" t="s">
        <v>237</v>
      </c>
      <c r="D219" s="15" t="s">
        <v>286</v>
      </c>
      <c r="E219" s="6">
        <v>120599</v>
      </c>
      <c r="F219" s="5" t="s">
        <v>24</v>
      </c>
      <c r="G219" s="5" t="s">
        <v>28</v>
      </c>
      <c r="H219" s="5" t="s">
        <v>17</v>
      </c>
      <c r="I219" s="5" t="s">
        <v>18</v>
      </c>
      <c r="J219" s="7">
        <v>45356</v>
      </c>
      <c r="K219" s="5" t="s">
        <v>17</v>
      </c>
      <c r="L219" s="8">
        <v>44224</v>
      </c>
      <c r="M219" s="19">
        <v>235</v>
      </c>
      <c r="N219" s="19">
        <v>285</v>
      </c>
      <c r="O219" s="24">
        <v>6800</v>
      </c>
      <c r="P219" s="24">
        <v>6300</v>
      </c>
      <c r="Q219" t="s">
        <v>1984</v>
      </c>
      <c r="R219" s="19">
        <f>VLOOKUP(A219,[1]Sheet1!$A$2:$Q$1536,15,FALSE)</f>
        <v>2784.890380859375</v>
      </c>
      <c r="S219" s="27">
        <f t="shared" si="9"/>
        <v>-1.2622075336609535</v>
      </c>
      <c r="T219" s="19">
        <f>VLOOKUP(A219,[1]Sheet1!$A$2:$Q$1536,16,FALSE)</f>
        <v>9309.7403883978732</v>
      </c>
      <c r="U219" s="27">
        <f t="shared" si="10"/>
        <v>0.32328940043792392</v>
      </c>
      <c r="V219" s="19">
        <f>VLOOKUP(A219,[1]Sheet1!$A$2:$Q$1536,17,FALSE)</f>
        <v>2645.82568359375</v>
      </c>
      <c r="W219" s="27">
        <f t="shared" si="11"/>
        <v>-1.3811092465633974</v>
      </c>
    </row>
    <row r="220" spans="1:23" x14ac:dyDescent="0.3">
      <c r="A220" s="4" t="s">
        <v>831</v>
      </c>
      <c r="B220" s="5">
        <v>2015</v>
      </c>
      <c r="C220" s="5" t="s">
        <v>559</v>
      </c>
      <c r="D220" s="15" t="s">
        <v>760</v>
      </c>
      <c r="E220" s="6">
        <v>58110</v>
      </c>
      <c r="F220" s="5" t="s">
        <v>112</v>
      </c>
      <c r="G220" s="5" t="s">
        <v>22</v>
      </c>
      <c r="H220" s="5" t="s">
        <v>18</v>
      </c>
      <c r="I220" s="5" t="s">
        <v>17</v>
      </c>
      <c r="J220" s="7">
        <v>45510</v>
      </c>
      <c r="K220" s="5" t="s">
        <v>17</v>
      </c>
      <c r="L220" s="8">
        <v>44662</v>
      </c>
      <c r="M220" s="19">
        <v>235</v>
      </c>
      <c r="N220" s="19">
        <v>285</v>
      </c>
      <c r="O220" s="24">
        <v>5400</v>
      </c>
      <c r="P220" s="24">
        <v>800</v>
      </c>
      <c r="Q220" t="s">
        <v>1984</v>
      </c>
      <c r="R220" s="19">
        <f>VLOOKUP(A220,[1]Sheet1!$A$2:$Q$1536,15,FALSE)</f>
        <v>5861.353515625</v>
      </c>
      <c r="S220" s="27">
        <f t="shared" si="9"/>
        <v>0.86351275386011328</v>
      </c>
      <c r="T220" s="19">
        <f>VLOOKUP(A220,[1]Sheet1!$A$2:$Q$1536,16,FALSE)</f>
        <v>12202.018658326269</v>
      </c>
      <c r="U220" s="27">
        <f t="shared" si="10"/>
        <v>0.93443707779826202</v>
      </c>
      <c r="V220" s="19">
        <f>VLOOKUP(A220,[1]Sheet1!$A$2:$Q$1536,17,FALSE)</f>
        <v>6018.59228515625</v>
      </c>
      <c r="W220" s="27">
        <f t="shared" si="11"/>
        <v>0.86707855224334551</v>
      </c>
    </row>
    <row r="221" spans="1:23" x14ac:dyDescent="0.3">
      <c r="A221" s="4" t="s">
        <v>613</v>
      </c>
      <c r="B221" s="5">
        <v>2009</v>
      </c>
      <c r="C221" s="5" t="s">
        <v>30</v>
      </c>
      <c r="D221" s="15" t="s">
        <v>614</v>
      </c>
      <c r="E221" s="6">
        <v>120977</v>
      </c>
      <c r="F221" s="5" t="s">
        <v>57</v>
      </c>
      <c r="G221" s="5" t="s">
        <v>33</v>
      </c>
      <c r="H221" s="5" t="s">
        <v>17</v>
      </c>
      <c r="I221" s="5" t="s">
        <v>18</v>
      </c>
      <c r="J221" s="7">
        <v>45384</v>
      </c>
      <c r="K221" s="5" t="s">
        <v>17</v>
      </c>
      <c r="L221" s="8">
        <v>43605</v>
      </c>
      <c r="M221" s="19">
        <v>264</v>
      </c>
      <c r="N221" s="19">
        <v>314</v>
      </c>
      <c r="O221" s="24">
        <v>4700</v>
      </c>
      <c r="P221" s="24">
        <v>4000</v>
      </c>
      <c r="Q221" t="s">
        <v>1984</v>
      </c>
      <c r="R221" s="19">
        <f>VLOOKUP(A221,[1]Sheet1!$A$2:$Q$1536,15,FALSE)</f>
        <v>2427.300537109375</v>
      </c>
      <c r="S221" s="27">
        <f t="shared" si="9"/>
        <v>-0.64792119428421591</v>
      </c>
      <c r="T221" s="19">
        <f>VLOOKUP(A221,[1]Sheet1!$A$2:$Q$1536,16,FALSE)</f>
        <v>8977.639788728764</v>
      </c>
      <c r="U221" s="27">
        <f t="shared" si="10"/>
        <v>0.55444859738949259</v>
      </c>
      <c r="V221" s="19">
        <f>VLOOKUP(A221,[1]Sheet1!$A$2:$Q$1536,17,FALSE)</f>
        <v>2314.35888671875</v>
      </c>
      <c r="W221" s="27">
        <f t="shared" si="11"/>
        <v>-0.72834041554856555</v>
      </c>
    </row>
    <row r="222" spans="1:23" x14ac:dyDescent="0.3">
      <c r="A222" s="4" t="s">
        <v>1940</v>
      </c>
      <c r="B222" s="5">
        <v>2013</v>
      </c>
      <c r="C222" s="5" t="s">
        <v>684</v>
      </c>
      <c r="D222" s="15" t="s">
        <v>1941</v>
      </c>
      <c r="E222" s="6">
        <v>48391</v>
      </c>
      <c r="F222" s="5" t="s">
        <v>125</v>
      </c>
      <c r="G222" s="5" t="s">
        <v>16</v>
      </c>
      <c r="H222" s="5" t="s">
        <v>17</v>
      </c>
      <c r="I222" s="5" t="s">
        <v>18</v>
      </c>
      <c r="J222" s="7">
        <v>45692</v>
      </c>
      <c r="K222" s="5" t="s">
        <v>17</v>
      </c>
      <c r="L222" s="8">
        <v>44067</v>
      </c>
      <c r="M222" s="19">
        <v>235</v>
      </c>
      <c r="N222" s="19">
        <v>285</v>
      </c>
      <c r="O222" s="24">
        <v>11200</v>
      </c>
      <c r="P222" s="24">
        <v>4600</v>
      </c>
      <c r="Q222" t="s">
        <v>1984</v>
      </c>
      <c r="R222" s="19">
        <f>VLOOKUP(A222,[1]Sheet1!$A$2:$Q$1536,15,FALSE)</f>
        <v>7881.66015625</v>
      </c>
      <c r="S222" s="27">
        <f t="shared" si="9"/>
        <v>0.41636661454474266</v>
      </c>
      <c r="T222" s="19">
        <f>VLOOKUP(A222,[1]Sheet1!$A$2:$Q$1536,16,FALSE)</f>
        <v>11929.10519392981</v>
      </c>
      <c r="U222" s="27">
        <f t="shared" si="10"/>
        <v>0.61438851236379954</v>
      </c>
      <c r="V222" s="19">
        <f>VLOOKUP(A222,[1]Sheet1!$A$2:$Q$1536,17,FALSE)</f>
        <v>7738.39990234375</v>
      </c>
      <c r="W222" s="27">
        <f t="shared" si="11"/>
        <v>0.40556186575382519</v>
      </c>
    </row>
    <row r="223" spans="1:23" x14ac:dyDescent="0.3">
      <c r="A223" s="4" t="s">
        <v>346</v>
      </c>
      <c r="B223" s="5">
        <v>2017</v>
      </c>
      <c r="C223" s="5" t="s">
        <v>237</v>
      </c>
      <c r="D223" s="15" t="s">
        <v>339</v>
      </c>
      <c r="E223" s="6">
        <v>115649</v>
      </c>
      <c r="F223" s="5" t="s">
        <v>77</v>
      </c>
      <c r="G223" s="5" t="s">
        <v>25</v>
      </c>
      <c r="H223" s="5" t="s">
        <v>18</v>
      </c>
      <c r="I223" s="5" t="s">
        <v>17</v>
      </c>
      <c r="J223" s="7">
        <v>45421</v>
      </c>
      <c r="K223" s="5" t="s">
        <v>17</v>
      </c>
      <c r="L223" s="8">
        <v>44310</v>
      </c>
      <c r="M223" s="19">
        <v>235</v>
      </c>
      <c r="N223" s="19">
        <v>285</v>
      </c>
      <c r="O223" s="24">
        <v>0</v>
      </c>
      <c r="P223" s="24">
        <v>10000</v>
      </c>
      <c r="Q223" t="s">
        <v>1983</v>
      </c>
      <c r="R223" s="19">
        <f>VLOOKUP(A223,[1]Sheet1!$A$2:$Q$1536,15,FALSE)</f>
        <v>9127.28125</v>
      </c>
      <c r="S223" s="27">
        <f t="shared" si="9"/>
        <v>-9.5616506832196066E-2</v>
      </c>
      <c r="T223" s="19">
        <f>VLOOKUP(A223,[1]Sheet1!$A$2:$Q$1536,16,FALSE)</f>
        <v>9359.6271739882486</v>
      </c>
      <c r="U223" s="27">
        <f t="shared" si="10"/>
        <v>-6.8418625454594997E-2</v>
      </c>
      <c r="V223" s="19">
        <f>VLOOKUP(A223,[1]Sheet1!$A$2:$Q$1536,17,FALSE)</f>
        <v>9199.7333984375</v>
      </c>
      <c r="W223" s="27">
        <f t="shared" si="11"/>
        <v>-8.6988020946174249E-2</v>
      </c>
    </row>
    <row r="224" spans="1:23" x14ac:dyDescent="0.3">
      <c r="A224" s="4" t="s">
        <v>1335</v>
      </c>
      <c r="B224" s="5">
        <v>2020</v>
      </c>
      <c r="C224" s="5" t="s">
        <v>1089</v>
      </c>
      <c r="D224" s="15" t="s">
        <v>1328</v>
      </c>
      <c r="E224" s="6">
        <v>30728</v>
      </c>
      <c r="F224" s="5" t="s">
        <v>164</v>
      </c>
      <c r="G224" s="5" t="s">
        <v>28</v>
      </c>
      <c r="H224" s="5" t="s">
        <v>17</v>
      </c>
      <c r="I224" s="5" t="s">
        <v>18</v>
      </c>
      <c r="J224" s="7">
        <v>45323</v>
      </c>
      <c r="K224" s="5" t="s">
        <v>17</v>
      </c>
      <c r="L224" s="8">
        <v>44113</v>
      </c>
      <c r="M224" s="19">
        <v>264</v>
      </c>
      <c r="N224" s="19">
        <v>314</v>
      </c>
      <c r="O224" s="24">
        <v>12100</v>
      </c>
      <c r="P224" s="24">
        <v>11900</v>
      </c>
      <c r="Q224" t="s">
        <v>1984</v>
      </c>
      <c r="R224" s="19">
        <f>VLOOKUP(A224,[1]Sheet1!$A$2:$Q$1536,15,FALSE)</f>
        <v>11527.345703125</v>
      </c>
      <c r="S224" s="27">
        <f t="shared" si="9"/>
        <v>-3.2327849486979074E-2</v>
      </c>
      <c r="T224" s="19">
        <f>VLOOKUP(A224,[1]Sheet1!$A$2:$Q$1536,16,FALSE)</f>
        <v>12504.75456492</v>
      </c>
      <c r="U224" s="27">
        <f t="shared" si="10"/>
        <v>4.836196998352435E-2</v>
      </c>
      <c r="V224" s="19">
        <f>VLOOKUP(A224,[1]Sheet1!$A$2:$Q$1536,17,FALSE)</f>
        <v>11245.876953125</v>
      </c>
      <c r="W224" s="27">
        <f t="shared" si="11"/>
        <v>-5.8165588117450685E-2</v>
      </c>
    </row>
    <row r="225" spans="1:23" x14ac:dyDescent="0.3">
      <c r="A225" s="4" t="s">
        <v>972</v>
      </c>
      <c r="B225" s="5">
        <v>2019</v>
      </c>
      <c r="C225" s="5" t="s">
        <v>83</v>
      </c>
      <c r="D225" s="15" t="s">
        <v>965</v>
      </c>
      <c r="E225" s="6">
        <v>59097</v>
      </c>
      <c r="F225" s="5" t="s">
        <v>64</v>
      </c>
      <c r="G225" s="5" t="s">
        <v>28</v>
      </c>
      <c r="H225" s="5" t="s">
        <v>17</v>
      </c>
      <c r="I225" s="5" t="s">
        <v>18</v>
      </c>
      <c r="J225" s="7">
        <v>45664</v>
      </c>
      <c r="K225" s="5" t="s">
        <v>17</v>
      </c>
      <c r="L225" s="8">
        <v>43612</v>
      </c>
      <c r="M225" s="19">
        <v>264</v>
      </c>
      <c r="N225" s="19">
        <v>314</v>
      </c>
      <c r="O225" s="24">
        <v>10600</v>
      </c>
      <c r="P225" s="24">
        <v>5600</v>
      </c>
      <c r="Q225" t="s">
        <v>1984</v>
      </c>
      <c r="R225" s="19">
        <f>VLOOKUP(A225,[1]Sheet1!$A$2:$Q$1536,15,FALSE)</f>
        <v>14095.5361328125</v>
      </c>
      <c r="S225" s="27">
        <f t="shared" si="9"/>
        <v>0.60271110320068222</v>
      </c>
      <c r="T225" s="19">
        <f>VLOOKUP(A225,[1]Sheet1!$A$2:$Q$1536,16,FALSE)</f>
        <v>11188.472930352709</v>
      </c>
      <c r="U225" s="27">
        <f t="shared" si="10"/>
        <v>0.49948486850175866</v>
      </c>
      <c r="V225" s="19">
        <f>VLOOKUP(A225,[1]Sheet1!$A$2:$Q$1536,17,FALSE)</f>
        <v>14224.16015625</v>
      </c>
      <c r="W225" s="27">
        <f t="shared" si="11"/>
        <v>0.60630364545358428</v>
      </c>
    </row>
    <row r="226" spans="1:23" x14ac:dyDescent="0.3">
      <c r="A226" s="4" t="s">
        <v>444</v>
      </c>
      <c r="B226" s="5">
        <v>2014</v>
      </c>
      <c r="C226" s="5" t="s">
        <v>391</v>
      </c>
      <c r="D226" s="15" t="s">
        <v>432</v>
      </c>
      <c r="E226" s="6">
        <v>70579</v>
      </c>
      <c r="F226" s="5" t="s">
        <v>125</v>
      </c>
      <c r="G226" s="5" t="s">
        <v>16</v>
      </c>
      <c r="H226" s="5" t="s">
        <v>17</v>
      </c>
      <c r="I226" s="5" t="s">
        <v>18</v>
      </c>
      <c r="J226" s="7">
        <v>45594</v>
      </c>
      <c r="K226" s="5" t="s">
        <v>17</v>
      </c>
      <c r="L226" s="8">
        <v>44054</v>
      </c>
      <c r="M226" s="19">
        <v>235</v>
      </c>
      <c r="N226" s="19">
        <v>285</v>
      </c>
      <c r="O226" s="24">
        <v>7600</v>
      </c>
      <c r="P226" s="24">
        <v>5500</v>
      </c>
      <c r="Q226" t="s">
        <v>1984</v>
      </c>
      <c r="R226" s="19">
        <f>VLOOKUP(A226,[1]Sheet1!$A$2:$Q$1536,15,FALSE)</f>
        <v>9949.4794921875</v>
      </c>
      <c r="S226" s="27">
        <f t="shared" si="9"/>
        <v>0.44720726302127733</v>
      </c>
      <c r="T226" s="19">
        <f>VLOOKUP(A226,[1]Sheet1!$A$2:$Q$1536,16,FALSE)</f>
        <v>10428.20666693559</v>
      </c>
      <c r="U226" s="27">
        <f t="shared" si="10"/>
        <v>0.47258429223131054</v>
      </c>
      <c r="V226" s="19">
        <f>VLOOKUP(A226,[1]Sheet1!$A$2:$Q$1536,17,FALSE)</f>
        <v>9951.3173828125</v>
      </c>
      <c r="W226" s="27">
        <f t="shared" si="11"/>
        <v>0.44730935730184124</v>
      </c>
    </row>
    <row r="227" spans="1:23" x14ac:dyDescent="0.3">
      <c r="A227" s="4" t="s">
        <v>1069</v>
      </c>
      <c r="B227" s="5">
        <v>2017</v>
      </c>
      <c r="C227" s="5" t="s">
        <v>391</v>
      </c>
      <c r="D227" s="15" t="s">
        <v>1067</v>
      </c>
      <c r="E227" s="6">
        <v>66628</v>
      </c>
      <c r="F227" s="5" t="s">
        <v>36</v>
      </c>
      <c r="G227" s="5" t="s">
        <v>25</v>
      </c>
      <c r="H227" s="5" t="s">
        <v>18</v>
      </c>
      <c r="I227" s="5" t="s">
        <v>17</v>
      </c>
      <c r="J227" s="7">
        <v>45617</v>
      </c>
      <c r="K227" s="5" t="s">
        <v>17</v>
      </c>
      <c r="L227" s="8">
        <v>44307</v>
      </c>
      <c r="M227" s="19">
        <v>235</v>
      </c>
      <c r="N227" s="19">
        <v>285</v>
      </c>
      <c r="O227" s="24">
        <v>0</v>
      </c>
      <c r="P227" s="24">
        <v>7100</v>
      </c>
      <c r="Q227" t="s">
        <v>1983</v>
      </c>
      <c r="R227" s="19">
        <f>VLOOKUP(A227,[1]Sheet1!$A$2:$Q$1536,15,FALSE)</f>
        <v>6507.41552734375</v>
      </c>
      <c r="S227" s="27">
        <f t="shared" si="9"/>
        <v>-9.1062952744641462E-2</v>
      </c>
      <c r="T227" s="19">
        <f>VLOOKUP(A227,[1]Sheet1!$A$2:$Q$1536,16,FALSE)</f>
        <v>10782.37150325368</v>
      </c>
      <c r="U227" s="27">
        <f t="shared" si="10"/>
        <v>0.34151777298180558</v>
      </c>
      <c r="V227" s="19">
        <f>VLOOKUP(A227,[1]Sheet1!$A$2:$Q$1536,17,FALSE)</f>
        <v>6084.47021484375</v>
      </c>
      <c r="W227" s="27">
        <f t="shared" si="11"/>
        <v>-0.16690521102046826</v>
      </c>
    </row>
    <row r="228" spans="1:23" x14ac:dyDescent="0.3">
      <c r="A228" s="4" t="s">
        <v>703</v>
      </c>
      <c r="B228" s="5">
        <v>2012</v>
      </c>
      <c r="C228" s="5" t="s">
        <v>684</v>
      </c>
      <c r="D228" s="15" t="s">
        <v>693</v>
      </c>
      <c r="E228" s="6">
        <v>113165</v>
      </c>
      <c r="F228" s="5" t="s">
        <v>38</v>
      </c>
      <c r="G228" s="5" t="s">
        <v>25</v>
      </c>
      <c r="H228" s="5" t="s">
        <v>18</v>
      </c>
      <c r="I228" s="5" t="s">
        <v>17</v>
      </c>
      <c r="J228" s="7">
        <v>45412</v>
      </c>
      <c r="K228" s="5" t="s">
        <v>17</v>
      </c>
      <c r="L228" s="8">
        <v>44662</v>
      </c>
      <c r="M228" s="19">
        <v>235</v>
      </c>
      <c r="N228" s="19">
        <v>285</v>
      </c>
      <c r="O228" s="24">
        <v>5000</v>
      </c>
      <c r="P228" s="24">
        <v>1600</v>
      </c>
      <c r="Q228" t="s">
        <v>1984</v>
      </c>
      <c r="R228" s="19">
        <f>VLOOKUP(A228,[1]Sheet1!$A$2:$Q$1536,15,FALSE)</f>
        <v>1036.326904296875</v>
      </c>
      <c r="S228" s="27">
        <f t="shared" si="9"/>
        <v>-0.54391437042307111</v>
      </c>
      <c r="T228" s="19">
        <f>VLOOKUP(A228,[1]Sheet1!$A$2:$Q$1536,16,FALSE)</f>
        <v>8604.2591114106435</v>
      </c>
      <c r="U228" s="27">
        <f t="shared" si="10"/>
        <v>0.81404558146347072</v>
      </c>
      <c r="V228" s="19">
        <f>VLOOKUP(A228,[1]Sheet1!$A$2:$Q$1536,17,FALSE)</f>
        <v>1180.456665039062</v>
      </c>
      <c r="W228" s="27">
        <f t="shared" si="11"/>
        <v>-0.35540765483928627</v>
      </c>
    </row>
    <row r="229" spans="1:23" x14ac:dyDescent="0.3">
      <c r="A229" s="4" t="s">
        <v>1575</v>
      </c>
      <c r="B229" s="5">
        <v>2016</v>
      </c>
      <c r="C229" s="5" t="s">
        <v>636</v>
      </c>
      <c r="D229" s="15" t="s">
        <v>1296</v>
      </c>
      <c r="E229" s="6">
        <v>62400</v>
      </c>
      <c r="F229" s="5" t="s">
        <v>158</v>
      </c>
      <c r="G229" s="5" t="s">
        <v>16</v>
      </c>
      <c r="H229" s="5" t="s">
        <v>17</v>
      </c>
      <c r="I229" s="5" t="s">
        <v>18</v>
      </c>
      <c r="J229" s="7">
        <v>45524</v>
      </c>
      <c r="K229" s="5" t="s">
        <v>17</v>
      </c>
      <c r="L229" s="8">
        <v>44067</v>
      </c>
      <c r="M229" s="19">
        <v>235</v>
      </c>
      <c r="N229" s="19">
        <v>285</v>
      </c>
      <c r="O229" s="24">
        <v>11500</v>
      </c>
      <c r="P229" s="24">
        <v>7200</v>
      </c>
      <c r="Q229" t="s">
        <v>1984</v>
      </c>
      <c r="R229" s="19">
        <f>VLOOKUP(A229,[1]Sheet1!$A$2:$Q$1536,15,FALSE)</f>
        <v>10753.4453125</v>
      </c>
      <c r="S229" s="27">
        <f t="shared" si="9"/>
        <v>0.33044714593651309</v>
      </c>
      <c r="T229" s="19">
        <f>VLOOKUP(A229,[1]Sheet1!$A$2:$Q$1536,16,FALSE)</f>
        <v>11851.67964171038</v>
      </c>
      <c r="U229" s="27">
        <f t="shared" si="10"/>
        <v>0.39249117275659595</v>
      </c>
      <c r="V229" s="19">
        <f>VLOOKUP(A229,[1]Sheet1!$A$2:$Q$1536,17,FALSE)</f>
        <v>10494.6142578125</v>
      </c>
      <c r="W229" s="27">
        <f t="shared" si="11"/>
        <v>0.31393381184638514</v>
      </c>
    </row>
    <row r="230" spans="1:23" x14ac:dyDescent="0.3">
      <c r="A230" s="4" t="s">
        <v>1683</v>
      </c>
      <c r="B230" s="5">
        <v>2019</v>
      </c>
      <c r="C230" s="5" t="s">
        <v>1089</v>
      </c>
      <c r="D230" s="15" t="s">
        <v>1682</v>
      </c>
      <c r="E230" s="6">
        <v>15087</v>
      </c>
      <c r="F230" s="5" t="s">
        <v>44</v>
      </c>
      <c r="G230" s="5" t="s">
        <v>28</v>
      </c>
      <c r="H230" s="5" t="s">
        <v>17</v>
      </c>
      <c r="I230" s="5" t="s">
        <v>18</v>
      </c>
      <c r="J230" s="7">
        <v>45398</v>
      </c>
      <c r="K230" s="5" t="s">
        <v>17</v>
      </c>
      <c r="L230" s="8">
        <v>44067</v>
      </c>
      <c r="M230" s="19">
        <v>235</v>
      </c>
      <c r="N230" s="19">
        <v>285</v>
      </c>
      <c r="O230" s="24">
        <v>13700</v>
      </c>
      <c r="P230" s="24">
        <v>7000</v>
      </c>
      <c r="Q230" t="s">
        <v>1984</v>
      </c>
      <c r="R230" s="19">
        <f>VLOOKUP(A230,[1]Sheet1!$A$2:$Q$1536,15,FALSE)</f>
        <v>22088.1796875</v>
      </c>
      <c r="S230" s="27">
        <f t="shared" si="9"/>
        <v>0.68308841656329899</v>
      </c>
      <c r="T230" s="19">
        <f>VLOOKUP(A230,[1]Sheet1!$A$2:$Q$1536,16,FALSE)</f>
        <v>11421.78881411262</v>
      </c>
      <c r="U230" s="27">
        <f t="shared" si="10"/>
        <v>0.38713627839529946</v>
      </c>
      <c r="V230" s="19">
        <f>VLOOKUP(A230,[1]Sheet1!$A$2:$Q$1536,17,FALSE)</f>
        <v>22521.041015625</v>
      </c>
      <c r="W230" s="27">
        <f t="shared" si="11"/>
        <v>0.68917955457105951</v>
      </c>
    </row>
    <row r="231" spans="1:23" x14ac:dyDescent="0.3">
      <c r="A231" s="4" t="s">
        <v>340</v>
      </c>
      <c r="B231" s="5">
        <v>2014</v>
      </c>
      <c r="C231" s="5" t="s">
        <v>237</v>
      </c>
      <c r="D231" s="15" t="s">
        <v>310</v>
      </c>
      <c r="E231" s="6">
        <v>74008</v>
      </c>
      <c r="F231" s="5" t="s">
        <v>81</v>
      </c>
      <c r="G231" s="5" t="s">
        <v>25</v>
      </c>
      <c r="H231" s="5" t="s">
        <v>18</v>
      </c>
      <c r="I231" s="5" t="s">
        <v>17</v>
      </c>
      <c r="J231" s="7">
        <v>45580</v>
      </c>
      <c r="K231" s="5" t="s">
        <v>17</v>
      </c>
      <c r="L231" s="8">
        <v>44662</v>
      </c>
      <c r="M231" s="19">
        <v>235</v>
      </c>
      <c r="N231" s="19">
        <v>285</v>
      </c>
      <c r="O231" s="24">
        <v>3750</v>
      </c>
      <c r="P231" s="24">
        <v>1700</v>
      </c>
      <c r="Q231" t="s">
        <v>1984</v>
      </c>
      <c r="R231" s="19">
        <f>VLOOKUP(A231,[1]Sheet1!$A$2:$Q$1536,15,FALSE)</f>
        <v>3091.51708984375</v>
      </c>
      <c r="S231" s="27">
        <f t="shared" si="9"/>
        <v>0.45010816676872373</v>
      </c>
      <c r="T231" s="19">
        <f>VLOOKUP(A231,[1]Sheet1!$A$2:$Q$1536,16,FALSE)</f>
        <v>9454.0749285896982</v>
      </c>
      <c r="U231" s="27">
        <f t="shared" si="10"/>
        <v>0.8201833587272408</v>
      </c>
      <c r="V231" s="19">
        <f>VLOOKUP(A231,[1]Sheet1!$A$2:$Q$1536,17,FALSE)</f>
        <v>3090.05078125</v>
      </c>
      <c r="W231" s="27">
        <f t="shared" si="11"/>
        <v>0.44984722894673301</v>
      </c>
    </row>
    <row r="232" spans="1:23" x14ac:dyDescent="0.3">
      <c r="A232" s="4" t="s">
        <v>1432</v>
      </c>
      <c r="B232" s="5">
        <v>2016</v>
      </c>
      <c r="C232" s="5" t="s">
        <v>1086</v>
      </c>
      <c r="D232" s="15" t="s">
        <v>1411</v>
      </c>
      <c r="E232" s="6">
        <v>105883</v>
      </c>
      <c r="F232" s="5" t="s">
        <v>15</v>
      </c>
      <c r="G232" s="5" t="s">
        <v>28</v>
      </c>
      <c r="H232" s="5" t="s">
        <v>17</v>
      </c>
      <c r="I232" s="5" t="s">
        <v>18</v>
      </c>
      <c r="J232" s="7">
        <v>45706</v>
      </c>
      <c r="K232" s="5" t="s">
        <v>17</v>
      </c>
      <c r="L232" s="8">
        <v>44310</v>
      </c>
      <c r="M232" s="19">
        <v>235</v>
      </c>
      <c r="N232" s="19">
        <v>285</v>
      </c>
      <c r="O232" s="24">
        <v>6000</v>
      </c>
      <c r="P232" s="24">
        <v>800</v>
      </c>
      <c r="Q232" t="s">
        <v>1984</v>
      </c>
      <c r="R232" s="19">
        <f>VLOOKUP(A232,[1]Sheet1!$A$2:$Q$1536,15,FALSE)</f>
        <v>4414.76806640625</v>
      </c>
      <c r="S232" s="27">
        <f t="shared" si="9"/>
        <v>0.81879002747901475</v>
      </c>
      <c r="T232" s="19">
        <f>VLOOKUP(A232,[1]Sheet1!$A$2:$Q$1536,16,FALSE)</f>
        <v>9601.1687870850419</v>
      </c>
      <c r="U232" s="27">
        <f t="shared" si="10"/>
        <v>0.91667681115281341</v>
      </c>
      <c r="V232" s="19">
        <f>VLOOKUP(A232,[1]Sheet1!$A$2:$Q$1536,17,FALSE)</f>
        <v>4499.12060546875</v>
      </c>
      <c r="W232" s="27">
        <f t="shared" si="11"/>
        <v>0.82218747391932823</v>
      </c>
    </row>
    <row r="233" spans="1:23" x14ac:dyDescent="0.3">
      <c r="A233" s="4" t="s">
        <v>872</v>
      </c>
      <c r="B233" s="5">
        <v>2018</v>
      </c>
      <c r="C233" s="5" t="s">
        <v>391</v>
      </c>
      <c r="D233" s="15" t="s">
        <v>582</v>
      </c>
      <c r="E233" s="6">
        <v>75554</v>
      </c>
      <c r="F233" s="5" t="s">
        <v>184</v>
      </c>
      <c r="G233" s="5" t="s">
        <v>16</v>
      </c>
      <c r="H233" s="5" t="s">
        <v>17</v>
      </c>
      <c r="I233" s="5" t="s">
        <v>18</v>
      </c>
      <c r="J233" s="7">
        <v>45692</v>
      </c>
      <c r="K233" s="5" t="s">
        <v>17</v>
      </c>
      <c r="L233" s="8">
        <v>44121</v>
      </c>
      <c r="M233" s="19">
        <v>280</v>
      </c>
      <c r="N233" s="19">
        <v>330</v>
      </c>
      <c r="O233" s="24">
        <v>10250</v>
      </c>
      <c r="P233" s="24">
        <v>9500</v>
      </c>
      <c r="Q233" t="s">
        <v>1984</v>
      </c>
      <c r="R233" s="19">
        <f>VLOOKUP(A233,[1]Sheet1!$A$2:$Q$1536,15,FALSE)</f>
        <v>10667.2255859375</v>
      </c>
      <c r="S233" s="27">
        <f t="shared" si="9"/>
        <v>0.10942166513064486</v>
      </c>
      <c r="T233" s="19">
        <f>VLOOKUP(A233,[1]Sheet1!$A$2:$Q$1536,16,FALSE)</f>
        <v>10489.918602454931</v>
      </c>
      <c r="U233" s="27">
        <f t="shared" si="10"/>
        <v>9.4368568524760763E-2</v>
      </c>
      <c r="V233" s="19">
        <f>VLOOKUP(A233,[1]Sheet1!$A$2:$Q$1536,17,FALSE)</f>
        <v>10783.1630859375</v>
      </c>
      <c r="W233" s="27">
        <f t="shared" si="11"/>
        <v>0.11899690987803885</v>
      </c>
    </row>
    <row r="234" spans="1:23" x14ac:dyDescent="0.3">
      <c r="A234" s="4" t="s">
        <v>76</v>
      </c>
      <c r="B234" s="5">
        <v>2015</v>
      </c>
      <c r="C234" s="5" t="s">
        <v>46</v>
      </c>
      <c r="D234" s="15">
        <v>200</v>
      </c>
      <c r="E234" s="6">
        <v>139370</v>
      </c>
      <c r="F234" s="5" t="s">
        <v>77</v>
      </c>
      <c r="G234" s="5" t="s">
        <v>28</v>
      </c>
      <c r="H234" s="5" t="s">
        <v>17</v>
      </c>
      <c r="I234" s="5" t="s">
        <v>18</v>
      </c>
      <c r="J234" s="7">
        <v>45454</v>
      </c>
      <c r="K234" s="5" t="s">
        <v>17</v>
      </c>
      <c r="L234" s="8">
        <v>44444</v>
      </c>
      <c r="M234" s="19">
        <v>264</v>
      </c>
      <c r="N234" s="19">
        <v>314</v>
      </c>
      <c r="O234" s="24">
        <v>6300</v>
      </c>
      <c r="P234" s="24">
        <v>1700</v>
      </c>
      <c r="Q234" t="s">
        <v>1984</v>
      </c>
      <c r="R234" s="19">
        <f>VLOOKUP(A234,[1]Sheet1!$A$2:$Q$1536,15,FALSE)</f>
        <v>4725.96728515625</v>
      </c>
      <c r="S234" s="27">
        <f t="shared" si="9"/>
        <v>0.64028527972685811</v>
      </c>
      <c r="T234" s="19">
        <f>VLOOKUP(A234,[1]Sheet1!$A$2:$Q$1536,16,FALSE)</f>
        <v>8973.0802403049347</v>
      </c>
      <c r="U234" s="27">
        <f t="shared" si="10"/>
        <v>0.81054443351971761</v>
      </c>
      <c r="V234" s="19">
        <f>VLOOKUP(A234,[1]Sheet1!$A$2:$Q$1536,17,FALSE)</f>
        <v>4646.1630859375</v>
      </c>
      <c r="W234" s="27">
        <f t="shared" si="11"/>
        <v>0.63410668791515845</v>
      </c>
    </row>
    <row r="235" spans="1:23" x14ac:dyDescent="0.3">
      <c r="A235" s="4" t="s">
        <v>815</v>
      </c>
      <c r="B235" s="5">
        <v>2017</v>
      </c>
      <c r="C235" s="5" t="s">
        <v>559</v>
      </c>
      <c r="D235" s="15" t="s">
        <v>809</v>
      </c>
      <c r="E235" s="6">
        <v>191353</v>
      </c>
      <c r="F235" s="5" t="s">
        <v>21</v>
      </c>
      <c r="G235" s="5" t="s">
        <v>22</v>
      </c>
      <c r="H235" s="5" t="s">
        <v>18</v>
      </c>
      <c r="I235" s="5" t="s">
        <v>17</v>
      </c>
      <c r="J235" s="7">
        <v>45610</v>
      </c>
      <c r="K235" s="5" t="s">
        <v>17</v>
      </c>
      <c r="L235" s="8">
        <v>44067</v>
      </c>
      <c r="M235" s="19">
        <v>235</v>
      </c>
      <c r="N235" s="19">
        <v>285</v>
      </c>
      <c r="O235" s="24">
        <v>0</v>
      </c>
      <c r="P235" s="24">
        <v>4900</v>
      </c>
      <c r="Q235" t="s">
        <v>1983</v>
      </c>
      <c r="R235" s="19">
        <f>VLOOKUP(A235,[1]Sheet1!$A$2:$Q$1536,15,FALSE)</f>
        <v>4343.28076171875</v>
      </c>
      <c r="S235" s="27">
        <f t="shared" si="9"/>
        <v>-0.12817942675686975</v>
      </c>
      <c r="T235" s="19">
        <f>VLOOKUP(A235,[1]Sheet1!$A$2:$Q$1536,16,FALSE)</f>
        <v>10096.8340447965</v>
      </c>
      <c r="U235" s="27">
        <f t="shared" si="10"/>
        <v>0.51469936236841862</v>
      </c>
      <c r="V235" s="19">
        <f>VLOOKUP(A235,[1]Sheet1!$A$2:$Q$1536,17,FALSE)</f>
        <v>4176.4921875</v>
      </c>
      <c r="W235" s="27">
        <f t="shared" si="11"/>
        <v>-0.17323336906158165</v>
      </c>
    </row>
    <row r="236" spans="1:23" x14ac:dyDescent="0.3">
      <c r="A236" s="4" t="s">
        <v>1522</v>
      </c>
      <c r="B236" s="5">
        <v>2012</v>
      </c>
      <c r="C236" s="5" t="s">
        <v>1139</v>
      </c>
      <c r="D236" s="15" t="s">
        <v>1523</v>
      </c>
      <c r="E236" s="6">
        <v>123897</v>
      </c>
      <c r="F236" s="5" t="s">
        <v>73</v>
      </c>
      <c r="G236" s="5" t="s">
        <v>33</v>
      </c>
      <c r="H236" s="5" t="s">
        <v>17</v>
      </c>
      <c r="I236" s="5" t="s">
        <v>18</v>
      </c>
      <c r="J236" s="7">
        <v>45510</v>
      </c>
      <c r="K236" s="5" t="s">
        <v>17</v>
      </c>
      <c r="L236" s="8">
        <v>44310</v>
      </c>
      <c r="M236" s="19">
        <v>235</v>
      </c>
      <c r="N236" s="19">
        <v>285</v>
      </c>
      <c r="O236" s="24">
        <v>2700</v>
      </c>
      <c r="P236" s="24">
        <v>1600</v>
      </c>
      <c r="Q236" t="s">
        <v>1984</v>
      </c>
      <c r="R236" s="19">
        <f>VLOOKUP(A236,[1]Sheet1!$A$2:$Q$1536,15,FALSE)</f>
        <v>1356.045776367188</v>
      </c>
      <c r="S236" s="27">
        <f t="shared" si="9"/>
        <v>-0.17990117139434569</v>
      </c>
      <c r="T236" s="19">
        <f>VLOOKUP(A236,[1]Sheet1!$A$2:$Q$1536,16,FALSE)</f>
        <v>9032.9468420261492</v>
      </c>
      <c r="U236" s="27">
        <f t="shared" si="10"/>
        <v>0.82287065030030559</v>
      </c>
      <c r="V236" s="19">
        <f>VLOOKUP(A236,[1]Sheet1!$A$2:$Q$1536,17,FALSE)</f>
        <v>1380.25</v>
      </c>
      <c r="W236" s="27">
        <f t="shared" si="11"/>
        <v>-0.15921028799130593</v>
      </c>
    </row>
    <row r="237" spans="1:23" x14ac:dyDescent="0.3">
      <c r="A237" s="4" t="s">
        <v>1512</v>
      </c>
      <c r="B237" s="5">
        <v>2020</v>
      </c>
      <c r="C237" s="5" t="s">
        <v>1228</v>
      </c>
      <c r="D237" s="15" t="s">
        <v>1511</v>
      </c>
      <c r="E237" s="6">
        <v>36107</v>
      </c>
      <c r="F237" s="5" t="s">
        <v>125</v>
      </c>
      <c r="G237" s="5" t="s">
        <v>16</v>
      </c>
      <c r="H237" s="5" t="s">
        <v>17</v>
      </c>
      <c r="I237" s="5" t="s">
        <v>18</v>
      </c>
      <c r="J237" s="7">
        <v>45664</v>
      </c>
      <c r="K237" s="5" t="s">
        <v>17</v>
      </c>
      <c r="L237" s="8">
        <v>44310</v>
      </c>
      <c r="M237" s="19">
        <v>235</v>
      </c>
      <c r="N237" s="19">
        <v>285</v>
      </c>
      <c r="O237" s="24">
        <v>18000</v>
      </c>
      <c r="P237" s="24">
        <v>11500</v>
      </c>
      <c r="Q237" t="s">
        <v>1984</v>
      </c>
      <c r="R237" s="19">
        <f>VLOOKUP(A237,[1]Sheet1!$A$2:$Q$1536,15,FALSE)</f>
        <v>19334.60546875</v>
      </c>
      <c r="S237" s="27">
        <f t="shared" si="9"/>
        <v>0.40521155093714539</v>
      </c>
      <c r="T237" s="19">
        <f>VLOOKUP(A237,[1]Sheet1!$A$2:$Q$1536,16,FALSE)</f>
        <v>13586.15924815427</v>
      </c>
      <c r="U237" s="27">
        <f t="shared" si="10"/>
        <v>0.15355033089559014</v>
      </c>
      <c r="V237" s="19">
        <f>VLOOKUP(A237,[1]Sheet1!$A$2:$Q$1536,17,FALSE)</f>
        <v>19317.044921875</v>
      </c>
      <c r="W237" s="27">
        <f t="shared" si="11"/>
        <v>0.40467084657564911</v>
      </c>
    </row>
    <row r="238" spans="1:23" x14ac:dyDescent="0.3">
      <c r="A238" s="4" t="s">
        <v>779</v>
      </c>
      <c r="B238" s="5">
        <v>2021</v>
      </c>
      <c r="C238" s="5" t="s">
        <v>237</v>
      </c>
      <c r="D238" s="15" t="s">
        <v>764</v>
      </c>
      <c r="E238" s="6">
        <v>48386</v>
      </c>
      <c r="F238" s="5" t="s">
        <v>101</v>
      </c>
      <c r="G238" s="5" t="s">
        <v>16</v>
      </c>
      <c r="H238" s="5" t="s">
        <v>17</v>
      </c>
      <c r="I238" s="5" t="s">
        <v>18</v>
      </c>
      <c r="J238" s="7">
        <v>45720</v>
      </c>
      <c r="K238" s="5" t="s">
        <v>17</v>
      </c>
      <c r="L238" s="8">
        <v>44028</v>
      </c>
      <c r="M238" s="19">
        <v>235</v>
      </c>
      <c r="N238" s="19">
        <v>285</v>
      </c>
      <c r="O238" s="24">
        <v>18250</v>
      </c>
      <c r="P238" s="24">
        <v>12500</v>
      </c>
      <c r="Q238" t="s">
        <v>1984</v>
      </c>
      <c r="R238" s="19">
        <f>VLOOKUP(A238,[1]Sheet1!$A$2:$Q$1536,15,FALSE)</f>
        <v>21691.93359375</v>
      </c>
      <c r="S238" s="27">
        <f t="shared" si="9"/>
        <v>0.42374892740767151</v>
      </c>
      <c r="T238" s="19">
        <f>VLOOKUP(A238,[1]Sheet1!$A$2:$Q$1536,16,FALSE)</f>
        <v>14683.712156940959</v>
      </c>
      <c r="U238" s="27">
        <f t="shared" si="10"/>
        <v>0.14871662789362997</v>
      </c>
      <c r="V238" s="19">
        <f>VLOOKUP(A238,[1]Sheet1!$A$2:$Q$1536,17,FALSE)</f>
        <v>21498.37109375</v>
      </c>
      <c r="W238" s="27">
        <f t="shared" si="11"/>
        <v>0.41856059952216584</v>
      </c>
    </row>
    <row r="239" spans="1:23" x14ac:dyDescent="0.3">
      <c r="A239" s="4" t="s">
        <v>842</v>
      </c>
      <c r="B239" s="5">
        <v>2017</v>
      </c>
      <c r="C239" s="5" t="s">
        <v>391</v>
      </c>
      <c r="D239" s="15" t="s">
        <v>580</v>
      </c>
      <c r="E239" s="6">
        <v>138303</v>
      </c>
      <c r="F239" s="5" t="s">
        <v>64</v>
      </c>
      <c r="G239" s="5" t="s">
        <v>25</v>
      </c>
      <c r="H239" s="5" t="s">
        <v>18</v>
      </c>
      <c r="I239" s="5" t="s">
        <v>17</v>
      </c>
      <c r="J239" s="7">
        <v>45435</v>
      </c>
      <c r="K239" s="5" t="s">
        <v>17</v>
      </c>
      <c r="L239" s="8">
        <v>44113</v>
      </c>
      <c r="M239" s="19">
        <v>264</v>
      </c>
      <c r="N239" s="19">
        <v>314</v>
      </c>
      <c r="O239" s="24">
        <v>0</v>
      </c>
      <c r="P239" s="24">
        <v>6100</v>
      </c>
      <c r="Q239" t="s">
        <v>1983</v>
      </c>
      <c r="R239" s="19">
        <f>VLOOKUP(A239,[1]Sheet1!$A$2:$Q$1536,15,FALSE)</f>
        <v>7412.67724609375</v>
      </c>
      <c r="S239" s="27">
        <f t="shared" si="9"/>
        <v>0.17708544463951806</v>
      </c>
      <c r="T239" s="19">
        <f>VLOOKUP(A239,[1]Sheet1!$A$2:$Q$1536,16,FALSE)</f>
        <v>9438.1947608442915</v>
      </c>
      <c r="U239" s="27">
        <f t="shared" si="10"/>
        <v>0.35368996353977272</v>
      </c>
      <c r="V239" s="19">
        <f>VLOOKUP(A239,[1]Sheet1!$A$2:$Q$1536,17,FALSE)</f>
        <v>7427.55712890625</v>
      </c>
      <c r="W239" s="27">
        <f t="shared" si="11"/>
        <v>0.17873401791010396</v>
      </c>
    </row>
    <row r="240" spans="1:23" x14ac:dyDescent="0.3">
      <c r="A240" s="4" t="s">
        <v>1671</v>
      </c>
      <c r="B240" s="5">
        <v>2017</v>
      </c>
      <c r="C240" s="5" t="s">
        <v>1089</v>
      </c>
      <c r="D240" s="15" t="s">
        <v>1659</v>
      </c>
      <c r="E240" s="6">
        <v>103801</v>
      </c>
      <c r="F240" s="5" t="s">
        <v>79</v>
      </c>
      <c r="G240" s="5" t="s">
        <v>22</v>
      </c>
      <c r="H240" s="5" t="s">
        <v>18</v>
      </c>
      <c r="I240" s="5" t="s">
        <v>17</v>
      </c>
      <c r="J240" s="7">
        <v>45566</v>
      </c>
      <c r="K240" s="5" t="s">
        <v>17</v>
      </c>
      <c r="L240" s="8">
        <v>44128</v>
      </c>
      <c r="M240" s="19">
        <v>264</v>
      </c>
      <c r="N240" s="19">
        <v>314</v>
      </c>
      <c r="O240" s="24">
        <v>5900</v>
      </c>
      <c r="P240" s="24">
        <v>5600</v>
      </c>
      <c r="Q240" t="s">
        <v>1984</v>
      </c>
      <c r="R240" s="19">
        <f>VLOOKUP(A240,[1]Sheet1!$A$2:$Q$1536,15,FALSE)</f>
        <v>2792.449462890625</v>
      </c>
      <c r="S240" s="27">
        <f t="shared" si="9"/>
        <v>-1.0054078236399373</v>
      </c>
      <c r="T240" s="19">
        <f>VLOOKUP(A240,[1]Sheet1!$A$2:$Q$1536,16,FALSE)</f>
        <v>8776.3848786836461</v>
      </c>
      <c r="U240" s="27">
        <f t="shared" si="10"/>
        <v>0.36192406356272588</v>
      </c>
      <c r="V240" s="19">
        <f>VLOOKUP(A240,[1]Sheet1!$A$2:$Q$1536,17,FALSE)</f>
        <v>2606.359375</v>
      </c>
      <c r="W240" s="27">
        <f t="shared" si="11"/>
        <v>-1.1485908864735892</v>
      </c>
    </row>
    <row r="241" spans="1:23" x14ac:dyDescent="0.3">
      <c r="A241" s="4" t="s">
        <v>707</v>
      </c>
      <c r="B241" s="5">
        <v>2012</v>
      </c>
      <c r="C241" s="5" t="s">
        <v>237</v>
      </c>
      <c r="D241" s="15" t="s">
        <v>245</v>
      </c>
      <c r="E241" s="6">
        <v>126137</v>
      </c>
      <c r="F241" s="5" t="s">
        <v>32</v>
      </c>
      <c r="G241" s="5" t="s">
        <v>25</v>
      </c>
      <c r="H241" s="5" t="s">
        <v>18</v>
      </c>
      <c r="I241" s="5" t="s">
        <v>17</v>
      </c>
      <c r="J241" s="7">
        <v>45608</v>
      </c>
      <c r="K241" s="5" t="s">
        <v>17</v>
      </c>
      <c r="L241" s="8">
        <v>44451</v>
      </c>
      <c r="M241" s="19">
        <v>264</v>
      </c>
      <c r="N241" s="19">
        <v>314</v>
      </c>
      <c r="O241" s="24">
        <v>5400</v>
      </c>
      <c r="P241" s="24">
        <v>3000</v>
      </c>
      <c r="Q241" t="s">
        <v>1984</v>
      </c>
      <c r="R241" s="19">
        <f>VLOOKUP(A241,[1]Sheet1!$A$2:$Q$1536,15,FALSE)</f>
        <v>2868.077880859375</v>
      </c>
      <c r="S241" s="27">
        <f t="shared" si="9"/>
        <v>-4.5996700445629667E-2</v>
      </c>
      <c r="T241" s="19">
        <f>VLOOKUP(A241,[1]Sheet1!$A$2:$Q$1536,16,FALSE)</f>
        <v>9449.221005336256</v>
      </c>
      <c r="U241" s="27">
        <f t="shared" si="10"/>
        <v>0.68251351108140967</v>
      </c>
      <c r="V241" s="19">
        <f>VLOOKUP(A241,[1]Sheet1!$A$2:$Q$1536,17,FALSE)</f>
        <v>2804.68310546875</v>
      </c>
      <c r="W241" s="27">
        <f t="shared" si="11"/>
        <v>-6.9639558975632093E-2</v>
      </c>
    </row>
    <row r="242" spans="1:23" x14ac:dyDescent="0.3">
      <c r="A242" s="4" t="s">
        <v>56</v>
      </c>
      <c r="B242" s="5">
        <v>2016</v>
      </c>
      <c r="C242" s="5" t="s">
        <v>46</v>
      </c>
      <c r="D242" s="15" t="s">
        <v>53</v>
      </c>
      <c r="E242" s="6">
        <v>92217</v>
      </c>
      <c r="F242" s="5" t="s">
        <v>57</v>
      </c>
      <c r="G242" s="5" t="s">
        <v>25</v>
      </c>
      <c r="H242" s="5" t="s">
        <v>18</v>
      </c>
      <c r="I242" s="5" t="s">
        <v>17</v>
      </c>
      <c r="J242" s="7">
        <v>45421</v>
      </c>
      <c r="K242" s="5" t="s">
        <v>17</v>
      </c>
      <c r="L242" s="8">
        <v>44054</v>
      </c>
      <c r="M242" s="19">
        <v>235</v>
      </c>
      <c r="N242" s="19">
        <v>285</v>
      </c>
      <c r="O242" s="24">
        <v>0</v>
      </c>
      <c r="P242" s="24">
        <v>10500</v>
      </c>
      <c r="Q242" t="s">
        <v>1983</v>
      </c>
      <c r="R242" s="19">
        <f>VLOOKUP(A242,[1]Sheet1!$A$2:$Q$1536,15,FALSE)</f>
        <v>3750.3115234375</v>
      </c>
      <c r="S242" s="27">
        <f t="shared" si="9"/>
        <v>-1.7997674151548348</v>
      </c>
      <c r="T242" s="19">
        <f>VLOOKUP(A242,[1]Sheet1!$A$2:$Q$1536,16,FALSE)</f>
        <v>8982.7306198927272</v>
      </c>
      <c r="U242" s="27">
        <f t="shared" si="10"/>
        <v>-0.16890959378735018</v>
      </c>
      <c r="V242" s="19">
        <f>VLOOKUP(A242,[1]Sheet1!$A$2:$Q$1536,17,FALSE)</f>
        <v>3588.97705078125</v>
      </c>
      <c r="W242" s="27">
        <f t="shared" si="11"/>
        <v>-1.9256247257737007</v>
      </c>
    </row>
    <row r="243" spans="1:23" x14ac:dyDescent="0.3">
      <c r="A243" s="4" t="s">
        <v>775</v>
      </c>
      <c r="B243" s="5">
        <v>2020</v>
      </c>
      <c r="C243" s="5" t="s">
        <v>237</v>
      </c>
      <c r="D243" s="15" t="s">
        <v>764</v>
      </c>
      <c r="E243" s="6">
        <v>71652</v>
      </c>
      <c r="F243" s="5" t="s">
        <v>158</v>
      </c>
      <c r="G243" s="5" t="s">
        <v>16</v>
      </c>
      <c r="H243" s="5" t="s">
        <v>17</v>
      </c>
      <c r="I243" s="5" t="s">
        <v>18</v>
      </c>
      <c r="J243" s="7">
        <v>45622</v>
      </c>
      <c r="K243" s="5" t="s">
        <v>17</v>
      </c>
      <c r="L243" s="8">
        <v>43950</v>
      </c>
      <c r="M243" s="19">
        <v>264</v>
      </c>
      <c r="N243" s="19">
        <v>314</v>
      </c>
      <c r="O243" s="24">
        <v>13100</v>
      </c>
      <c r="P243" s="24">
        <v>11500</v>
      </c>
      <c r="Q243" t="s">
        <v>1984</v>
      </c>
      <c r="R243" s="19">
        <f>VLOOKUP(A243,[1]Sheet1!$A$2:$Q$1536,15,FALSE)</f>
        <v>14322.4697265625</v>
      </c>
      <c r="S243" s="27">
        <f t="shared" si="9"/>
        <v>0.19706585389584999</v>
      </c>
      <c r="T243" s="19">
        <f>VLOOKUP(A243,[1]Sheet1!$A$2:$Q$1536,16,FALSE)</f>
        <v>11584.836942813859</v>
      </c>
      <c r="U243" s="27">
        <f t="shared" si="10"/>
        <v>7.3231020197038043E-3</v>
      </c>
      <c r="V243" s="19">
        <f>VLOOKUP(A243,[1]Sheet1!$A$2:$Q$1536,17,FALSE)</f>
        <v>14535.298828125</v>
      </c>
      <c r="W243" s="27">
        <f t="shared" si="11"/>
        <v>0.20882259553218571</v>
      </c>
    </row>
    <row r="244" spans="1:23" x14ac:dyDescent="0.3">
      <c r="A244" s="4" t="s">
        <v>971</v>
      </c>
      <c r="B244" s="5">
        <v>2017</v>
      </c>
      <c r="C244" s="5" t="s">
        <v>83</v>
      </c>
      <c r="D244" s="15" t="s">
        <v>969</v>
      </c>
      <c r="E244" s="6">
        <v>99999</v>
      </c>
      <c r="F244" s="5" t="s">
        <v>132</v>
      </c>
      <c r="G244" s="5" t="s">
        <v>25</v>
      </c>
      <c r="H244" s="5" t="s">
        <v>18</v>
      </c>
      <c r="I244" s="5" t="s">
        <v>17</v>
      </c>
      <c r="J244" s="7">
        <v>45498</v>
      </c>
      <c r="K244" s="5" t="s">
        <v>17</v>
      </c>
      <c r="L244" s="8">
        <v>44224</v>
      </c>
      <c r="M244" s="19">
        <v>235</v>
      </c>
      <c r="N244" s="19">
        <v>285</v>
      </c>
      <c r="O244" s="24">
        <v>0</v>
      </c>
      <c r="P244" s="24">
        <v>11500</v>
      </c>
      <c r="Q244" t="s">
        <v>1983</v>
      </c>
      <c r="R244" s="19">
        <f>VLOOKUP(A244,[1]Sheet1!$A$2:$Q$1536,15,FALSE)</f>
        <v>3923.80615234375</v>
      </c>
      <c r="S244" s="27">
        <f t="shared" si="9"/>
        <v>-1.9308277609817377</v>
      </c>
      <c r="T244" s="19">
        <f>VLOOKUP(A244,[1]Sheet1!$A$2:$Q$1536,16,FALSE)</f>
        <v>9065.8889816282081</v>
      </c>
      <c r="U244" s="27">
        <f t="shared" si="10"/>
        <v>-0.26849115660962269</v>
      </c>
      <c r="V244" s="19">
        <f>VLOOKUP(A244,[1]Sheet1!$A$2:$Q$1536,17,FALSE)</f>
        <v>3857.52734375</v>
      </c>
      <c r="W244" s="27">
        <f t="shared" si="11"/>
        <v>-1.9811843119226107</v>
      </c>
    </row>
    <row r="245" spans="1:23" x14ac:dyDescent="0.3">
      <c r="A245" s="4" t="s">
        <v>1793</v>
      </c>
      <c r="B245" s="5">
        <v>2017</v>
      </c>
      <c r="C245" s="5" t="s">
        <v>1086</v>
      </c>
      <c r="D245" s="15" t="s">
        <v>1788</v>
      </c>
      <c r="E245" s="6">
        <v>79887</v>
      </c>
      <c r="F245" s="5" t="s">
        <v>59</v>
      </c>
      <c r="G245" s="5" t="s">
        <v>16</v>
      </c>
      <c r="H245" s="5" t="s">
        <v>17</v>
      </c>
      <c r="I245" s="5" t="s">
        <v>18</v>
      </c>
      <c r="J245" s="7">
        <v>45440</v>
      </c>
      <c r="K245" s="5" t="s">
        <v>17</v>
      </c>
      <c r="L245" s="8">
        <v>44054</v>
      </c>
      <c r="M245" s="19">
        <v>235</v>
      </c>
      <c r="N245" s="19">
        <v>285</v>
      </c>
      <c r="O245" s="24">
        <v>9750</v>
      </c>
      <c r="P245" s="24">
        <v>2900</v>
      </c>
      <c r="Q245" t="s">
        <v>1984</v>
      </c>
      <c r="R245" s="19">
        <f>VLOOKUP(A245,[1]Sheet1!$A$2:$Q$1536,15,FALSE)</f>
        <v>9751.048828125</v>
      </c>
      <c r="S245" s="27">
        <f t="shared" si="9"/>
        <v>0.70259609493129449</v>
      </c>
      <c r="T245" s="19">
        <f>VLOOKUP(A245,[1]Sheet1!$A$2:$Q$1536,16,FALSE)</f>
        <v>9829.589018867413</v>
      </c>
      <c r="U245" s="27">
        <f t="shared" si="10"/>
        <v>0.70497240582148524</v>
      </c>
      <c r="V245" s="19">
        <f>VLOOKUP(A245,[1]Sheet1!$A$2:$Q$1536,17,FALSE)</f>
        <v>9792.83203125</v>
      </c>
      <c r="W245" s="27">
        <f t="shared" si="11"/>
        <v>0.70386503202079009</v>
      </c>
    </row>
    <row r="246" spans="1:23" x14ac:dyDescent="0.3">
      <c r="A246" s="4" t="s">
        <v>1707</v>
      </c>
      <c r="B246" s="5">
        <v>2012</v>
      </c>
      <c r="C246" s="5" t="s">
        <v>1089</v>
      </c>
      <c r="D246" s="15" t="s">
        <v>1328</v>
      </c>
      <c r="E246" s="6">
        <v>87503</v>
      </c>
      <c r="F246" s="5" t="s">
        <v>36</v>
      </c>
      <c r="G246" s="5" t="s">
        <v>28</v>
      </c>
      <c r="H246" s="5" t="s">
        <v>17</v>
      </c>
      <c r="I246" s="5" t="s">
        <v>18</v>
      </c>
      <c r="J246" s="7">
        <v>45566</v>
      </c>
      <c r="K246" s="5" t="s">
        <v>17</v>
      </c>
      <c r="L246" s="8">
        <v>44128</v>
      </c>
      <c r="M246" s="19">
        <v>264</v>
      </c>
      <c r="N246" s="19">
        <v>314</v>
      </c>
      <c r="O246" s="24">
        <v>3700</v>
      </c>
      <c r="P246" s="24">
        <v>1600</v>
      </c>
      <c r="Q246" t="s">
        <v>1984</v>
      </c>
      <c r="R246" s="19">
        <f>VLOOKUP(A246,[1]Sheet1!$A$2:$Q$1536,15,FALSE)</f>
        <v>1774.925415039062</v>
      </c>
      <c r="S246" s="27">
        <f t="shared" si="9"/>
        <v>9.8553670794787926E-2</v>
      </c>
      <c r="T246" s="19">
        <f>VLOOKUP(A246,[1]Sheet1!$A$2:$Q$1536,16,FALSE)</f>
        <v>8834.3420857716774</v>
      </c>
      <c r="U246" s="27">
        <f t="shared" si="10"/>
        <v>0.81888860715763867</v>
      </c>
      <c r="V246" s="19">
        <f>VLOOKUP(A246,[1]Sheet1!$A$2:$Q$1536,17,FALSE)</f>
        <v>1715.600830078125</v>
      </c>
      <c r="W246" s="27">
        <f t="shared" si="11"/>
        <v>6.7382125288934933E-2</v>
      </c>
    </row>
    <row r="247" spans="1:23" x14ac:dyDescent="0.3">
      <c r="A247" s="4" t="s">
        <v>67</v>
      </c>
      <c r="B247" s="5">
        <v>2016</v>
      </c>
      <c r="C247" s="5" t="s">
        <v>46</v>
      </c>
      <c r="D247" s="15" t="s">
        <v>68</v>
      </c>
      <c r="E247" s="6">
        <v>109198</v>
      </c>
      <c r="F247" s="5" t="s">
        <v>42</v>
      </c>
      <c r="G247" s="5" t="s">
        <v>25</v>
      </c>
      <c r="H247" s="5" t="s">
        <v>18</v>
      </c>
      <c r="I247" s="5" t="s">
        <v>17</v>
      </c>
      <c r="J247" s="7">
        <v>45372</v>
      </c>
      <c r="K247" s="5" t="s">
        <v>17</v>
      </c>
      <c r="L247" s="8">
        <v>44113</v>
      </c>
      <c r="M247" s="19">
        <v>264</v>
      </c>
      <c r="N247" s="19">
        <v>314</v>
      </c>
      <c r="O247" s="24">
        <v>0</v>
      </c>
      <c r="P247" s="24">
        <v>11000</v>
      </c>
      <c r="Q247" t="s">
        <v>1983</v>
      </c>
      <c r="R247" s="19">
        <f>VLOOKUP(A247,[1]Sheet1!$A$2:$Q$1536,15,FALSE)</f>
        <v>3083.4521484375</v>
      </c>
      <c r="S247" s="27">
        <f t="shared" si="9"/>
        <v>-2.5674300979744764</v>
      </c>
      <c r="T247" s="19">
        <f>VLOOKUP(A247,[1]Sheet1!$A$2:$Q$1536,16,FALSE)</f>
        <v>8951.7005597465813</v>
      </c>
      <c r="U247" s="27">
        <f t="shared" si="10"/>
        <v>-0.22881679593529713</v>
      </c>
      <c r="V247" s="19">
        <f>VLOOKUP(A247,[1]Sheet1!$A$2:$Q$1536,17,FALSE)</f>
        <v>2948.25927734375</v>
      </c>
      <c r="W247" s="27">
        <f t="shared" si="11"/>
        <v>-2.7310151398592422</v>
      </c>
    </row>
    <row r="248" spans="1:23" x14ac:dyDescent="0.3">
      <c r="A248" s="4" t="s">
        <v>1732</v>
      </c>
      <c r="B248" s="5">
        <v>2017</v>
      </c>
      <c r="C248" s="5" t="s">
        <v>1086</v>
      </c>
      <c r="D248" s="15" t="s">
        <v>1087</v>
      </c>
      <c r="E248" s="6">
        <v>105352</v>
      </c>
      <c r="F248" s="5" t="s">
        <v>57</v>
      </c>
      <c r="G248" s="5" t="s">
        <v>25</v>
      </c>
      <c r="H248" s="5" t="s">
        <v>18</v>
      </c>
      <c r="I248" s="5" t="s">
        <v>17</v>
      </c>
      <c r="J248" s="7">
        <v>45610</v>
      </c>
      <c r="K248" s="5" t="s">
        <v>17</v>
      </c>
      <c r="L248" s="8">
        <v>44113</v>
      </c>
      <c r="M248" s="19">
        <v>264</v>
      </c>
      <c r="N248" s="19">
        <v>314</v>
      </c>
      <c r="O248" s="24">
        <v>2100</v>
      </c>
      <c r="P248" s="24">
        <v>1800</v>
      </c>
      <c r="Q248" t="s">
        <v>1984</v>
      </c>
      <c r="R248" s="19">
        <f>VLOOKUP(A248,[1]Sheet1!$A$2:$Q$1536,15,FALSE)</f>
        <v>2322.480224609375</v>
      </c>
      <c r="S248" s="27">
        <f t="shared" si="9"/>
        <v>0.2249664901655955</v>
      </c>
      <c r="T248" s="19">
        <f>VLOOKUP(A248,[1]Sheet1!$A$2:$Q$1536,16,FALSE)</f>
        <v>8570.673470895239</v>
      </c>
      <c r="U248" s="27">
        <f t="shared" si="10"/>
        <v>0.78998149840703435</v>
      </c>
      <c r="V248" s="19">
        <f>VLOOKUP(A248,[1]Sheet1!$A$2:$Q$1536,17,FALSE)</f>
        <v>2200.2490234375</v>
      </c>
      <c r="W248" s="27">
        <f t="shared" si="11"/>
        <v>0.18191078335859534</v>
      </c>
    </row>
    <row r="249" spans="1:23" x14ac:dyDescent="0.3">
      <c r="A249" s="4" t="s">
        <v>1426</v>
      </c>
      <c r="B249" s="5">
        <v>2017</v>
      </c>
      <c r="C249" s="5" t="s">
        <v>1086</v>
      </c>
      <c r="D249" s="15" t="s">
        <v>1411</v>
      </c>
      <c r="E249" s="6">
        <v>75642</v>
      </c>
      <c r="F249" s="5" t="s">
        <v>21</v>
      </c>
      <c r="G249" s="5" t="s">
        <v>22</v>
      </c>
      <c r="H249" s="5" t="s">
        <v>18</v>
      </c>
      <c r="I249" s="5" t="s">
        <v>17</v>
      </c>
      <c r="J249" s="7">
        <v>45370</v>
      </c>
      <c r="K249" s="5" t="s">
        <v>17</v>
      </c>
      <c r="L249" s="8">
        <v>44451</v>
      </c>
      <c r="M249" s="19">
        <v>264</v>
      </c>
      <c r="N249" s="19">
        <v>314</v>
      </c>
      <c r="O249" s="24">
        <v>4600</v>
      </c>
      <c r="P249" s="24">
        <v>2300</v>
      </c>
      <c r="Q249" t="s">
        <v>1984</v>
      </c>
      <c r="R249" s="19">
        <f>VLOOKUP(A249,[1]Sheet1!$A$2:$Q$1536,15,FALSE)</f>
        <v>3051.961669921875</v>
      </c>
      <c r="S249" s="27">
        <f t="shared" si="9"/>
        <v>0.24638634139239499</v>
      </c>
      <c r="T249" s="19">
        <f>VLOOKUP(A249,[1]Sheet1!$A$2:$Q$1536,16,FALSE)</f>
        <v>8843.8751197539095</v>
      </c>
      <c r="U249" s="27">
        <f t="shared" si="10"/>
        <v>0.73993300800203976</v>
      </c>
      <c r="V249" s="19">
        <f>VLOOKUP(A249,[1]Sheet1!$A$2:$Q$1536,17,FALSE)</f>
        <v>2896.08837890625</v>
      </c>
      <c r="W249" s="27">
        <f t="shared" si="11"/>
        <v>0.20582534125956869</v>
      </c>
    </row>
    <row r="250" spans="1:23" x14ac:dyDescent="0.3">
      <c r="A250" s="4" t="s">
        <v>946</v>
      </c>
      <c r="B250" s="5">
        <v>2019</v>
      </c>
      <c r="C250" s="5" t="s">
        <v>96</v>
      </c>
      <c r="D250" s="15" t="s">
        <v>107</v>
      </c>
      <c r="E250" s="6">
        <v>47384</v>
      </c>
      <c r="F250" s="5" t="s">
        <v>115</v>
      </c>
      <c r="G250" s="5" t="s">
        <v>16</v>
      </c>
      <c r="H250" s="5" t="s">
        <v>17</v>
      </c>
      <c r="I250" s="5" t="s">
        <v>18</v>
      </c>
      <c r="J250" s="7">
        <v>45622</v>
      </c>
      <c r="K250" s="5" t="s">
        <v>17</v>
      </c>
      <c r="L250" s="8">
        <v>44128</v>
      </c>
      <c r="M250" s="19">
        <v>264</v>
      </c>
      <c r="N250" s="19">
        <v>314</v>
      </c>
      <c r="O250" s="24">
        <v>15750</v>
      </c>
      <c r="P250" s="24">
        <v>10800</v>
      </c>
      <c r="Q250" t="s">
        <v>1984</v>
      </c>
      <c r="R250" s="19">
        <f>VLOOKUP(A250,[1]Sheet1!$A$2:$Q$1536,15,FALSE)</f>
        <v>14731.572265625</v>
      </c>
      <c r="S250" s="27">
        <f t="shared" si="9"/>
        <v>0.2668806964209125</v>
      </c>
      <c r="T250" s="19">
        <f>VLOOKUP(A250,[1]Sheet1!$A$2:$Q$1536,16,FALSE)</f>
        <v>12482.71121712947</v>
      </c>
      <c r="U250" s="27">
        <f t="shared" si="10"/>
        <v>0.13480334423024706</v>
      </c>
      <c r="V250" s="19">
        <f>VLOOKUP(A250,[1]Sheet1!$A$2:$Q$1536,17,FALSE)</f>
        <v>15282.5029296875</v>
      </c>
      <c r="W250" s="27">
        <f t="shared" si="11"/>
        <v>0.29330947622328768</v>
      </c>
    </row>
    <row r="251" spans="1:23" x14ac:dyDescent="0.3">
      <c r="A251" s="4" t="s">
        <v>215</v>
      </c>
      <c r="B251" s="5">
        <v>2013</v>
      </c>
      <c r="C251" s="5" t="s">
        <v>96</v>
      </c>
      <c r="D251" s="15" t="s">
        <v>216</v>
      </c>
      <c r="E251" s="6">
        <v>196278</v>
      </c>
      <c r="F251" s="5" t="s">
        <v>42</v>
      </c>
      <c r="G251" s="5" t="s">
        <v>25</v>
      </c>
      <c r="H251" s="5" t="s">
        <v>18</v>
      </c>
      <c r="I251" s="5" t="s">
        <v>17</v>
      </c>
      <c r="J251" s="7">
        <v>45680</v>
      </c>
      <c r="K251" s="5" t="s">
        <v>17</v>
      </c>
      <c r="L251" s="8">
        <v>44451</v>
      </c>
      <c r="M251" s="19">
        <v>264</v>
      </c>
      <c r="N251" s="19">
        <v>314</v>
      </c>
      <c r="O251" s="24">
        <v>0</v>
      </c>
      <c r="P251" s="24">
        <v>1500</v>
      </c>
      <c r="Q251" t="s">
        <v>1983</v>
      </c>
      <c r="R251" s="19">
        <f>VLOOKUP(A251,[1]Sheet1!$A$2:$Q$1536,15,FALSE)</f>
        <v>1335.350341796875</v>
      </c>
      <c r="S251" s="27">
        <f t="shared" si="9"/>
        <v>-0.12330071970593801</v>
      </c>
      <c r="T251" s="19">
        <f>VLOOKUP(A251,[1]Sheet1!$A$2:$Q$1536,16,FALSE)</f>
        <v>9219.4667864989478</v>
      </c>
      <c r="U251" s="27">
        <f t="shared" si="10"/>
        <v>0.83730078596339097</v>
      </c>
      <c r="V251" s="19">
        <f>VLOOKUP(A251,[1]Sheet1!$A$2:$Q$1536,17,FALSE)</f>
        <v>1332.838745117188</v>
      </c>
      <c r="W251" s="27">
        <f t="shared" si="11"/>
        <v>-0.12541746366182852</v>
      </c>
    </row>
    <row r="252" spans="1:23" x14ac:dyDescent="0.3">
      <c r="A252" s="4" t="s">
        <v>1916</v>
      </c>
      <c r="B252" s="5">
        <v>2015</v>
      </c>
      <c r="C252" s="5" t="s">
        <v>1911</v>
      </c>
      <c r="D252" s="15" t="s">
        <v>1917</v>
      </c>
      <c r="E252" s="6">
        <v>34961</v>
      </c>
      <c r="F252" s="5" t="s">
        <v>246</v>
      </c>
      <c r="G252" s="5" t="s">
        <v>33</v>
      </c>
      <c r="H252" s="5" t="s">
        <v>17</v>
      </c>
      <c r="I252" s="5" t="s">
        <v>18</v>
      </c>
      <c r="J252" s="7">
        <v>45342</v>
      </c>
      <c r="K252" s="5" t="s">
        <v>17</v>
      </c>
      <c r="L252" s="8">
        <v>44707</v>
      </c>
      <c r="M252" s="19">
        <v>222</v>
      </c>
      <c r="N252" s="19">
        <v>272</v>
      </c>
      <c r="O252" s="24">
        <v>0</v>
      </c>
      <c r="P252" s="24">
        <v>3550</v>
      </c>
      <c r="Q252" t="s">
        <v>1983</v>
      </c>
      <c r="R252" s="19">
        <f>VLOOKUP(A252,[1]Sheet1!$A$2:$Q$1536,15,FALSE)</f>
        <v>9900.1298828125</v>
      </c>
      <c r="S252" s="27">
        <f t="shared" si="9"/>
        <v>0.64141884581099151</v>
      </c>
      <c r="T252" s="19">
        <f>VLOOKUP(A252,[1]Sheet1!$A$2:$Q$1536,16,FALSE)</f>
        <v>11780.24463585392</v>
      </c>
      <c r="U252" s="27">
        <f t="shared" si="10"/>
        <v>0.69864802389626524</v>
      </c>
      <c r="V252" s="19">
        <f>VLOOKUP(A252,[1]Sheet1!$A$2:$Q$1536,17,FALSE)</f>
        <v>9628.126953125</v>
      </c>
      <c r="W252" s="27">
        <f t="shared" si="11"/>
        <v>0.63128861747634346</v>
      </c>
    </row>
    <row r="253" spans="1:23" x14ac:dyDescent="0.3">
      <c r="A253" s="4" t="s">
        <v>1284</v>
      </c>
      <c r="B253" s="5">
        <v>2015</v>
      </c>
      <c r="C253" s="5" t="s">
        <v>633</v>
      </c>
      <c r="D253" s="15" t="s">
        <v>1280</v>
      </c>
      <c r="E253" s="6">
        <v>93222</v>
      </c>
      <c r="F253" s="5" t="s">
        <v>15</v>
      </c>
      <c r="G253" s="5" t="s">
        <v>16</v>
      </c>
      <c r="H253" s="5" t="s">
        <v>17</v>
      </c>
      <c r="I253" s="5" t="s">
        <v>18</v>
      </c>
      <c r="J253" s="7">
        <v>45552</v>
      </c>
      <c r="K253" s="5" t="s">
        <v>17</v>
      </c>
      <c r="L253" s="8">
        <v>44203</v>
      </c>
      <c r="M253" s="19">
        <v>235</v>
      </c>
      <c r="N253" s="19">
        <v>285</v>
      </c>
      <c r="O253" s="24">
        <v>9800</v>
      </c>
      <c r="P253" s="24">
        <v>6200</v>
      </c>
      <c r="Q253" t="s">
        <v>1984</v>
      </c>
      <c r="R253" s="19">
        <f>VLOOKUP(A253,[1]Sheet1!$A$2:$Q$1536,15,FALSE)</f>
        <v>7968.1298828125</v>
      </c>
      <c r="S253" s="27">
        <f t="shared" si="9"/>
        <v>0.22190023365788883</v>
      </c>
      <c r="T253" s="19">
        <f>VLOOKUP(A253,[1]Sheet1!$A$2:$Q$1536,16,FALSE)</f>
        <v>10209.238362731139</v>
      </c>
      <c r="U253" s="27">
        <f t="shared" si="10"/>
        <v>0.39270690136561781</v>
      </c>
      <c r="V253" s="19">
        <f>VLOOKUP(A253,[1]Sheet1!$A$2:$Q$1536,17,FALSE)</f>
        <v>7827.77783203125</v>
      </c>
      <c r="W253" s="27">
        <f t="shared" si="11"/>
        <v>0.20794890541864725</v>
      </c>
    </row>
    <row r="254" spans="1:23" x14ac:dyDescent="0.3">
      <c r="A254" s="4" t="s">
        <v>363</v>
      </c>
      <c r="B254" s="5">
        <v>2013</v>
      </c>
      <c r="C254" s="5" t="s">
        <v>237</v>
      </c>
      <c r="D254" s="15" t="s">
        <v>339</v>
      </c>
      <c r="E254" s="6">
        <v>172963</v>
      </c>
      <c r="F254" s="5" t="s">
        <v>21</v>
      </c>
      <c r="G254" s="5" t="s">
        <v>25</v>
      </c>
      <c r="H254" s="5" t="s">
        <v>18</v>
      </c>
      <c r="I254" s="5" t="s">
        <v>17</v>
      </c>
      <c r="J254" s="7">
        <v>45463</v>
      </c>
      <c r="K254" s="5" t="s">
        <v>17</v>
      </c>
      <c r="L254" s="8">
        <v>44113</v>
      </c>
      <c r="M254" s="19">
        <v>264</v>
      </c>
      <c r="N254" s="19">
        <v>314</v>
      </c>
      <c r="O254" s="24">
        <v>0</v>
      </c>
      <c r="P254" s="24">
        <v>2200</v>
      </c>
      <c r="Q254" t="s">
        <v>1983</v>
      </c>
      <c r="R254" s="19">
        <f>VLOOKUP(A254,[1]Sheet1!$A$2:$Q$1536,15,FALSE)</f>
        <v>1439.11279296875</v>
      </c>
      <c r="S254" s="27">
        <f t="shared" si="9"/>
        <v>-0.52871964640215141</v>
      </c>
      <c r="T254" s="19">
        <f>VLOOKUP(A254,[1]Sheet1!$A$2:$Q$1536,16,FALSE)</f>
        <v>9195.0245138772516</v>
      </c>
      <c r="U254" s="27">
        <f t="shared" si="10"/>
        <v>0.76074017022143536</v>
      </c>
      <c r="V254" s="19">
        <f>VLOOKUP(A254,[1]Sheet1!$A$2:$Q$1536,17,FALSE)</f>
        <v>1402.618408203125</v>
      </c>
      <c r="W254" s="27">
        <f t="shared" si="11"/>
        <v>-0.56849502839363808</v>
      </c>
    </row>
    <row r="255" spans="1:23" x14ac:dyDescent="0.3">
      <c r="A255" s="4" t="s">
        <v>114</v>
      </c>
      <c r="B255" s="5">
        <v>2017</v>
      </c>
      <c r="C255" s="5" t="s">
        <v>96</v>
      </c>
      <c r="D255" s="15" t="s">
        <v>105</v>
      </c>
      <c r="E255" s="6">
        <v>76353</v>
      </c>
      <c r="F255" s="5" t="s">
        <v>115</v>
      </c>
      <c r="G255" s="5" t="s">
        <v>16</v>
      </c>
      <c r="H255" s="5" t="s">
        <v>17</v>
      </c>
      <c r="I255" s="5" t="s">
        <v>18</v>
      </c>
      <c r="J255" s="7">
        <v>45456</v>
      </c>
      <c r="K255" s="5" t="s">
        <v>17</v>
      </c>
      <c r="L255" s="8">
        <v>43608</v>
      </c>
      <c r="M255" s="19">
        <v>264</v>
      </c>
      <c r="N255" s="19">
        <v>314</v>
      </c>
      <c r="O255" s="24">
        <v>0</v>
      </c>
      <c r="P255" s="24">
        <v>15200</v>
      </c>
      <c r="Q255" t="s">
        <v>1983</v>
      </c>
      <c r="R255" s="19">
        <f>VLOOKUP(A255,[1]Sheet1!$A$2:$Q$1536,15,FALSE)</f>
        <v>12524.7041015625</v>
      </c>
      <c r="S255" s="27">
        <f t="shared" si="9"/>
        <v>-0.2136015251732572</v>
      </c>
      <c r="T255" s="19">
        <f>VLOOKUP(A255,[1]Sheet1!$A$2:$Q$1536,16,FALSE)</f>
        <v>10251.992913484501</v>
      </c>
      <c r="U255" s="27">
        <f t="shared" si="10"/>
        <v>-0.4826385589876247</v>
      </c>
      <c r="V255" s="19">
        <f>VLOOKUP(A255,[1]Sheet1!$A$2:$Q$1536,17,FALSE)</f>
        <v>12625.42578125</v>
      </c>
      <c r="W255" s="27">
        <f t="shared" si="11"/>
        <v>-0.20391979354656664</v>
      </c>
    </row>
    <row r="256" spans="1:23" x14ac:dyDescent="0.3">
      <c r="A256" s="4" t="s">
        <v>1847</v>
      </c>
      <c r="B256" s="5">
        <v>2019</v>
      </c>
      <c r="C256" s="5" t="s">
        <v>1845</v>
      </c>
      <c r="D256" s="15" t="s">
        <v>1848</v>
      </c>
      <c r="E256" s="6">
        <v>39802</v>
      </c>
      <c r="F256" s="5" t="s">
        <v>158</v>
      </c>
      <c r="G256" s="5" t="s">
        <v>16</v>
      </c>
      <c r="H256" s="5" t="s">
        <v>17</v>
      </c>
      <c r="I256" s="5" t="s">
        <v>18</v>
      </c>
      <c r="J256" s="7">
        <v>45454</v>
      </c>
      <c r="K256" s="5" t="s">
        <v>17</v>
      </c>
      <c r="L256" s="8">
        <v>44128</v>
      </c>
      <c r="M256" s="19">
        <v>264</v>
      </c>
      <c r="N256" s="19">
        <v>314</v>
      </c>
      <c r="O256" s="24">
        <v>38000</v>
      </c>
      <c r="P256" s="24">
        <v>23066.666666666701</v>
      </c>
      <c r="Q256" t="s">
        <v>1984</v>
      </c>
      <c r="R256" s="19">
        <f>VLOOKUP(A256,[1]Sheet1!$A$2:$Q$1536,15,FALSE)</f>
        <v>24052.48828125</v>
      </c>
      <c r="S256" s="27">
        <f t="shared" si="9"/>
        <v>4.0986263169777402E-2</v>
      </c>
      <c r="T256" s="19">
        <f>VLOOKUP(A256,[1]Sheet1!$A$2:$Q$1536,16,FALSE)</f>
        <v>14030.577213275539</v>
      </c>
      <c r="U256" s="27">
        <f t="shared" si="10"/>
        <v>-0.64402834723302316</v>
      </c>
      <c r="V256" s="19">
        <f>VLOOKUP(A256,[1]Sheet1!$A$2:$Q$1536,17,FALSE)</f>
        <v>24002.94921875</v>
      </c>
      <c r="W256" s="27">
        <f t="shared" si="11"/>
        <v>3.9006979665312067E-2</v>
      </c>
    </row>
    <row r="257" spans="1:23" x14ac:dyDescent="0.3">
      <c r="A257" s="4" t="s">
        <v>446</v>
      </c>
      <c r="B257" s="5">
        <v>2014</v>
      </c>
      <c r="C257" s="5" t="s">
        <v>391</v>
      </c>
      <c r="D257" s="15" t="s">
        <v>432</v>
      </c>
      <c r="E257" s="6">
        <v>108929</v>
      </c>
      <c r="F257" s="5" t="s">
        <v>132</v>
      </c>
      <c r="G257" s="5" t="s">
        <v>25</v>
      </c>
      <c r="H257" s="5" t="s">
        <v>18</v>
      </c>
      <c r="I257" s="5" t="s">
        <v>17</v>
      </c>
      <c r="J257" s="7">
        <v>45566</v>
      </c>
      <c r="K257" s="5" t="s">
        <v>17</v>
      </c>
      <c r="L257" s="8">
        <v>44451</v>
      </c>
      <c r="M257" s="19">
        <v>264</v>
      </c>
      <c r="N257" s="19">
        <v>314</v>
      </c>
      <c r="O257" s="24">
        <v>2600</v>
      </c>
      <c r="P257" s="24">
        <v>1100</v>
      </c>
      <c r="Q257" t="s">
        <v>1984</v>
      </c>
      <c r="R257" s="19">
        <f>VLOOKUP(A257,[1]Sheet1!$A$2:$Q$1536,15,FALSE)</f>
        <v>2227.8251953125</v>
      </c>
      <c r="S257" s="27">
        <f t="shared" si="9"/>
        <v>0.50624492338336202</v>
      </c>
      <c r="T257" s="19">
        <f>VLOOKUP(A257,[1]Sheet1!$A$2:$Q$1536,16,FALSE)</f>
        <v>9194.7121481791564</v>
      </c>
      <c r="U257" s="27">
        <f t="shared" si="10"/>
        <v>0.88036602100503658</v>
      </c>
      <c r="V257" s="19">
        <f>VLOOKUP(A257,[1]Sheet1!$A$2:$Q$1536,17,FALSE)</f>
        <v>2105.391845703125</v>
      </c>
      <c r="W257" s="27">
        <f t="shared" si="11"/>
        <v>0.47753193675325573</v>
      </c>
    </row>
    <row r="258" spans="1:23" x14ac:dyDescent="0.3">
      <c r="A258" s="4" t="s">
        <v>675</v>
      </c>
      <c r="B258" s="5">
        <v>2020</v>
      </c>
      <c r="C258" s="5" t="s">
        <v>636</v>
      </c>
      <c r="D258" s="15" t="s">
        <v>646</v>
      </c>
      <c r="E258" s="6">
        <v>35424</v>
      </c>
      <c r="F258" s="5" t="s">
        <v>158</v>
      </c>
      <c r="G258" s="5" t="s">
        <v>16</v>
      </c>
      <c r="H258" s="5" t="s">
        <v>17</v>
      </c>
      <c r="I258" s="5" t="s">
        <v>18</v>
      </c>
      <c r="J258" s="7">
        <v>45328</v>
      </c>
      <c r="K258" s="5" t="s">
        <v>17</v>
      </c>
      <c r="L258" s="8">
        <v>44054</v>
      </c>
      <c r="M258" s="19">
        <v>235</v>
      </c>
      <c r="N258" s="19">
        <v>285</v>
      </c>
      <c r="O258" s="24">
        <v>18500</v>
      </c>
      <c r="P258" s="24">
        <v>13800</v>
      </c>
      <c r="Q258" t="s">
        <v>1984</v>
      </c>
      <c r="R258" s="19">
        <f>VLOOKUP(A258,[1]Sheet1!$A$2:$Q$1536,15,FALSE)</f>
        <v>15128.7001953125</v>
      </c>
      <c r="S258" s="27">
        <f t="shared" si="9"/>
        <v>8.7826460843224763E-2</v>
      </c>
      <c r="T258" s="19">
        <f>VLOOKUP(A258,[1]Sheet1!$A$2:$Q$1536,16,FALSE)</f>
        <v>13251.37665783708</v>
      </c>
      <c r="U258" s="27">
        <f t="shared" si="10"/>
        <v>-4.14012337230227E-2</v>
      </c>
      <c r="V258" s="19">
        <f>VLOOKUP(A258,[1]Sheet1!$A$2:$Q$1536,17,FALSE)</f>
        <v>15286.7265625</v>
      </c>
      <c r="W258" s="27">
        <f t="shared" si="11"/>
        <v>9.7256044740611877E-2</v>
      </c>
    </row>
    <row r="259" spans="1:23" x14ac:dyDescent="0.3">
      <c r="A259" s="4" t="s">
        <v>847</v>
      </c>
      <c r="B259" s="5">
        <v>2017</v>
      </c>
      <c r="C259" s="5" t="s">
        <v>391</v>
      </c>
      <c r="D259" s="15" t="s">
        <v>580</v>
      </c>
      <c r="E259" s="6">
        <v>144401</v>
      </c>
      <c r="F259" s="5" t="s">
        <v>77</v>
      </c>
      <c r="G259" s="5" t="s">
        <v>25</v>
      </c>
      <c r="H259" s="5" t="s">
        <v>18</v>
      </c>
      <c r="I259" s="5" t="s">
        <v>17</v>
      </c>
      <c r="J259" s="7">
        <v>45449</v>
      </c>
      <c r="K259" s="5" t="s">
        <v>17</v>
      </c>
      <c r="L259" s="8">
        <v>43612</v>
      </c>
      <c r="M259" s="19">
        <v>264</v>
      </c>
      <c r="N259" s="19">
        <v>314</v>
      </c>
      <c r="O259" s="24">
        <v>0</v>
      </c>
      <c r="P259" s="24">
        <v>6100</v>
      </c>
      <c r="Q259" t="s">
        <v>1983</v>
      </c>
      <c r="R259" s="19">
        <f>VLOOKUP(A259,[1]Sheet1!$A$2:$Q$1536,15,FALSE)</f>
        <v>7159.095703125</v>
      </c>
      <c r="S259" s="27">
        <f t="shared" ref="S259:S322" si="12">(R259-$P259)/R259</f>
        <v>0.14793707851435714</v>
      </c>
      <c r="T259" s="19">
        <f>VLOOKUP(A259,[1]Sheet1!$A$2:$Q$1536,16,FALSE)</f>
        <v>9438.1947608442915</v>
      </c>
      <c r="U259" s="27">
        <f t="shared" ref="U259:U322" si="13">(T259-$P259)/T259</f>
        <v>0.35368996353977272</v>
      </c>
      <c r="V259" s="19">
        <f>VLOOKUP(A259,[1]Sheet1!$A$2:$Q$1536,17,FALSE)</f>
        <v>7234.26318359375</v>
      </c>
      <c r="W259" s="27">
        <f t="shared" ref="W259:W322" si="14">(V259-$P259)/V259</f>
        <v>0.15679042285413294</v>
      </c>
    </row>
    <row r="260" spans="1:23" x14ac:dyDescent="0.3">
      <c r="A260" s="4" t="s">
        <v>1770</v>
      </c>
      <c r="B260" s="5">
        <v>2016</v>
      </c>
      <c r="C260" s="5" t="s">
        <v>1086</v>
      </c>
      <c r="D260" s="15" t="s">
        <v>1758</v>
      </c>
      <c r="E260" s="6">
        <v>87431</v>
      </c>
      <c r="F260" s="5" t="s">
        <v>57</v>
      </c>
      <c r="G260" s="5" t="s">
        <v>33</v>
      </c>
      <c r="H260" s="5" t="s">
        <v>17</v>
      </c>
      <c r="I260" s="5" t="s">
        <v>18</v>
      </c>
      <c r="J260" s="7">
        <v>45426</v>
      </c>
      <c r="K260" s="5" t="s">
        <v>17</v>
      </c>
      <c r="L260" s="8">
        <v>43950</v>
      </c>
      <c r="M260" s="19">
        <v>264</v>
      </c>
      <c r="N260" s="19">
        <v>314</v>
      </c>
      <c r="O260" s="24">
        <v>5750</v>
      </c>
      <c r="P260" s="24">
        <v>4100</v>
      </c>
      <c r="Q260" t="s">
        <v>1984</v>
      </c>
      <c r="R260" s="19">
        <f>VLOOKUP(A260,[1]Sheet1!$A$2:$Q$1536,15,FALSE)</f>
        <v>3359.357177734375</v>
      </c>
      <c r="S260" s="27">
        <f t="shared" si="12"/>
        <v>-0.2204715911646915</v>
      </c>
      <c r="T260" s="19">
        <f>VLOOKUP(A260,[1]Sheet1!$A$2:$Q$1536,16,FALSE)</f>
        <v>8746.5052581882082</v>
      </c>
      <c r="U260" s="27">
        <f t="shared" si="13"/>
        <v>0.53124134966228864</v>
      </c>
      <c r="V260" s="19">
        <f>VLOOKUP(A260,[1]Sheet1!$A$2:$Q$1536,17,FALSE)</f>
        <v>3296.892578125</v>
      </c>
      <c r="W260" s="27">
        <f t="shared" si="14"/>
        <v>-0.24359526519112162</v>
      </c>
    </row>
    <row r="261" spans="1:23" x14ac:dyDescent="0.3">
      <c r="A261" s="4" t="s">
        <v>261</v>
      </c>
      <c r="B261" s="5">
        <v>2017</v>
      </c>
      <c r="C261" s="5" t="s">
        <v>237</v>
      </c>
      <c r="D261" s="15" t="s">
        <v>250</v>
      </c>
      <c r="E261" s="6">
        <v>57039</v>
      </c>
      <c r="F261" s="5" t="s">
        <v>59</v>
      </c>
      <c r="G261" s="5" t="s">
        <v>16</v>
      </c>
      <c r="H261" s="5" t="s">
        <v>17</v>
      </c>
      <c r="I261" s="5" t="s">
        <v>18</v>
      </c>
      <c r="J261" s="7">
        <v>45328</v>
      </c>
      <c r="K261" s="5" t="s">
        <v>17</v>
      </c>
      <c r="L261" s="8">
        <v>43608</v>
      </c>
      <c r="M261" s="19">
        <v>264</v>
      </c>
      <c r="N261" s="19">
        <v>314</v>
      </c>
      <c r="O261" s="24">
        <v>9500</v>
      </c>
      <c r="P261" s="24">
        <v>4600</v>
      </c>
      <c r="Q261" t="s">
        <v>1984</v>
      </c>
      <c r="R261" s="19">
        <f>VLOOKUP(A261,[1]Sheet1!$A$2:$Q$1536,15,FALSE)</f>
        <v>14748.7666015625</v>
      </c>
      <c r="S261" s="27">
        <f t="shared" si="12"/>
        <v>0.68810951286511846</v>
      </c>
      <c r="T261" s="19">
        <f>VLOOKUP(A261,[1]Sheet1!$A$2:$Q$1536,16,FALSE)</f>
        <v>12092.23493792823</v>
      </c>
      <c r="U261" s="27">
        <f t="shared" si="13"/>
        <v>0.61959058655304944</v>
      </c>
      <c r="V261" s="19">
        <f>VLOOKUP(A261,[1]Sheet1!$A$2:$Q$1536,17,FALSE)</f>
        <v>15282.5029296875</v>
      </c>
      <c r="W261" s="27">
        <f t="shared" si="14"/>
        <v>0.69900218431732619</v>
      </c>
    </row>
    <row r="262" spans="1:23" x14ac:dyDescent="0.3">
      <c r="A262" s="4" t="s">
        <v>1085</v>
      </c>
      <c r="B262" s="5">
        <v>2021</v>
      </c>
      <c r="C262" s="5" t="s">
        <v>1086</v>
      </c>
      <c r="D262" s="15" t="s">
        <v>1087</v>
      </c>
      <c r="E262" s="6">
        <v>39816</v>
      </c>
      <c r="F262" s="5" t="s">
        <v>161</v>
      </c>
      <c r="G262" s="5" t="s">
        <v>16</v>
      </c>
      <c r="H262" s="5" t="s">
        <v>17</v>
      </c>
      <c r="I262" s="5" t="s">
        <v>18</v>
      </c>
      <c r="J262" s="7">
        <v>45540</v>
      </c>
      <c r="K262" s="5" t="s">
        <v>17</v>
      </c>
      <c r="L262" s="8">
        <v>44113</v>
      </c>
      <c r="M262" s="19">
        <v>264</v>
      </c>
      <c r="N262" s="19">
        <v>314</v>
      </c>
      <c r="O262" s="24">
        <v>12800</v>
      </c>
      <c r="P262" s="24">
        <v>12600</v>
      </c>
      <c r="Q262" t="s">
        <v>1984</v>
      </c>
      <c r="R262" s="19">
        <f>VLOOKUP(A262,[1]Sheet1!$A$2:$Q$1536,15,FALSE)</f>
        <v>15310.8232421875</v>
      </c>
      <c r="S262" s="27">
        <f t="shared" si="12"/>
        <v>0.17705274231878579</v>
      </c>
      <c r="T262" s="19">
        <f>VLOOKUP(A262,[1]Sheet1!$A$2:$Q$1536,16,FALSE)</f>
        <v>14239.52110298765</v>
      </c>
      <c r="U262" s="27">
        <f t="shared" si="13"/>
        <v>0.1151387810818761</v>
      </c>
      <c r="V262" s="19">
        <f>VLOOKUP(A262,[1]Sheet1!$A$2:$Q$1536,17,FALSE)</f>
        <v>15035.5625</v>
      </c>
      <c r="W262" s="27">
        <f t="shared" si="14"/>
        <v>0.16198678965286467</v>
      </c>
    </row>
    <row r="263" spans="1:23" x14ac:dyDescent="0.3">
      <c r="A263" s="4" t="s">
        <v>399</v>
      </c>
      <c r="B263" s="5">
        <v>2016</v>
      </c>
      <c r="C263" s="5" t="s">
        <v>391</v>
      </c>
      <c r="D263" s="15" t="s">
        <v>400</v>
      </c>
      <c r="E263" s="6">
        <v>68117</v>
      </c>
      <c r="F263" s="5" t="s">
        <v>170</v>
      </c>
      <c r="G263" s="5" t="s">
        <v>16</v>
      </c>
      <c r="H263" s="5" t="s">
        <v>17</v>
      </c>
      <c r="I263" s="5" t="s">
        <v>18</v>
      </c>
      <c r="J263" s="7">
        <v>45582</v>
      </c>
      <c r="K263" s="5" t="s">
        <v>17</v>
      </c>
      <c r="L263" s="8">
        <v>44074</v>
      </c>
      <c r="M263" s="19">
        <v>179</v>
      </c>
      <c r="N263" s="19">
        <v>229</v>
      </c>
      <c r="O263" s="24">
        <v>10100</v>
      </c>
      <c r="P263" s="24">
        <v>3600</v>
      </c>
      <c r="Q263" t="s">
        <v>1984</v>
      </c>
      <c r="R263" s="19">
        <f>VLOOKUP(A263,[1]Sheet1!$A$2:$Q$1536,15,FALSE)</f>
        <v>10788.9345703125</v>
      </c>
      <c r="S263" s="27">
        <f t="shared" si="12"/>
        <v>0.66632479078091889</v>
      </c>
      <c r="T263" s="19">
        <f>VLOOKUP(A263,[1]Sheet1!$A$2:$Q$1536,16,FALSE)</f>
        <v>9937.7555092613002</v>
      </c>
      <c r="U263" s="27">
        <f t="shared" si="13"/>
        <v>0.63774516321667918</v>
      </c>
      <c r="V263" s="19">
        <f>VLOOKUP(A263,[1]Sheet1!$A$2:$Q$1536,17,FALSE)</f>
        <v>10783.1630859375</v>
      </c>
      <c r="W263" s="27">
        <f t="shared" si="14"/>
        <v>0.66614619742746739</v>
      </c>
    </row>
    <row r="264" spans="1:23" x14ac:dyDescent="0.3">
      <c r="A264" s="4" t="s">
        <v>368</v>
      </c>
      <c r="B264" s="5">
        <v>2012</v>
      </c>
      <c r="C264" s="5" t="s">
        <v>237</v>
      </c>
      <c r="D264" s="15" t="s">
        <v>298</v>
      </c>
      <c r="E264" s="6">
        <v>59604</v>
      </c>
      <c r="F264" s="5" t="s">
        <v>57</v>
      </c>
      <c r="G264" s="5" t="s">
        <v>33</v>
      </c>
      <c r="H264" s="5" t="s">
        <v>17</v>
      </c>
      <c r="I264" s="5" t="s">
        <v>18</v>
      </c>
      <c r="J264" s="7">
        <v>45309</v>
      </c>
      <c r="K264" s="5" t="s">
        <v>17</v>
      </c>
      <c r="L264" s="8">
        <v>44707</v>
      </c>
      <c r="M264" s="19">
        <v>222</v>
      </c>
      <c r="N264" s="19">
        <v>272</v>
      </c>
      <c r="O264" s="24">
        <v>0</v>
      </c>
      <c r="P264" s="24">
        <v>5300</v>
      </c>
      <c r="Q264" t="s">
        <v>1983</v>
      </c>
      <c r="R264" s="19">
        <f>VLOOKUP(A264,[1]Sheet1!$A$2:$Q$1536,15,FALSE)</f>
        <v>4923.47216796875</v>
      </c>
      <c r="S264" s="27">
        <f t="shared" si="12"/>
        <v>-7.6476076066982632E-2</v>
      </c>
      <c r="T264" s="19">
        <f>VLOOKUP(A264,[1]Sheet1!$A$2:$Q$1536,16,FALSE)</f>
        <v>11157.61598704176</v>
      </c>
      <c r="U264" s="27">
        <f t="shared" si="13"/>
        <v>0.52498813311416004</v>
      </c>
      <c r="V264" s="19">
        <f>VLOOKUP(A264,[1]Sheet1!$A$2:$Q$1536,17,FALSE)</f>
        <v>4693.626953125</v>
      </c>
      <c r="W264" s="27">
        <f t="shared" si="14"/>
        <v>-0.12919072029601308</v>
      </c>
    </row>
    <row r="265" spans="1:23" x14ac:dyDescent="0.3">
      <c r="A265" s="4" t="s">
        <v>355</v>
      </c>
      <c r="B265" s="5">
        <v>2015</v>
      </c>
      <c r="C265" s="5" t="s">
        <v>237</v>
      </c>
      <c r="D265" s="15" t="s">
        <v>339</v>
      </c>
      <c r="E265" s="6">
        <v>139588</v>
      </c>
      <c r="F265" s="5" t="s">
        <v>47</v>
      </c>
      <c r="G265" s="5" t="s">
        <v>25</v>
      </c>
      <c r="H265" s="5" t="s">
        <v>18</v>
      </c>
      <c r="I265" s="5" t="s">
        <v>17</v>
      </c>
      <c r="J265" s="7">
        <v>45309</v>
      </c>
      <c r="K265" s="5" t="s">
        <v>17</v>
      </c>
      <c r="L265" s="8">
        <v>44905</v>
      </c>
      <c r="M265" s="19">
        <v>128</v>
      </c>
      <c r="N265" s="19">
        <v>158</v>
      </c>
      <c r="O265" s="24">
        <v>0</v>
      </c>
      <c r="P265" s="24">
        <v>9900</v>
      </c>
      <c r="Q265" t="s">
        <v>1983</v>
      </c>
      <c r="R265" s="19">
        <f>VLOOKUP(A265,[1]Sheet1!$A$2:$Q$1536,15,FALSE)</f>
        <v>6123.55908203125</v>
      </c>
      <c r="S265" s="27">
        <f t="shared" si="12"/>
        <v>-0.61670686399518893</v>
      </c>
      <c r="T265" s="19">
        <f>VLOOKUP(A265,[1]Sheet1!$A$2:$Q$1536,16,FALSE)</f>
        <v>10028.201270641879</v>
      </c>
      <c r="U265" s="27">
        <f t="shared" si="13"/>
        <v>1.2784074350122538E-2</v>
      </c>
      <c r="V265" s="19">
        <f>VLOOKUP(A265,[1]Sheet1!$A$2:$Q$1536,17,FALSE)</f>
        <v>6060.548828125</v>
      </c>
      <c r="W265" s="27">
        <f t="shared" si="14"/>
        <v>-0.63351542587321108</v>
      </c>
    </row>
    <row r="266" spans="1:23" x14ac:dyDescent="0.3">
      <c r="A266" s="4" t="s">
        <v>128</v>
      </c>
      <c r="B266" s="5">
        <v>2017</v>
      </c>
      <c r="C266" s="5" t="s">
        <v>96</v>
      </c>
      <c r="D266" s="15" t="s">
        <v>127</v>
      </c>
      <c r="E266" s="6">
        <v>135605</v>
      </c>
      <c r="F266" s="5" t="s">
        <v>36</v>
      </c>
      <c r="G266" s="5" t="s">
        <v>22</v>
      </c>
      <c r="H266" s="5" t="s">
        <v>18</v>
      </c>
      <c r="I266" s="5" t="s">
        <v>17</v>
      </c>
      <c r="J266" s="7">
        <v>45589</v>
      </c>
      <c r="K266" s="5" t="s">
        <v>17</v>
      </c>
      <c r="L266" s="8">
        <v>44483</v>
      </c>
      <c r="M266" s="19">
        <v>264</v>
      </c>
      <c r="N266" s="19">
        <v>314</v>
      </c>
      <c r="O266" s="24">
        <v>0</v>
      </c>
      <c r="P266" s="24">
        <v>3700</v>
      </c>
      <c r="Q266" t="s">
        <v>1983</v>
      </c>
      <c r="R266" s="19">
        <f>VLOOKUP(A266,[1]Sheet1!$A$2:$Q$1536,15,FALSE)</f>
        <v>3318.785400390625</v>
      </c>
      <c r="S266" s="27">
        <f t="shared" si="12"/>
        <v>-0.11486569742186571</v>
      </c>
      <c r="T266" s="19">
        <f>VLOOKUP(A266,[1]Sheet1!$A$2:$Q$1536,16,FALSE)</f>
        <v>9334.7633824547229</v>
      </c>
      <c r="U266" s="27">
        <f t="shared" si="13"/>
        <v>0.6036321598730201</v>
      </c>
      <c r="V266" s="19">
        <f>VLOOKUP(A266,[1]Sheet1!$A$2:$Q$1536,17,FALSE)</f>
        <v>3278.65771484375</v>
      </c>
      <c r="W266" s="27">
        <f t="shared" si="14"/>
        <v>-0.12851060458329355</v>
      </c>
    </row>
    <row r="267" spans="1:23" x14ac:dyDescent="0.3">
      <c r="A267" s="4" t="s">
        <v>404</v>
      </c>
      <c r="B267" s="5">
        <v>2016</v>
      </c>
      <c r="C267" s="5" t="s">
        <v>391</v>
      </c>
      <c r="D267" s="15" t="s">
        <v>400</v>
      </c>
      <c r="E267" s="6">
        <v>131040</v>
      </c>
      <c r="F267" s="5" t="s">
        <v>87</v>
      </c>
      <c r="G267" s="5" t="s">
        <v>28</v>
      </c>
      <c r="H267" s="5" t="s">
        <v>17</v>
      </c>
      <c r="I267" s="5" t="s">
        <v>18</v>
      </c>
      <c r="J267" s="7">
        <v>45538</v>
      </c>
      <c r="K267" s="5" t="s">
        <v>17</v>
      </c>
      <c r="L267" s="8">
        <v>44307</v>
      </c>
      <c r="M267" s="19">
        <v>235</v>
      </c>
      <c r="N267" s="19">
        <v>285</v>
      </c>
      <c r="O267" s="24">
        <v>4800</v>
      </c>
      <c r="P267" s="24">
        <v>1600</v>
      </c>
      <c r="Q267" t="s">
        <v>1984</v>
      </c>
      <c r="R267" s="19">
        <f>VLOOKUP(A267,[1]Sheet1!$A$2:$Q$1536,15,FALSE)</f>
        <v>2941.669189453125</v>
      </c>
      <c r="S267" s="27">
        <f t="shared" si="12"/>
        <v>0.45609111801675761</v>
      </c>
      <c r="T267" s="19">
        <f>VLOOKUP(A267,[1]Sheet1!$A$2:$Q$1536,16,FALSE)</f>
        <v>9340.893233204135</v>
      </c>
      <c r="U267" s="27">
        <f t="shared" si="13"/>
        <v>0.82871017149489845</v>
      </c>
      <c r="V267" s="19">
        <f>VLOOKUP(A267,[1]Sheet1!$A$2:$Q$1536,17,FALSE)</f>
        <v>2826.32763671875</v>
      </c>
      <c r="W267" s="27">
        <f t="shared" si="14"/>
        <v>0.43389436553168548</v>
      </c>
    </row>
    <row r="268" spans="1:23" x14ac:dyDescent="0.3">
      <c r="A268" s="4" t="s">
        <v>1250</v>
      </c>
      <c r="B268" s="5">
        <v>2014</v>
      </c>
      <c r="C268" s="5" t="s">
        <v>920</v>
      </c>
      <c r="D268" s="15" t="s">
        <v>1241</v>
      </c>
      <c r="E268" s="6">
        <v>150668</v>
      </c>
      <c r="F268" s="5" t="s">
        <v>87</v>
      </c>
      <c r="G268" s="5" t="s">
        <v>28</v>
      </c>
      <c r="H268" s="5" t="s">
        <v>17</v>
      </c>
      <c r="I268" s="5" t="s">
        <v>18</v>
      </c>
      <c r="J268" s="7">
        <v>45314</v>
      </c>
      <c r="K268" s="5" t="s">
        <v>17</v>
      </c>
      <c r="L268" s="8">
        <v>44224</v>
      </c>
      <c r="M268" s="19">
        <v>235</v>
      </c>
      <c r="N268" s="19">
        <v>285</v>
      </c>
      <c r="O268" s="24">
        <v>4800</v>
      </c>
      <c r="P268" s="24">
        <v>2000</v>
      </c>
      <c r="Q268" t="s">
        <v>1984</v>
      </c>
      <c r="R268" s="19">
        <f>VLOOKUP(A268,[1]Sheet1!$A$2:$Q$1536,15,FALSE)</f>
        <v>3439.89599609375</v>
      </c>
      <c r="S268" s="27">
        <f t="shared" si="12"/>
        <v>0.41858707290245278</v>
      </c>
      <c r="T268" s="19">
        <f>VLOOKUP(A268,[1]Sheet1!$A$2:$Q$1536,16,FALSE)</f>
        <v>9334.6559688253492</v>
      </c>
      <c r="U268" s="27">
        <f t="shared" si="13"/>
        <v>0.78574464804280564</v>
      </c>
      <c r="V268" s="19">
        <f>VLOOKUP(A268,[1]Sheet1!$A$2:$Q$1536,17,FALSE)</f>
        <v>3396.388671875</v>
      </c>
      <c r="W268" s="27">
        <f t="shared" si="14"/>
        <v>0.41113924429152976</v>
      </c>
    </row>
    <row r="269" spans="1:23" x14ac:dyDescent="0.3">
      <c r="A269" s="4" t="s">
        <v>1186</v>
      </c>
      <c r="B269" s="5">
        <v>2015</v>
      </c>
      <c r="C269" s="5" t="s">
        <v>684</v>
      </c>
      <c r="D269" s="15" t="s">
        <v>1187</v>
      </c>
      <c r="E269" s="6">
        <v>61966</v>
      </c>
      <c r="F269" s="5" t="s">
        <v>158</v>
      </c>
      <c r="G269" s="5" t="s">
        <v>16</v>
      </c>
      <c r="H269" s="5" t="s">
        <v>17</v>
      </c>
      <c r="I269" s="5" t="s">
        <v>18</v>
      </c>
      <c r="J269" s="7">
        <v>45328</v>
      </c>
      <c r="K269" s="5" t="s">
        <v>17</v>
      </c>
      <c r="L269" s="8">
        <v>44451</v>
      </c>
      <c r="M269" s="19">
        <v>264</v>
      </c>
      <c r="N269" s="19">
        <v>314</v>
      </c>
      <c r="O269" s="24">
        <v>10100</v>
      </c>
      <c r="P269" s="24">
        <v>8400</v>
      </c>
      <c r="Q269" t="s">
        <v>1984</v>
      </c>
      <c r="R269" s="19">
        <f>VLOOKUP(A269,[1]Sheet1!$A$2:$Q$1536,15,FALSE)</f>
        <v>9555.5263671875</v>
      </c>
      <c r="S269" s="27">
        <f t="shared" si="12"/>
        <v>0.12092754734636442</v>
      </c>
      <c r="T269" s="19">
        <f>VLOOKUP(A269,[1]Sheet1!$A$2:$Q$1536,16,FALSE)</f>
        <v>11726.117658778279</v>
      </c>
      <c r="U269" s="27">
        <f t="shared" si="13"/>
        <v>0.28365037394011794</v>
      </c>
      <c r="V269" s="19">
        <f>VLOOKUP(A269,[1]Sheet1!$A$2:$Q$1536,17,FALSE)</f>
        <v>9231.9462890625</v>
      </c>
      <c r="W269" s="27">
        <f t="shared" si="14"/>
        <v>9.0116023535377801E-2</v>
      </c>
    </row>
    <row r="270" spans="1:23" x14ac:dyDescent="0.3">
      <c r="A270" s="4" t="s">
        <v>1174</v>
      </c>
      <c r="B270" s="5">
        <v>2022</v>
      </c>
      <c r="C270" s="5" t="s">
        <v>636</v>
      </c>
      <c r="D270" s="15" t="s">
        <v>1175</v>
      </c>
      <c r="E270" s="6">
        <v>36485</v>
      </c>
      <c r="F270" s="5" t="s">
        <v>158</v>
      </c>
      <c r="G270" s="5" t="s">
        <v>16</v>
      </c>
      <c r="H270" s="5" t="s">
        <v>17</v>
      </c>
      <c r="I270" s="5" t="s">
        <v>18</v>
      </c>
      <c r="J270" s="7">
        <v>45678</v>
      </c>
      <c r="K270" s="5" t="s">
        <v>17</v>
      </c>
      <c r="L270" s="8">
        <v>44662</v>
      </c>
      <c r="M270" s="19">
        <v>235</v>
      </c>
      <c r="N270" s="19">
        <v>285</v>
      </c>
      <c r="O270" s="24">
        <v>14600</v>
      </c>
      <c r="P270" s="24">
        <v>10200</v>
      </c>
      <c r="Q270" t="s">
        <v>1984</v>
      </c>
      <c r="R270" s="19">
        <f>VLOOKUP(A270,[1]Sheet1!$A$2:$Q$1536,15,FALSE)</f>
        <v>17538.181640625</v>
      </c>
      <c r="S270" s="27">
        <f t="shared" si="12"/>
        <v>0.41841177101433491</v>
      </c>
      <c r="T270" s="19">
        <f>VLOOKUP(A270,[1]Sheet1!$A$2:$Q$1536,16,FALSE)</f>
        <v>14003.978339605141</v>
      </c>
      <c r="U270" s="27">
        <f t="shared" si="13"/>
        <v>0.27163554865312639</v>
      </c>
      <c r="V270" s="19">
        <f>VLOOKUP(A270,[1]Sheet1!$A$2:$Q$1536,17,FALSE)</f>
        <v>17295.0234375</v>
      </c>
      <c r="W270" s="27">
        <f t="shared" si="14"/>
        <v>0.41023497095217509</v>
      </c>
    </row>
    <row r="271" spans="1:23" x14ac:dyDescent="0.3">
      <c r="A271" s="4" t="s">
        <v>1555</v>
      </c>
      <c r="B271" s="5">
        <v>2013</v>
      </c>
      <c r="C271" s="5" t="s">
        <v>1177</v>
      </c>
      <c r="D271" s="15" t="s">
        <v>1556</v>
      </c>
      <c r="E271" s="6">
        <v>119816</v>
      </c>
      <c r="F271" s="5" t="s">
        <v>170</v>
      </c>
      <c r="G271" s="5" t="s">
        <v>28</v>
      </c>
      <c r="H271" s="5" t="s">
        <v>17</v>
      </c>
      <c r="I271" s="5" t="s">
        <v>18</v>
      </c>
      <c r="J271" s="7">
        <v>45328</v>
      </c>
      <c r="K271" s="5" t="s">
        <v>17</v>
      </c>
      <c r="L271" s="8">
        <v>44054</v>
      </c>
      <c r="M271" s="19">
        <v>235</v>
      </c>
      <c r="N271" s="19">
        <v>285</v>
      </c>
      <c r="O271" s="24">
        <v>0</v>
      </c>
      <c r="P271" s="24">
        <v>3300</v>
      </c>
      <c r="Q271" t="s">
        <v>1983</v>
      </c>
      <c r="R271" s="19">
        <f>VLOOKUP(A271,[1]Sheet1!$A$2:$Q$1536,15,FALSE)</f>
        <v>5270.814453125</v>
      </c>
      <c r="S271" s="27">
        <f t="shared" si="12"/>
        <v>0.37391080081685074</v>
      </c>
      <c r="T271" s="19">
        <f>VLOOKUP(A271,[1]Sheet1!$A$2:$Q$1536,16,FALSE)</f>
        <v>9034.6404476011576</v>
      </c>
      <c r="U271" s="27">
        <f t="shared" si="13"/>
        <v>0.63473919973470516</v>
      </c>
      <c r="V271" s="19">
        <f>VLOOKUP(A271,[1]Sheet1!$A$2:$Q$1536,17,FALSE)</f>
        <v>5325.609375</v>
      </c>
      <c r="W271" s="27">
        <f t="shared" si="14"/>
        <v>0.38035260049466169</v>
      </c>
    </row>
    <row r="272" spans="1:23" x14ac:dyDescent="0.3">
      <c r="A272" s="4" t="s">
        <v>12</v>
      </c>
      <c r="B272" s="5">
        <v>2015</v>
      </c>
      <c r="C272" s="5" t="s">
        <v>13</v>
      </c>
      <c r="D272" s="15" t="s">
        <v>14</v>
      </c>
      <c r="E272" s="6">
        <v>121077</v>
      </c>
      <c r="F272" s="5" t="s">
        <v>15</v>
      </c>
      <c r="G272" s="5" t="s">
        <v>16</v>
      </c>
      <c r="H272" s="5" t="s">
        <v>17</v>
      </c>
      <c r="I272" s="5" t="s">
        <v>18</v>
      </c>
      <c r="J272" s="7">
        <v>45300</v>
      </c>
      <c r="K272" s="5" t="s">
        <v>17</v>
      </c>
      <c r="L272" s="8">
        <v>44707</v>
      </c>
      <c r="M272" s="19">
        <v>222</v>
      </c>
      <c r="N272" s="19">
        <v>272</v>
      </c>
      <c r="O272" s="24">
        <v>11200</v>
      </c>
      <c r="P272" s="24">
        <v>8600</v>
      </c>
      <c r="Q272" t="s">
        <v>1984</v>
      </c>
      <c r="R272" s="19">
        <f>VLOOKUP(A272,[1]Sheet1!$A$2:$Q$1536,15,FALSE)</f>
        <v>7198.2880859375</v>
      </c>
      <c r="S272" s="27">
        <f t="shared" si="12"/>
        <v>-0.19472851007462033</v>
      </c>
      <c r="T272" s="19">
        <f>VLOOKUP(A272,[1]Sheet1!$A$2:$Q$1536,16,FALSE)</f>
        <v>10028.225497790359</v>
      </c>
      <c r="U272" s="27">
        <f t="shared" si="13"/>
        <v>0.1424205606570233</v>
      </c>
      <c r="V272" s="19">
        <f>VLOOKUP(A272,[1]Sheet1!$A$2:$Q$1536,17,FALSE)</f>
        <v>7187.0810546875</v>
      </c>
      <c r="W272" s="27">
        <f t="shared" si="14"/>
        <v>-0.19659148610700269</v>
      </c>
    </row>
    <row r="273" spans="1:23" x14ac:dyDescent="0.3">
      <c r="A273" s="4" t="s">
        <v>938</v>
      </c>
      <c r="B273" s="5">
        <v>2017</v>
      </c>
      <c r="C273" s="5" t="s">
        <v>932</v>
      </c>
      <c r="D273" s="15">
        <v>500</v>
      </c>
      <c r="E273" s="6">
        <v>51440</v>
      </c>
      <c r="F273" s="5" t="s">
        <v>73</v>
      </c>
      <c r="G273" s="5" t="s">
        <v>33</v>
      </c>
      <c r="H273" s="5" t="s">
        <v>17</v>
      </c>
      <c r="I273" s="5" t="s">
        <v>18</v>
      </c>
      <c r="J273" s="7">
        <v>45566</v>
      </c>
      <c r="K273" s="5" t="s">
        <v>17</v>
      </c>
      <c r="L273" s="8">
        <v>44310</v>
      </c>
      <c r="M273" s="19">
        <v>235</v>
      </c>
      <c r="N273" s="19">
        <v>285</v>
      </c>
      <c r="O273" s="24">
        <v>3900</v>
      </c>
      <c r="P273" s="24">
        <v>2975</v>
      </c>
      <c r="Q273" t="s">
        <v>1984</v>
      </c>
      <c r="R273" s="19">
        <f>VLOOKUP(A273,[1]Sheet1!$A$2:$Q$1536,15,FALSE)</f>
        <v>4753.00244140625</v>
      </c>
      <c r="S273" s="27">
        <f t="shared" si="12"/>
        <v>0.3740798502262499</v>
      </c>
      <c r="T273" s="19">
        <f>VLOOKUP(A273,[1]Sheet1!$A$2:$Q$1536,16,FALSE)</f>
        <v>11192.329462812721</v>
      </c>
      <c r="U273" s="27">
        <f t="shared" si="13"/>
        <v>0.73419295689207142</v>
      </c>
      <c r="V273" s="19">
        <f>VLOOKUP(A273,[1]Sheet1!$A$2:$Q$1536,17,FALSE)</f>
        <v>4550.703125</v>
      </c>
      <c r="W273" s="27">
        <f t="shared" si="14"/>
        <v>0.34625487132826316</v>
      </c>
    </row>
    <row r="274" spans="1:23" x14ac:dyDescent="0.3">
      <c r="A274" s="4" t="s">
        <v>1643</v>
      </c>
      <c r="B274" s="5">
        <v>2015</v>
      </c>
      <c r="C274" s="5" t="s">
        <v>391</v>
      </c>
      <c r="D274" s="15" t="s">
        <v>1060</v>
      </c>
      <c r="E274" s="6">
        <v>187904</v>
      </c>
      <c r="F274" s="5" t="s">
        <v>38</v>
      </c>
      <c r="G274" s="5" t="s">
        <v>25</v>
      </c>
      <c r="H274" s="5" t="s">
        <v>18</v>
      </c>
      <c r="I274" s="5" t="s">
        <v>17</v>
      </c>
      <c r="J274" s="7">
        <v>45421</v>
      </c>
      <c r="K274" s="5" t="s">
        <v>17</v>
      </c>
      <c r="L274" s="8">
        <v>44054</v>
      </c>
      <c r="M274" s="19">
        <v>235</v>
      </c>
      <c r="N274" s="19">
        <v>285</v>
      </c>
      <c r="O274" s="24">
        <v>0</v>
      </c>
      <c r="P274" s="24">
        <v>700</v>
      </c>
      <c r="Q274" t="s">
        <v>1983</v>
      </c>
      <c r="R274" s="19">
        <f>VLOOKUP(A274,[1]Sheet1!$A$2:$Q$1536,15,FALSE)</f>
        <v>2100.10302734375</v>
      </c>
      <c r="S274" s="27">
        <f t="shared" si="12"/>
        <v>0.6666830194110176</v>
      </c>
      <c r="T274" s="19">
        <f>VLOOKUP(A274,[1]Sheet1!$A$2:$Q$1536,16,FALSE)</f>
        <v>9306.6183015724837</v>
      </c>
      <c r="U274" s="27">
        <f t="shared" si="13"/>
        <v>0.92478470940602286</v>
      </c>
      <c r="V274" s="19">
        <f>VLOOKUP(A274,[1]Sheet1!$A$2:$Q$1536,17,FALSE)</f>
        <v>2082.649169921875</v>
      </c>
      <c r="W274" s="27">
        <f t="shared" si="14"/>
        <v>0.66388962187699685</v>
      </c>
    </row>
    <row r="275" spans="1:23" x14ac:dyDescent="0.3">
      <c r="A275" s="4" t="s">
        <v>1557</v>
      </c>
      <c r="B275" s="5">
        <v>2018</v>
      </c>
      <c r="C275" s="5" t="s">
        <v>1177</v>
      </c>
      <c r="D275" s="15" t="s">
        <v>1558</v>
      </c>
      <c r="E275" s="6">
        <v>77520</v>
      </c>
      <c r="F275" s="5" t="s">
        <v>42</v>
      </c>
      <c r="G275" s="5" t="s">
        <v>33</v>
      </c>
      <c r="H275" s="5" t="s">
        <v>17</v>
      </c>
      <c r="I275" s="5" t="s">
        <v>18</v>
      </c>
      <c r="J275" s="7">
        <v>45645</v>
      </c>
      <c r="K275" s="5" t="s">
        <v>17</v>
      </c>
      <c r="L275" s="8">
        <v>44451</v>
      </c>
      <c r="M275" s="19">
        <v>264</v>
      </c>
      <c r="N275" s="19">
        <v>314</v>
      </c>
      <c r="O275" s="24">
        <v>0</v>
      </c>
      <c r="P275" s="24">
        <v>17100</v>
      </c>
      <c r="Q275" t="s">
        <v>1983</v>
      </c>
      <c r="R275" s="19">
        <f>VLOOKUP(A275,[1]Sheet1!$A$2:$Q$1536,15,FALSE)</f>
        <v>6580.6318359375</v>
      </c>
      <c r="S275" s="27">
        <f t="shared" si="12"/>
        <v>-1.598534673618293</v>
      </c>
      <c r="T275" s="19">
        <f>VLOOKUP(A275,[1]Sheet1!$A$2:$Q$1536,16,FALSE)</f>
        <v>9386.8104182604693</v>
      </c>
      <c r="U275" s="27">
        <f t="shared" si="13"/>
        <v>-0.82170505614290568</v>
      </c>
      <c r="V275" s="19">
        <f>VLOOKUP(A275,[1]Sheet1!$A$2:$Q$1536,17,FALSE)</f>
        <v>6627.66259765625</v>
      </c>
      <c r="W275" s="27">
        <f t="shared" si="14"/>
        <v>-1.5800951312831009</v>
      </c>
    </row>
    <row r="276" spans="1:23" x14ac:dyDescent="0.3">
      <c r="A276" s="4" t="s">
        <v>745</v>
      </c>
      <c r="B276" s="5">
        <v>2016</v>
      </c>
      <c r="C276" s="5" t="s">
        <v>83</v>
      </c>
      <c r="D276" s="15" t="s">
        <v>744</v>
      </c>
      <c r="E276" s="6">
        <v>126161</v>
      </c>
      <c r="F276" s="5" t="s">
        <v>32</v>
      </c>
      <c r="G276" s="5" t="s">
        <v>25</v>
      </c>
      <c r="H276" s="5" t="s">
        <v>18</v>
      </c>
      <c r="I276" s="5" t="s">
        <v>17</v>
      </c>
      <c r="J276" s="7">
        <v>45594</v>
      </c>
      <c r="K276" s="5" t="s">
        <v>17</v>
      </c>
      <c r="L276" s="8">
        <v>43612</v>
      </c>
      <c r="M276" s="19">
        <v>264</v>
      </c>
      <c r="N276" s="19">
        <v>314</v>
      </c>
      <c r="O276" s="24">
        <v>2600</v>
      </c>
      <c r="P276" s="24">
        <v>2500</v>
      </c>
      <c r="Q276" t="s">
        <v>1984</v>
      </c>
      <c r="R276" s="19">
        <f>VLOOKUP(A276,[1]Sheet1!$A$2:$Q$1536,15,FALSE)</f>
        <v>2764.3515625</v>
      </c>
      <c r="S276" s="27">
        <f t="shared" si="12"/>
        <v>9.5628778222740976E-2</v>
      </c>
      <c r="T276" s="19">
        <f>VLOOKUP(A276,[1]Sheet1!$A$2:$Q$1536,16,FALSE)</f>
        <v>8915.0024874500687</v>
      </c>
      <c r="U276" s="27">
        <f t="shared" si="13"/>
        <v>0.7195738303472905</v>
      </c>
      <c r="V276" s="19">
        <f>VLOOKUP(A276,[1]Sheet1!$A$2:$Q$1536,17,FALSE)</f>
        <v>2601.28369140625</v>
      </c>
      <c r="W276" s="27">
        <f t="shared" si="14"/>
        <v>3.8936042132142919E-2</v>
      </c>
    </row>
    <row r="277" spans="1:23" x14ac:dyDescent="0.3">
      <c r="A277" s="4" t="s">
        <v>1414</v>
      </c>
      <c r="B277" s="5">
        <v>2013</v>
      </c>
      <c r="C277" s="5" t="s">
        <v>1086</v>
      </c>
      <c r="D277" s="15" t="s">
        <v>1411</v>
      </c>
      <c r="E277" s="6">
        <v>128749</v>
      </c>
      <c r="F277" s="5" t="s">
        <v>81</v>
      </c>
      <c r="G277" s="5" t="s">
        <v>28</v>
      </c>
      <c r="H277" s="5" t="s">
        <v>17</v>
      </c>
      <c r="I277" s="5" t="s">
        <v>18</v>
      </c>
      <c r="J277" s="7">
        <v>45484</v>
      </c>
      <c r="K277" s="5" t="s">
        <v>17</v>
      </c>
      <c r="L277" s="8">
        <v>44451</v>
      </c>
      <c r="M277" s="19">
        <v>264</v>
      </c>
      <c r="N277" s="19">
        <v>314</v>
      </c>
      <c r="O277" s="24">
        <v>3700</v>
      </c>
      <c r="P277" s="24">
        <v>3600</v>
      </c>
      <c r="Q277" t="s">
        <v>1984</v>
      </c>
      <c r="R277" s="19">
        <f>VLOOKUP(A277,[1]Sheet1!$A$2:$Q$1536,15,FALSE)</f>
        <v>659.41094970703125</v>
      </c>
      <c r="S277" s="27">
        <f t="shared" si="12"/>
        <v>-4.4594179875227109</v>
      </c>
      <c r="T277" s="19">
        <f>VLOOKUP(A277,[1]Sheet1!$A$2:$Q$1536,16,FALSE)</f>
        <v>8688.3182941589639</v>
      </c>
      <c r="U277" s="27">
        <f t="shared" si="13"/>
        <v>0.58565053925105048</v>
      </c>
      <c r="V277" s="19">
        <f>VLOOKUP(A277,[1]Sheet1!$A$2:$Q$1536,17,FALSE)</f>
        <v>932.59674072265625</v>
      </c>
      <c r="W277" s="27">
        <f t="shared" si="14"/>
        <v>-2.8601893431564109</v>
      </c>
    </row>
    <row r="278" spans="1:23" x14ac:dyDescent="0.3">
      <c r="A278" s="4" t="s">
        <v>1277</v>
      </c>
      <c r="B278" s="5">
        <v>2017</v>
      </c>
      <c r="C278" s="5" t="s">
        <v>13</v>
      </c>
      <c r="D278" s="15" t="s">
        <v>1276</v>
      </c>
      <c r="E278" s="6">
        <v>49957</v>
      </c>
      <c r="F278" s="5" t="s">
        <v>36</v>
      </c>
      <c r="G278" s="5" t="s">
        <v>33</v>
      </c>
      <c r="H278" s="5" t="s">
        <v>17</v>
      </c>
      <c r="I278" s="5" t="s">
        <v>18</v>
      </c>
      <c r="J278" s="7">
        <v>45524</v>
      </c>
      <c r="K278" s="5" t="s">
        <v>17</v>
      </c>
      <c r="L278" s="8">
        <v>44128</v>
      </c>
      <c r="M278" s="19">
        <v>264</v>
      </c>
      <c r="N278" s="19">
        <v>314</v>
      </c>
      <c r="O278" s="24">
        <v>16100</v>
      </c>
      <c r="P278" s="24">
        <v>10000</v>
      </c>
      <c r="Q278" t="s">
        <v>1984</v>
      </c>
      <c r="R278" s="19">
        <f>VLOOKUP(A278,[1]Sheet1!$A$2:$Q$1536,15,FALSE)</f>
        <v>7535.85546875</v>
      </c>
      <c r="S278" s="27">
        <f t="shared" si="12"/>
        <v>-0.32698935661232059</v>
      </c>
      <c r="T278" s="19">
        <f>VLOOKUP(A278,[1]Sheet1!$A$2:$Q$1536,16,FALSE)</f>
        <v>11568.060014549999</v>
      </c>
      <c r="U278" s="27">
        <f t="shared" si="13"/>
        <v>0.13555081946132153</v>
      </c>
      <c r="V278" s="19">
        <f>VLOOKUP(A278,[1]Sheet1!$A$2:$Q$1536,17,FALSE)</f>
        <v>7132.66064453125</v>
      </c>
      <c r="W278" s="27">
        <f t="shared" si="14"/>
        <v>-0.40200137064801966</v>
      </c>
    </row>
    <row r="279" spans="1:23" x14ac:dyDescent="0.3">
      <c r="A279" s="4" t="s">
        <v>243</v>
      </c>
      <c r="B279" s="5">
        <v>2016</v>
      </c>
      <c r="C279" s="5" t="s">
        <v>237</v>
      </c>
      <c r="D279" s="15" t="s">
        <v>241</v>
      </c>
      <c r="E279" s="6">
        <v>105821</v>
      </c>
      <c r="F279" s="5" t="s">
        <v>32</v>
      </c>
      <c r="G279" s="5" t="s">
        <v>25</v>
      </c>
      <c r="H279" s="5" t="s">
        <v>18</v>
      </c>
      <c r="I279" s="5" t="s">
        <v>17</v>
      </c>
      <c r="J279" s="7">
        <v>45594</v>
      </c>
      <c r="K279" s="5" t="s">
        <v>17</v>
      </c>
      <c r="L279" s="8">
        <v>44128</v>
      </c>
      <c r="M279" s="19">
        <v>264</v>
      </c>
      <c r="N279" s="19">
        <v>314</v>
      </c>
      <c r="O279" s="24">
        <v>4200</v>
      </c>
      <c r="P279" s="24">
        <v>4200</v>
      </c>
      <c r="Q279" t="s">
        <v>1984</v>
      </c>
      <c r="R279" s="19">
        <f>VLOOKUP(A279,[1]Sheet1!$A$2:$Q$1536,15,FALSE)</f>
        <v>3068.05908203125</v>
      </c>
      <c r="S279" s="27">
        <f t="shared" si="12"/>
        <v>-0.36894365059597656</v>
      </c>
      <c r="T279" s="19">
        <f>VLOOKUP(A279,[1]Sheet1!$A$2:$Q$1536,16,FALSE)</f>
        <v>9090.2531395633268</v>
      </c>
      <c r="U279" s="27">
        <f t="shared" si="13"/>
        <v>0.53796666214712718</v>
      </c>
      <c r="V279" s="19">
        <f>VLOOKUP(A279,[1]Sheet1!$A$2:$Q$1536,17,FALSE)</f>
        <v>2896.08837890625</v>
      </c>
      <c r="W279" s="27">
        <f t="shared" si="14"/>
        <v>-0.45023198552600496</v>
      </c>
    </row>
    <row r="280" spans="1:23" x14ac:dyDescent="0.3">
      <c r="A280" s="4" t="s">
        <v>1530</v>
      </c>
      <c r="B280" s="5">
        <v>2014</v>
      </c>
      <c r="C280" s="5" t="s">
        <v>1139</v>
      </c>
      <c r="D280" s="15" t="s">
        <v>1528</v>
      </c>
      <c r="E280" s="6">
        <v>161278</v>
      </c>
      <c r="F280" s="5" t="s">
        <v>24</v>
      </c>
      <c r="G280" s="5" t="s">
        <v>28</v>
      </c>
      <c r="H280" s="5" t="s">
        <v>17</v>
      </c>
      <c r="I280" s="5" t="s">
        <v>18</v>
      </c>
      <c r="J280" s="7">
        <v>45566</v>
      </c>
      <c r="K280" s="5" t="s">
        <v>17</v>
      </c>
      <c r="L280" s="8">
        <v>44128</v>
      </c>
      <c r="M280" s="19">
        <v>264</v>
      </c>
      <c r="N280" s="19">
        <v>314</v>
      </c>
      <c r="O280" s="24">
        <v>4300</v>
      </c>
      <c r="P280" s="24">
        <v>1800</v>
      </c>
      <c r="Q280" t="s">
        <v>1984</v>
      </c>
      <c r="R280" s="19">
        <f>VLOOKUP(A280,[1]Sheet1!$A$2:$Q$1536,15,FALSE)</f>
        <v>1341.697509765625</v>
      </c>
      <c r="S280" s="27">
        <f t="shared" si="12"/>
        <v>-0.34158406563222565</v>
      </c>
      <c r="T280" s="19">
        <f>VLOOKUP(A280,[1]Sheet1!$A$2:$Q$1536,16,FALSE)</f>
        <v>9113.4703038823154</v>
      </c>
      <c r="U280" s="27">
        <f t="shared" si="13"/>
        <v>0.80249016675533524</v>
      </c>
      <c r="V280" s="19">
        <f>VLOOKUP(A280,[1]Sheet1!$A$2:$Q$1536,17,FALSE)</f>
        <v>1325.587768554688</v>
      </c>
      <c r="W280" s="27">
        <f t="shared" si="14"/>
        <v>-0.35788820830971624</v>
      </c>
    </row>
    <row r="281" spans="1:23" x14ac:dyDescent="0.3">
      <c r="A281" s="4" t="s">
        <v>1797</v>
      </c>
      <c r="B281" s="5">
        <v>2017</v>
      </c>
      <c r="C281" s="5" t="s">
        <v>1086</v>
      </c>
      <c r="D281" s="15" t="s">
        <v>1795</v>
      </c>
      <c r="E281" s="6">
        <v>94427</v>
      </c>
      <c r="F281" s="5" t="s">
        <v>36</v>
      </c>
      <c r="G281" s="5" t="s">
        <v>28</v>
      </c>
      <c r="H281" s="5" t="s">
        <v>17</v>
      </c>
      <c r="I281" s="5" t="s">
        <v>18</v>
      </c>
      <c r="J281" s="7">
        <v>45449</v>
      </c>
      <c r="K281" s="5" t="s">
        <v>17</v>
      </c>
      <c r="L281" s="8">
        <v>44128</v>
      </c>
      <c r="M281" s="19">
        <v>264</v>
      </c>
      <c r="N281" s="19">
        <v>314</v>
      </c>
      <c r="O281" s="24">
        <v>0</v>
      </c>
      <c r="P281" s="24">
        <v>2900</v>
      </c>
      <c r="Q281" t="s">
        <v>1983</v>
      </c>
      <c r="R281" s="19">
        <f>VLOOKUP(A281,[1]Sheet1!$A$2:$Q$1536,15,FALSE)</f>
        <v>3398.22216796875</v>
      </c>
      <c r="S281" s="27">
        <f t="shared" si="12"/>
        <v>0.1466125942750108</v>
      </c>
      <c r="T281" s="19">
        <f>VLOOKUP(A281,[1]Sheet1!$A$2:$Q$1536,16,FALSE)</f>
        <v>8948.6144430447257</v>
      </c>
      <c r="U281" s="27">
        <f t="shared" si="13"/>
        <v>0.67592748369508604</v>
      </c>
      <c r="V281" s="19">
        <f>VLOOKUP(A281,[1]Sheet1!$A$2:$Q$1536,17,FALSE)</f>
        <v>3291.81689453125</v>
      </c>
      <c r="W281" s="27">
        <f t="shared" si="14"/>
        <v>0.11902754833726685</v>
      </c>
    </row>
    <row r="282" spans="1:23" x14ac:dyDescent="0.3">
      <c r="A282" s="4" t="s">
        <v>1004</v>
      </c>
      <c r="B282" s="5">
        <v>2014</v>
      </c>
      <c r="C282" s="5" t="s">
        <v>237</v>
      </c>
      <c r="D282" s="15" t="s">
        <v>238</v>
      </c>
      <c r="E282" s="6">
        <v>114314</v>
      </c>
      <c r="F282" s="5" t="s">
        <v>32</v>
      </c>
      <c r="G282" s="5" t="s">
        <v>25</v>
      </c>
      <c r="H282" s="5" t="s">
        <v>18</v>
      </c>
      <c r="I282" s="5" t="s">
        <v>17</v>
      </c>
      <c r="J282" s="7">
        <v>45687</v>
      </c>
      <c r="K282" s="5" t="s">
        <v>17</v>
      </c>
      <c r="L282" s="8">
        <v>44224</v>
      </c>
      <c r="M282" s="19">
        <v>235</v>
      </c>
      <c r="N282" s="19">
        <v>285</v>
      </c>
      <c r="O282" s="24">
        <v>0</v>
      </c>
      <c r="P282" s="24">
        <v>1600</v>
      </c>
      <c r="Q282" t="s">
        <v>1983</v>
      </c>
      <c r="R282" s="19">
        <f>VLOOKUP(A282,[1]Sheet1!$A$2:$Q$1536,15,FALSE)</f>
        <v>2288.847412109375</v>
      </c>
      <c r="S282" s="27">
        <f t="shared" si="12"/>
        <v>0.30095820650383209</v>
      </c>
      <c r="T282" s="19">
        <f>VLOOKUP(A282,[1]Sheet1!$A$2:$Q$1536,16,FALSE)</f>
        <v>9191.0031059465873</v>
      </c>
      <c r="U282" s="27">
        <f t="shared" si="13"/>
        <v>0.82591671642839526</v>
      </c>
      <c r="V282" s="19">
        <f>VLOOKUP(A282,[1]Sheet1!$A$2:$Q$1536,17,FALSE)</f>
        <v>2178.560791015625</v>
      </c>
      <c r="W282" s="27">
        <f t="shared" si="14"/>
        <v>0.26557018440871932</v>
      </c>
    </row>
    <row r="283" spans="1:23" x14ac:dyDescent="0.3">
      <c r="A283" s="4" t="s">
        <v>1667</v>
      </c>
      <c r="B283" s="5">
        <v>2017</v>
      </c>
      <c r="C283" s="5" t="s">
        <v>1089</v>
      </c>
      <c r="D283" s="15" t="s">
        <v>1666</v>
      </c>
      <c r="E283" s="6">
        <v>88972</v>
      </c>
      <c r="F283" s="5" t="s">
        <v>42</v>
      </c>
      <c r="G283" s="5" t="s">
        <v>33</v>
      </c>
      <c r="H283" s="5" t="s">
        <v>17</v>
      </c>
      <c r="I283" s="5" t="s">
        <v>18</v>
      </c>
      <c r="J283" s="7">
        <v>45610</v>
      </c>
      <c r="K283" s="5" t="s">
        <v>17</v>
      </c>
      <c r="L283" s="8">
        <v>44224</v>
      </c>
      <c r="M283" s="19">
        <v>235</v>
      </c>
      <c r="N283" s="19">
        <v>285</v>
      </c>
      <c r="O283" s="24">
        <v>0</v>
      </c>
      <c r="P283" s="24">
        <v>11400</v>
      </c>
      <c r="Q283" t="s">
        <v>1983</v>
      </c>
      <c r="R283" s="19">
        <f>VLOOKUP(A283,[1]Sheet1!$A$2:$Q$1536,15,FALSE)</f>
        <v>3453.639892578125</v>
      </c>
      <c r="S283" s="27">
        <f t="shared" si="12"/>
        <v>-2.3008652768050917</v>
      </c>
      <c r="T283" s="19">
        <f>VLOOKUP(A283,[1]Sheet1!$A$2:$Q$1536,16,FALSE)</f>
        <v>9010.2642736506132</v>
      </c>
      <c r="U283" s="27">
        <f t="shared" si="13"/>
        <v>-0.26522371084473839</v>
      </c>
      <c r="V283" s="19">
        <f>VLOOKUP(A283,[1]Sheet1!$A$2:$Q$1536,17,FALSE)</f>
        <v>3351.8466796875</v>
      </c>
      <c r="W283" s="27">
        <f t="shared" si="14"/>
        <v>-2.4011102205494814</v>
      </c>
    </row>
    <row r="284" spans="1:23" x14ac:dyDescent="0.3">
      <c r="A284" s="4" t="s">
        <v>828</v>
      </c>
      <c r="B284" s="5">
        <v>2015</v>
      </c>
      <c r="C284" s="5" t="s">
        <v>559</v>
      </c>
      <c r="D284" s="15" t="s">
        <v>760</v>
      </c>
      <c r="E284" s="6">
        <v>101779</v>
      </c>
      <c r="F284" s="5" t="s">
        <v>87</v>
      </c>
      <c r="G284" s="5" t="s">
        <v>25</v>
      </c>
      <c r="H284" s="5" t="s">
        <v>18</v>
      </c>
      <c r="I284" s="5" t="s">
        <v>17</v>
      </c>
      <c r="J284" s="7">
        <v>45622</v>
      </c>
      <c r="K284" s="5" t="s">
        <v>17</v>
      </c>
      <c r="L284" s="8">
        <v>44307</v>
      </c>
      <c r="M284" s="19">
        <v>235</v>
      </c>
      <c r="N284" s="19">
        <v>285</v>
      </c>
      <c r="O284" s="24">
        <v>5600</v>
      </c>
      <c r="P284" s="24">
        <v>4900</v>
      </c>
      <c r="Q284" t="s">
        <v>1984</v>
      </c>
      <c r="R284" s="19">
        <f>VLOOKUP(A284,[1]Sheet1!$A$2:$Q$1536,15,FALSE)</f>
        <v>4538.65478515625</v>
      </c>
      <c r="S284" s="27">
        <f t="shared" si="12"/>
        <v>-7.9615047177753168E-2</v>
      </c>
      <c r="T284" s="19">
        <f>VLOOKUP(A284,[1]Sheet1!$A$2:$Q$1536,16,FALSE)</f>
        <v>10030.01243137002</v>
      </c>
      <c r="U284" s="27">
        <f t="shared" si="13"/>
        <v>0.51146620868836756</v>
      </c>
      <c r="V284" s="19">
        <f>VLOOKUP(A284,[1]Sheet1!$A$2:$Q$1536,17,FALSE)</f>
        <v>4386.20361328125</v>
      </c>
      <c r="W284" s="27">
        <f t="shared" si="14"/>
        <v>-0.11713920100813263</v>
      </c>
    </row>
    <row r="285" spans="1:23" x14ac:dyDescent="0.3">
      <c r="A285" s="4" t="s">
        <v>483</v>
      </c>
      <c r="B285" s="5">
        <v>2018</v>
      </c>
      <c r="C285" s="5" t="s">
        <v>391</v>
      </c>
      <c r="D285" s="15" t="s">
        <v>394</v>
      </c>
      <c r="E285" s="6">
        <v>101073</v>
      </c>
      <c r="F285" s="5" t="s">
        <v>24</v>
      </c>
      <c r="G285" s="5" t="s">
        <v>25</v>
      </c>
      <c r="H285" s="5" t="s">
        <v>18</v>
      </c>
      <c r="I285" s="5" t="s">
        <v>17</v>
      </c>
      <c r="J285" s="7">
        <v>45617</v>
      </c>
      <c r="K285" s="5" t="s">
        <v>17</v>
      </c>
      <c r="L285" s="8">
        <v>44067</v>
      </c>
      <c r="M285" s="19">
        <v>235</v>
      </c>
      <c r="N285" s="19">
        <v>285</v>
      </c>
      <c r="O285" s="24">
        <v>6900</v>
      </c>
      <c r="P285" s="24">
        <v>4400</v>
      </c>
      <c r="Q285" t="s">
        <v>1984</v>
      </c>
      <c r="R285" s="19">
        <f>VLOOKUP(A285,[1]Sheet1!$A$2:$Q$1536,15,FALSE)</f>
        <v>3667.382080078125</v>
      </c>
      <c r="S285" s="27">
        <f t="shared" si="12"/>
        <v>-0.19976591037557459</v>
      </c>
      <c r="T285" s="19">
        <f>VLOOKUP(A285,[1]Sheet1!$A$2:$Q$1536,16,FALSE)</f>
        <v>9498.4547027368662</v>
      </c>
      <c r="U285" s="27">
        <f t="shared" si="13"/>
        <v>0.53676675441404242</v>
      </c>
      <c r="V285" s="19">
        <f>VLOOKUP(A285,[1]Sheet1!$A$2:$Q$1536,17,FALSE)</f>
        <v>3639.544921875</v>
      </c>
      <c r="W285" s="27">
        <f t="shared" si="14"/>
        <v>-0.2089423525326988</v>
      </c>
    </row>
    <row r="286" spans="1:23" x14ac:dyDescent="0.3">
      <c r="A286" s="4" t="s">
        <v>1730</v>
      </c>
      <c r="B286" s="5">
        <v>2014</v>
      </c>
      <c r="C286" s="5" t="s">
        <v>1089</v>
      </c>
      <c r="D286" s="15" t="s">
        <v>1720</v>
      </c>
      <c r="E286" s="6">
        <v>107843</v>
      </c>
      <c r="F286" s="5" t="s">
        <v>144</v>
      </c>
      <c r="G286" s="5" t="s">
        <v>25</v>
      </c>
      <c r="H286" s="5" t="s">
        <v>18</v>
      </c>
      <c r="I286" s="5" t="s">
        <v>17</v>
      </c>
      <c r="J286" s="7">
        <v>45594</v>
      </c>
      <c r="K286" s="5" t="s">
        <v>17</v>
      </c>
      <c r="L286" s="8">
        <v>44035</v>
      </c>
      <c r="M286" s="19">
        <v>222</v>
      </c>
      <c r="N286" s="19">
        <v>272</v>
      </c>
      <c r="O286" s="24">
        <v>3900</v>
      </c>
      <c r="P286" s="24">
        <v>900</v>
      </c>
      <c r="Q286" t="s">
        <v>1984</v>
      </c>
      <c r="R286" s="19">
        <f>VLOOKUP(A286,[1]Sheet1!$A$2:$Q$1536,15,FALSE)</f>
        <v>1233.621704101562</v>
      </c>
      <c r="S286" s="27">
        <f t="shared" si="12"/>
        <v>0.27044085151252778</v>
      </c>
      <c r="T286" s="19">
        <f>VLOOKUP(A286,[1]Sheet1!$A$2:$Q$1536,16,FALSE)</f>
        <v>8650.3801398295964</v>
      </c>
      <c r="U286" s="27">
        <f t="shared" si="13"/>
        <v>0.89595832952403298</v>
      </c>
      <c r="V286" s="19">
        <f>VLOOKUP(A286,[1]Sheet1!$A$2:$Q$1536,17,FALSE)</f>
        <v>1284.2802734375</v>
      </c>
      <c r="W286" s="27">
        <f t="shared" si="14"/>
        <v>0.29921838821750085</v>
      </c>
    </row>
    <row r="287" spans="1:23" x14ac:dyDescent="0.3">
      <c r="A287" s="4" t="s">
        <v>1041</v>
      </c>
      <c r="B287" s="5">
        <v>2018</v>
      </c>
      <c r="C287" s="5" t="s">
        <v>391</v>
      </c>
      <c r="D287" s="15" t="s">
        <v>580</v>
      </c>
      <c r="E287" s="6">
        <v>97764</v>
      </c>
      <c r="F287" s="5" t="s">
        <v>42</v>
      </c>
      <c r="G287" s="5" t="s">
        <v>22</v>
      </c>
      <c r="H287" s="5" t="s">
        <v>18</v>
      </c>
      <c r="I287" s="5" t="s">
        <v>17</v>
      </c>
      <c r="J287" s="7">
        <v>45631</v>
      </c>
      <c r="K287" s="5" t="s">
        <v>17</v>
      </c>
      <c r="L287" s="8">
        <v>44128</v>
      </c>
      <c r="M287" s="19">
        <v>264</v>
      </c>
      <c r="N287" s="19">
        <v>314</v>
      </c>
      <c r="O287" s="24">
        <v>0</v>
      </c>
      <c r="P287" s="24">
        <v>5500</v>
      </c>
      <c r="Q287" t="s">
        <v>1983</v>
      </c>
      <c r="R287" s="19">
        <f>VLOOKUP(A287,[1]Sheet1!$A$2:$Q$1536,15,FALSE)</f>
        <v>5305.9521484375</v>
      </c>
      <c r="S287" s="27">
        <f t="shared" si="12"/>
        <v>-3.6571730414048931E-2</v>
      </c>
      <c r="T287" s="19">
        <f>VLOOKUP(A287,[1]Sheet1!$A$2:$Q$1536,16,FALSE)</f>
        <v>9705.9027753545397</v>
      </c>
      <c r="U287" s="27">
        <f t="shared" si="13"/>
        <v>0.43333452566970571</v>
      </c>
      <c r="V287" s="19">
        <f>VLOOKUP(A287,[1]Sheet1!$A$2:$Q$1536,17,FALSE)</f>
        <v>5410.2001953125</v>
      </c>
      <c r="W287" s="27">
        <f t="shared" si="14"/>
        <v>-1.6598240628009339E-2</v>
      </c>
    </row>
    <row r="288" spans="1:23" x14ac:dyDescent="0.3">
      <c r="A288" s="4" t="s">
        <v>417</v>
      </c>
      <c r="B288" s="5">
        <v>2017</v>
      </c>
      <c r="C288" s="5" t="s">
        <v>391</v>
      </c>
      <c r="D288" s="15" t="s">
        <v>413</v>
      </c>
      <c r="E288" s="6">
        <v>51929</v>
      </c>
      <c r="F288" s="5" t="s">
        <v>246</v>
      </c>
      <c r="G288" s="5" t="s">
        <v>16</v>
      </c>
      <c r="H288" s="5" t="s">
        <v>17</v>
      </c>
      <c r="I288" s="5" t="s">
        <v>18</v>
      </c>
      <c r="J288" s="7">
        <v>45566</v>
      </c>
      <c r="K288" s="5" t="s">
        <v>17</v>
      </c>
      <c r="L288" s="8">
        <v>44128</v>
      </c>
      <c r="M288" s="19">
        <v>264</v>
      </c>
      <c r="N288" s="19">
        <v>314</v>
      </c>
      <c r="O288" s="24">
        <v>10750</v>
      </c>
      <c r="P288" s="24">
        <v>9600</v>
      </c>
      <c r="Q288" t="s">
        <v>1984</v>
      </c>
      <c r="R288" s="19">
        <f>VLOOKUP(A288,[1]Sheet1!$A$2:$Q$1536,15,FALSE)</f>
        <v>14605.19921875</v>
      </c>
      <c r="S288" s="27">
        <f t="shared" si="12"/>
        <v>0.34269982516393055</v>
      </c>
      <c r="T288" s="19">
        <f>VLOOKUP(A288,[1]Sheet1!$A$2:$Q$1536,16,FALSE)</f>
        <v>12415.842686678739</v>
      </c>
      <c r="U288" s="27">
        <f t="shared" si="13"/>
        <v>0.22679432703347038</v>
      </c>
      <c r="V288" s="19">
        <f>VLOOKUP(A288,[1]Sheet1!$A$2:$Q$1536,17,FALSE)</f>
        <v>14589.0830078125</v>
      </c>
      <c r="W288" s="27">
        <f t="shared" si="14"/>
        <v>0.34197372138748067</v>
      </c>
    </row>
    <row r="289" spans="1:23" x14ac:dyDescent="0.3">
      <c r="A289" s="4" t="s">
        <v>72</v>
      </c>
      <c r="B289" s="5">
        <v>2015</v>
      </c>
      <c r="C289" s="5" t="s">
        <v>46</v>
      </c>
      <c r="D289" s="15">
        <v>200</v>
      </c>
      <c r="E289" s="6">
        <v>51253</v>
      </c>
      <c r="F289" s="5" t="s">
        <v>73</v>
      </c>
      <c r="G289" s="5" t="s">
        <v>25</v>
      </c>
      <c r="H289" s="5" t="s">
        <v>18</v>
      </c>
      <c r="I289" s="5" t="s">
        <v>17</v>
      </c>
      <c r="J289" s="7">
        <v>45384</v>
      </c>
      <c r="K289" s="5" t="s">
        <v>17</v>
      </c>
      <c r="L289" s="8">
        <v>44224</v>
      </c>
      <c r="M289" s="19">
        <v>235</v>
      </c>
      <c r="N289" s="19">
        <v>285</v>
      </c>
      <c r="O289" s="24">
        <v>8100</v>
      </c>
      <c r="P289" s="24">
        <v>7200</v>
      </c>
      <c r="Q289" t="s">
        <v>1984</v>
      </c>
      <c r="R289" s="19">
        <f>VLOOKUP(A289,[1]Sheet1!$A$2:$Q$1536,15,FALSE)</f>
        <v>7919.7216796875</v>
      </c>
      <c r="S289" s="27">
        <f t="shared" si="12"/>
        <v>9.0877143010396691E-2</v>
      </c>
      <c r="T289" s="19">
        <f>VLOOKUP(A289,[1]Sheet1!$A$2:$Q$1536,16,FALSE)</f>
        <v>11019.902609420429</v>
      </c>
      <c r="U289" s="27">
        <f t="shared" si="13"/>
        <v>0.34663669406251946</v>
      </c>
      <c r="V289" s="19">
        <f>VLOOKUP(A289,[1]Sheet1!$A$2:$Q$1536,17,FALSE)</f>
        <v>7666.888671875</v>
      </c>
      <c r="W289" s="27">
        <f t="shared" si="14"/>
        <v>6.0896759018781811E-2</v>
      </c>
    </row>
    <row r="290" spans="1:23" x14ac:dyDescent="0.3">
      <c r="A290" s="4" t="s">
        <v>667</v>
      </c>
      <c r="B290" s="5">
        <v>2018</v>
      </c>
      <c r="C290" s="5" t="s">
        <v>636</v>
      </c>
      <c r="D290" s="15" t="s">
        <v>641</v>
      </c>
      <c r="E290" s="6">
        <v>169689</v>
      </c>
      <c r="F290" s="5" t="s">
        <v>36</v>
      </c>
      <c r="G290" s="5" t="s">
        <v>25</v>
      </c>
      <c r="H290" s="5" t="s">
        <v>18</v>
      </c>
      <c r="I290" s="5" t="s">
        <v>17</v>
      </c>
      <c r="J290" s="7">
        <v>45484</v>
      </c>
      <c r="K290" s="5" t="s">
        <v>17</v>
      </c>
      <c r="L290" s="8">
        <v>44113</v>
      </c>
      <c r="M290" s="19">
        <v>264</v>
      </c>
      <c r="N290" s="19">
        <v>314</v>
      </c>
      <c r="O290" s="24">
        <v>0</v>
      </c>
      <c r="P290" s="24">
        <v>11400</v>
      </c>
      <c r="Q290" t="s">
        <v>1983</v>
      </c>
      <c r="R290" s="19">
        <f>VLOOKUP(A290,[1]Sheet1!$A$2:$Q$1536,15,FALSE)</f>
        <v>2739.983642578125</v>
      </c>
      <c r="S290" s="27">
        <f t="shared" si="12"/>
        <v>-3.1606087798660836</v>
      </c>
      <c r="T290" s="19">
        <f>VLOOKUP(A290,[1]Sheet1!$A$2:$Q$1536,16,FALSE)</f>
        <v>8994.7011743544426</v>
      </c>
      <c r="U290" s="27">
        <f t="shared" si="13"/>
        <v>-0.2674128666445873</v>
      </c>
      <c r="V290" s="19">
        <f>VLOOKUP(A290,[1]Sheet1!$A$2:$Q$1536,17,FALSE)</f>
        <v>2601.28369140625</v>
      </c>
      <c r="W290" s="27">
        <f t="shared" si="14"/>
        <v>-3.3824516478774282</v>
      </c>
    </row>
    <row r="291" spans="1:23" x14ac:dyDescent="0.3">
      <c r="A291" s="4" t="s">
        <v>1101</v>
      </c>
      <c r="B291" s="5">
        <v>2021</v>
      </c>
      <c r="C291" s="5" t="s">
        <v>1086</v>
      </c>
      <c r="D291" s="15" t="s">
        <v>1093</v>
      </c>
      <c r="E291" s="6">
        <v>46713</v>
      </c>
      <c r="F291" s="5" t="s">
        <v>115</v>
      </c>
      <c r="G291" s="5" t="s">
        <v>16</v>
      </c>
      <c r="H291" s="5" t="s">
        <v>17</v>
      </c>
      <c r="I291" s="5" t="s">
        <v>18</v>
      </c>
      <c r="J291" s="7">
        <v>45510</v>
      </c>
      <c r="K291" s="5" t="s">
        <v>17</v>
      </c>
      <c r="L291" s="8">
        <v>43612</v>
      </c>
      <c r="M291" s="19">
        <v>264</v>
      </c>
      <c r="N291" s="19">
        <v>314</v>
      </c>
      <c r="O291" s="24">
        <v>16000</v>
      </c>
      <c r="P291" s="24">
        <v>15500</v>
      </c>
      <c r="Q291" t="s">
        <v>1984</v>
      </c>
      <c r="R291" s="19">
        <f>VLOOKUP(A291,[1]Sheet1!$A$2:$Q$1536,15,FALSE)</f>
        <v>14841.9833984375</v>
      </c>
      <c r="S291" s="27">
        <f t="shared" si="12"/>
        <v>-4.4334815900129165E-2</v>
      </c>
      <c r="T291" s="19">
        <f>VLOOKUP(A291,[1]Sheet1!$A$2:$Q$1536,16,FALSE)</f>
        <v>14232.68575627807</v>
      </c>
      <c r="U291" s="27">
        <f t="shared" si="13"/>
        <v>-8.904252264284801E-2</v>
      </c>
      <c r="V291" s="19">
        <f>VLOOKUP(A291,[1]Sheet1!$A$2:$Q$1536,17,FALSE)</f>
        <v>14991.6455078125</v>
      </c>
      <c r="W291" s="27">
        <f t="shared" si="14"/>
        <v>-3.3909185747660886E-2</v>
      </c>
    </row>
    <row r="292" spans="1:23" x14ac:dyDescent="0.3">
      <c r="A292" s="4" t="s">
        <v>1425</v>
      </c>
      <c r="B292" s="5">
        <v>2020</v>
      </c>
      <c r="C292" s="5" t="s">
        <v>1086</v>
      </c>
      <c r="D292" s="15" t="s">
        <v>1411</v>
      </c>
      <c r="E292" s="6">
        <v>60235</v>
      </c>
      <c r="F292" s="5" t="s">
        <v>246</v>
      </c>
      <c r="G292" s="5" t="s">
        <v>16</v>
      </c>
      <c r="H292" s="5" t="s">
        <v>17</v>
      </c>
      <c r="I292" s="5" t="s">
        <v>18</v>
      </c>
      <c r="J292" s="7">
        <v>45722</v>
      </c>
      <c r="K292" s="5" t="s">
        <v>17</v>
      </c>
      <c r="L292" s="8">
        <v>43612</v>
      </c>
      <c r="M292" s="19">
        <v>264</v>
      </c>
      <c r="N292" s="19">
        <v>314</v>
      </c>
      <c r="O292" s="24">
        <v>12100</v>
      </c>
      <c r="P292" s="24">
        <v>11200</v>
      </c>
      <c r="Q292" t="s">
        <v>1984</v>
      </c>
      <c r="R292" s="19">
        <f>VLOOKUP(A292,[1]Sheet1!$A$2:$Q$1536,15,FALSE)</f>
        <v>11098.3447265625</v>
      </c>
      <c r="S292" s="27">
        <f t="shared" si="12"/>
        <v>-9.1594986407478249E-3</v>
      </c>
      <c r="T292" s="19">
        <f>VLOOKUP(A292,[1]Sheet1!$A$2:$Q$1536,16,FALSE)</f>
        <v>13130.55302661265</v>
      </c>
      <c r="U292" s="27">
        <f t="shared" si="13"/>
        <v>0.14702754885493832</v>
      </c>
      <c r="V292" s="19">
        <f>VLOOKUP(A292,[1]Sheet1!$A$2:$Q$1536,17,FALSE)</f>
        <v>11065.423828125</v>
      </c>
      <c r="W292" s="27">
        <f t="shared" si="14"/>
        <v>-1.2161863292840858E-2</v>
      </c>
    </row>
    <row r="293" spans="1:23" x14ac:dyDescent="0.3">
      <c r="A293" s="4" t="s">
        <v>58</v>
      </c>
      <c r="B293" s="5">
        <v>2016</v>
      </c>
      <c r="C293" s="5" t="s">
        <v>46</v>
      </c>
      <c r="D293" s="15">
        <v>200</v>
      </c>
      <c r="E293" s="6">
        <v>68372</v>
      </c>
      <c r="F293" s="5" t="s">
        <v>59</v>
      </c>
      <c r="G293" s="5" t="s">
        <v>16</v>
      </c>
      <c r="H293" s="5" t="s">
        <v>17</v>
      </c>
      <c r="I293" s="5" t="s">
        <v>18</v>
      </c>
      <c r="J293" s="7">
        <v>45314</v>
      </c>
      <c r="K293" s="5" t="s">
        <v>17</v>
      </c>
      <c r="L293" s="8">
        <v>44067</v>
      </c>
      <c r="M293" s="19">
        <v>235</v>
      </c>
      <c r="N293" s="19">
        <v>285</v>
      </c>
      <c r="O293" s="24">
        <v>11400</v>
      </c>
      <c r="P293" s="24">
        <v>9100</v>
      </c>
      <c r="Q293" t="s">
        <v>1984</v>
      </c>
      <c r="R293" s="19">
        <f>VLOOKUP(A293,[1]Sheet1!$A$2:$Q$1536,15,FALSE)</f>
        <v>11515.4765625</v>
      </c>
      <c r="S293" s="27">
        <f t="shared" si="12"/>
        <v>0.20975914886284153</v>
      </c>
      <c r="T293" s="19">
        <f>VLOOKUP(A293,[1]Sheet1!$A$2:$Q$1536,16,FALSE)</f>
        <v>10179.008117498321</v>
      </c>
      <c r="U293" s="27">
        <f t="shared" si="13"/>
        <v>0.10600326721848678</v>
      </c>
      <c r="V293" s="19">
        <f>VLOOKUP(A293,[1]Sheet1!$A$2:$Q$1536,17,FALSE)</f>
        <v>11499.353515625</v>
      </c>
      <c r="W293" s="27">
        <f t="shared" si="14"/>
        <v>0.20865116568203818</v>
      </c>
    </row>
    <row r="294" spans="1:23" x14ac:dyDescent="0.3">
      <c r="A294" s="4" t="s">
        <v>573</v>
      </c>
      <c r="B294" s="5">
        <v>2014</v>
      </c>
      <c r="C294" s="5" t="s">
        <v>559</v>
      </c>
      <c r="D294" s="15" t="s">
        <v>560</v>
      </c>
      <c r="E294" s="6">
        <v>159986</v>
      </c>
      <c r="F294" s="5" t="s">
        <v>103</v>
      </c>
      <c r="G294" s="5" t="s">
        <v>25</v>
      </c>
      <c r="H294" s="5" t="s">
        <v>18</v>
      </c>
      <c r="I294" s="5" t="s">
        <v>17</v>
      </c>
      <c r="J294" s="7">
        <v>45734</v>
      </c>
      <c r="K294" s="5" t="s">
        <v>17</v>
      </c>
      <c r="L294" s="8">
        <v>44307</v>
      </c>
      <c r="M294" s="19">
        <v>235</v>
      </c>
      <c r="N294" s="19">
        <v>285</v>
      </c>
      <c r="O294" s="24">
        <v>0</v>
      </c>
      <c r="P294" s="24">
        <v>500</v>
      </c>
      <c r="Q294" t="s">
        <v>1983</v>
      </c>
      <c r="R294" s="19">
        <f>VLOOKUP(A294,[1]Sheet1!$A$2:$Q$1536,15,FALSE)</f>
        <v>4312.3095703125</v>
      </c>
      <c r="S294" s="27">
        <f t="shared" si="12"/>
        <v>0.88405285106566078</v>
      </c>
      <c r="T294" s="19">
        <f>VLOOKUP(A294,[1]Sheet1!$A$2:$Q$1536,16,FALSE)</f>
        <v>10097.670722874551</v>
      </c>
      <c r="U294" s="27">
        <f t="shared" si="13"/>
        <v>0.95048362996553892</v>
      </c>
      <c r="V294" s="19">
        <f>VLOOKUP(A294,[1]Sheet1!$A$2:$Q$1536,17,FALSE)</f>
        <v>4176.4921875</v>
      </c>
      <c r="W294" s="27">
        <f t="shared" si="14"/>
        <v>0.88028230927943041</v>
      </c>
    </row>
    <row r="295" spans="1:23" x14ac:dyDescent="0.3">
      <c r="A295" s="4" t="s">
        <v>628</v>
      </c>
      <c r="B295" s="5">
        <v>2010</v>
      </c>
      <c r="C295" s="5" t="s">
        <v>96</v>
      </c>
      <c r="D295" s="15" t="s">
        <v>629</v>
      </c>
      <c r="E295" s="6">
        <v>77048</v>
      </c>
      <c r="F295" s="5" t="s">
        <v>81</v>
      </c>
      <c r="G295" s="5" t="s">
        <v>33</v>
      </c>
      <c r="H295" s="5" t="s">
        <v>17</v>
      </c>
      <c r="I295" s="5" t="s">
        <v>18</v>
      </c>
      <c r="J295" s="7">
        <v>45594</v>
      </c>
      <c r="K295" s="5" t="s">
        <v>17</v>
      </c>
      <c r="L295" s="8">
        <v>44451</v>
      </c>
      <c r="M295" s="19">
        <v>264</v>
      </c>
      <c r="N295" s="19">
        <v>314</v>
      </c>
      <c r="O295" s="24">
        <v>10200</v>
      </c>
      <c r="P295" s="24">
        <v>4000</v>
      </c>
      <c r="Q295" t="s">
        <v>1984</v>
      </c>
      <c r="R295" s="19">
        <f>VLOOKUP(A295,[1]Sheet1!$A$2:$Q$1536,15,FALSE)</f>
        <v>3810.63623046875</v>
      </c>
      <c r="S295" s="27">
        <f t="shared" si="12"/>
        <v>-4.9693478484551169E-2</v>
      </c>
      <c r="T295" s="19">
        <f>VLOOKUP(A295,[1]Sheet1!$A$2:$Q$1536,16,FALSE)</f>
        <v>9657.1649662232649</v>
      </c>
      <c r="U295" s="27">
        <f t="shared" si="13"/>
        <v>0.58579976483881846</v>
      </c>
      <c r="V295" s="19">
        <f>VLOOKUP(A295,[1]Sheet1!$A$2:$Q$1536,17,FALSE)</f>
        <v>3906.46630859375</v>
      </c>
      <c r="W295" s="27">
        <f t="shared" si="14"/>
        <v>-2.3943299139810133E-2</v>
      </c>
    </row>
    <row r="296" spans="1:23" x14ac:dyDescent="0.3">
      <c r="A296" s="4" t="s">
        <v>1044</v>
      </c>
      <c r="B296" s="5">
        <v>2020</v>
      </c>
      <c r="C296" s="5" t="s">
        <v>391</v>
      </c>
      <c r="D296" s="15" t="s">
        <v>580</v>
      </c>
      <c r="E296" s="6">
        <v>88200</v>
      </c>
      <c r="F296" s="5" t="s">
        <v>112</v>
      </c>
      <c r="G296" s="5" t="s">
        <v>134</v>
      </c>
      <c r="H296" s="5" t="s">
        <v>18</v>
      </c>
      <c r="I296" s="5" t="s">
        <v>17</v>
      </c>
      <c r="J296" s="7">
        <v>45715</v>
      </c>
      <c r="K296" s="5" t="s">
        <v>17</v>
      </c>
      <c r="L296" s="8">
        <v>44067</v>
      </c>
      <c r="M296" s="19">
        <v>235</v>
      </c>
      <c r="N296" s="19">
        <v>285</v>
      </c>
      <c r="O296" s="24">
        <v>0</v>
      </c>
      <c r="P296" s="24">
        <v>12200</v>
      </c>
      <c r="Q296" t="s">
        <v>1983</v>
      </c>
      <c r="R296" s="19">
        <f>VLOOKUP(A296,[1]Sheet1!$A$2:$Q$1536,15,FALSE)</f>
        <v>5468.74755859375</v>
      </c>
      <c r="S296" s="27">
        <f t="shared" si="12"/>
        <v>-1.2308581387759547</v>
      </c>
      <c r="T296" s="19">
        <f>VLOOKUP(A296,[1]Sheet1!$A$2:$Q$1536,16,FALSE)</f>
        <v>10962.44168304459</v>
      </c>
      <c r="U296" s="27">
        <f t="shared" si="13"/>
        <v>-0.1128907548826024</v>
      </c>
      <c r="V296" s="19">
        <f>VLOOKUP(A296,[1]Sheet1!$A$2:$Q$1536,17,FALSE)</f>
        <v>5126.93896484375</v>
      </c>
      <c r="W296" s="27">
        <f t="shared" si="14"/>
        <v>-1.3795875245750679</v>
      </c>
    </row>
    <row r="297" spans="1:23" x14ac:dyDescent="0.3">
      <c r="A297" s="4" t="s">
        <v>980</v>
      </c>
      <c r="B297" s="5">
        <v>2014</v>
      </c>
      <c r="C297" s="5" t="s">
        <v>83</v>
      </c>
      <c r="D297" s="15" t="s">
        <v>965</v>
      </c>
      <c r="E297" s="6">
        <v>109646</v>
      </c>
      <c r="F297" s="5" t="s">
        <v>64</v>
      </c>
      <c r="G297" s="5" t="s">
        <v>33</v>
      </c>
      <c r="H297" s="5" t="s">
        <v>17</v>
      </c>
      <c r="I297" s="5" t="s">
        <v>18</v>
      </c>
      <c r="J297" s="7">
        <v>45384</v>
      </c>
      <c r="K297" s="5" t="s">
        <v>17</v>
      </c>
      <c r="L297" s="8">
        <v>44081</v>
      </c>
      <c r="M297" s="19">
        <v>325</v>
      </c>
      <c r="N297" s="19">
        <v>375</v>
      </c>
      <c r="O297" s="24">
        <v>5100</v>
      </c>
      <c r="P297" s="24">
        <v>3600</v>
      </c>
      <c r="Q297" t="s">
        <v>1984</v>
      </c>
      <c r="R297" s="19">
        <f>VLOOKUP(A297,[1]Sheet1!$A$2:$Q$1536,15,FALSE)</f>
        <v>6278.2001953125</v>
      </c>
      <c r="S297" s="27">
        <f t="shared" si="12"/>
        <v>0.42658725621908772</v>
      </c>
      <c r="T297" s="19">
        <f>VLOOKUP(A297,[1]Sheet1!$A$2:$Q$1536,16,FALSE)</f>
        <v>8879.1280962788842</v>
      </c>
      <c r="U297" s="27">
        <f t="shared" si="13"/>
        <v>0.5945547850009385</v>
      </c>
      <c r="V297" s="19">
        <f>VLOOKUP(A297,[1]Sheet1!$A$2:$Q$1536,17,FALSE)</f>
        <v>6204.3603515625</v>
      </c>
      <c r="W297" s="27">
        <f t="shared" si="14"/>
        <v>0.41976290930726168</v>
      </c>
    </row>
    <row r="298" spans="1:23" x14ac:dyDescent="0.3">
      <c r="A298" s="4" t="s">
        <v>1952</v>
      </c>
      <c r="B298" s="5">
        <v>2016</v>
      </c>
      <c r="C298" s="5" t="s">
        <v>96</v>
      </c>
      <c r="D298" s="15" t="s">
        <v>1951</v>
      </c>
      <c r="E298" s="6">
        <v>61885</v>
      </c>
      <c r="F298" s="5" t="s">
        <v>246</v>
      </c>
      <c r="G298" s="5" t="s">
        <v>16</v>
      </c>
      <c r="H298" s="5" t="s">
        <v>17</v>
      </c>
      <c r="I298" s="5" t="s">
        <v>18</v>
      </c>
      <c r="J298" s="7">
        <v>45608</v>
      </c>
      <c r="K298" s="5" t="s">
        <v>17</v>
      </c>
      <c r="L298" s="8">
        <v>44035</v>
      </c>
      <c r="M298" s="19">
        <v>222</v>
      </c>
      <c r="N298" s="19">
        <v>272</v>
      </c>
      <c r="O298" s="24">
        <v>9800</v>
      </c>
      <c r="P298" s="24">
        <v>7100</v>
      </c>
      <c r="Q298" t="s">
        <v>1984</v>
      </c>
      <c r="R298" s="19">
        <f>VLOOKUP(A298,[1]Sheet1!$A$2:$Q$1536,15,FALSE)</f>
        <v>12640.9150390625</v>
      </c>
      <c r="S298" s="27">
        <f t="shared" si="12"/>
        <v>0.43833179971071429</v>
      </c>
      <c r="T298" s="19">
        <f>VLOOKUP(A298,[1]Sheet1!$A$2:$Q$1536,16,FALSE)</f>
        <v>12034.6066532189</v>
      </c>
      <c r="U298" s="27">
        <f t="shared" si="13"/>
        <v>0.41003472696791787</v>
      </c>
      <c r="V298" s="19">
        <f>VLOOKUP(A298,[1]Sheet1!$A$2:$Q$1536,17,FALSE)</f>
        <v>12590.3173828125</v>
      </c>
      <c r="W298" s="27">
        <f t="shared" si="14"/>
        <v>0.43607458143251671</v>
      </c>
    </row>
    <row r="299" spans="1:23" x14ac:dyDescent="0.3">
      <c r="A299" s="4" t="s">
        <v>1433</v>
      </c>
      <c r="B299" s="5">
        <v>2018</v>
      </c>
      <c r="C299" s="5" t="s">
        <v>1086</v>
      </c>
      <c r="D299" s="15" t="s">
        <v>1411</v>
      </c>
      <c r="E299" s="6">
        <v>76588</v>
      </c>
      <c r="F299" s="5" t="s">
        <v>158</v>
      </c>
      <c r="G299" s="5" t="s">
        <v>16</v>
      </c>
      <c r="H299" s="5" t="s">
        <v>17</v>
      </c>
      <c r="I299" s="5" t="s">
        <v>18</v>
      </c>
      <c r="J299" s="7">
        <v>45596</v>
      </c>
      <c r="K299" s="5" t="s">
        <v>17</v>
      </c>
      <c r="L299" s="8">
        <v>43605</v>
      </c>
      <c r="M299" s="19">
        <v>264</v>
      </c>
      <c r="N299" s="19">
        <v>314</v>
      </c>
      <c r="O299" s="24">
        <v>11600</v>
      </c>
      <c r="P299" s="24">
        <v>8800</v>
      </c>
      <c r="Q299" t="s">
        <v>1984</v>
      </c>
      <c r="R299" s="19">
        <f>VLOOKUP(A299,[1]Sheet1!$A$2:$Q$1536,15,FALSE)</f>
        <v>9273.0458984375</v>
      </c>
      <c r="S299" s="27">
        <f t="shared" si="12"/>
        <v>5.1013000864927008E-2</v>
      </c>
      <c r="T299" s="19">
        <f>VLOOKUP(A299,[1]Sheet1!$A$2:$Q$1536,16,FALSE)</f>
        <v>9970.9169753897459</v>
      </c>
      <c r="U299" s="27">
        <f t="shared" si="13"/>
        <v>0.11743322888755442</v>
      </c>
      <c r="V299" s="19">
        <f>VLOOKUP(A299,[1]Sheet1!$A$2:$Q$1536,17,FALSE)</f>
        <v>9481.7255859375</v>
      </c>
      <c r="W299" s="27">
        <f t="shared" si="14"/>
        <v>7.1898894326637985E-2</v>
      </c>
    </row>
    <row r="300" spans="1:23" x14ac:dyDescent="0.3">
      <c r="A300" s="4" t="s">
        <v>792</v>
      </c>
      <c r="B300" s="5">
        <v>2010</v>
      </c>
      <c r="C300" s="5" t="s">
        <v>391</v>
      </c>
      <c r="D300" s="15" t="s">
        <v>429</v>
      </c>
      <c r="E300" s="6">
        <v>22671</v>
      </c>
      <c r="F300" s="5" t="s">
        <v>125</v>
      </c>
      <c r="G300" s="5" t="s">
        <v>16</v>
      </c>
      <c r="H300" s="5" t="s">
        <v>17</v>
      </c>
      <c r="I300" s="5" t="s">
        <v>18</v>
      </c>
      <c r="J300" s="7">
        <v>45314</v>
      </c>
      <c r="K300" s="5" t="s">
        <v>17</v>
      </c>
      <c r="L300" s="8">
        <v>43608</v>
      </c>
      <c r="M300" s="19">
        <v>264</v>
      </c>
      <c r="N300" s="19">
        <v>314</v>
      </c>
      <c r="O300" s="24">
        <v>18750</v>
      </c>
      <c r="P300" s="24">
        <v>16776.190476190499</v>
      </c>
      <c r="Q300" t="s">
        <v>1984</v>
      </c>
      <c r="R300" s="19">
        <f>VLOOKUP(A300,[1]Sheet1!$A$2:$Q$1536,15,FALSE)</f>
        <v>14528.751953125</v>
      </c>
      <c r="S300" s="27">
        <f t="shared" si="12"/>
        <v>-0.15468902837054049</v>
      </c>
      <c r="T300" s="19">
        <f>VLOOKUP(A300,[1]Sheet1!$A$2:$Q$1536,16,FALSE)</f>
        <v>13252.595561482651</v>
      </c>
      <c r="U300" s="27">
        <f t="shared" si="13"/>
        <v>-0.26587960813871253</v>
      </c>
      <c r="V300" s="19">
        <f>VLOOKUP(A300,[1]Sheet1!$A$2:$Q$1536,17,FALSE)</f>
        <v>14449.3291015625</v>
      </c>
      <c r="W300" s="27">
        <f t="shared" si="14"/>
        <v>-0.16103594556347811</v>
      </c>
    </row>
    <row r="301" spans="1:23" x14ac:dyDescent="0.3">
      <c r="A301" s="4" t="s">
        <v>654</v>
      </c>
      <c r="B301" s="5">
        <v>2016</v>
      </c>
      <c r="C301" s="5" t="s">
        <v>636</v>
      </c>
      <c r="D301" s="15" t="s">
        <v>641</v>
      </c>
      <c r="E301" s="6">
        <v>186201</v>
      </c>
      <c r="F301" s="5" t="s">
        <v>92</v>
      </c>
      <c r="G301" s="5" t="s">
        <v>25</v>
      </c>
      <c r="H301" s="5" t="s">
        <v>18</v>
      </c>
      <c r="I301" s="5" t="s">
        <v>17</v>
      </c>
      <c r="J301" s="7">
        <v>45365</v>
      </c>
      <c r="K301" s="5" t="s">
        <v>17</v>
      </c>
      <c r="L301" s="8">
        <v>44444</v>
      </c>
      <c r="M301" s="19">
        <v>264</v>
      </c>
      <c r="N301" s="19">
        <v>314</v>
      </c>
      <c r="O301" s="24">
        <v>0</v>
      </c>
      <c r="P301" s="24">
        <v>10000</v>
      </c>
      <c r="Q301" t="s">
        <v>1983</v>
      </c>
      <c r="R301" s="19">
        <f>VLOOKUP(A301,[1]Sheet1!$A$2:$Q$1536,15,FALSE)</f>
        <v>3802.0810546875</v>
      </c>
      <c r="S301" s="27">
        <f t="shared" si="12"/>
        <v>-1.6301385625830427</v>
      </c>
      <c r="T301" s="19">
        <f>VLOOKUP(A301,[1]Sheet1!$A$2:$Q$1536,16,FALSE)</f>
        <v>9668.285950531339</v>
      </c>
      <c r="U301" s="27">
        <f t="shared" si="13"/>
        <v>-3.4309499239669361E-2</v>
      </c>
      <c r="V301" s="19">
        <f>VLOOKUP(A301,[1]Sheet1!$A$2:$Q$1536,17,FALSE)</f>
        <v>3841.0654296875</v>
      </c>
      <c r="W301" s="27">
        <f t="shared" si="14"/>
        <v>-1.6034443263346274</v>
      </c>
    </row>
    <row r="302" spans="1:23" x14ac:dyDescent="0.3">
      <c r="A302" s="4" t="s">
        <v>364</v>
      </c>
      <c r="B302" s="5">
        <v>2014</v>
      </c>
      <c r="C302" s="5" t="s">
        <v>237</v>
      </c>
      <c r="D302" s="15" t="s">
        <v>339</v>
      </c>
      <c r="E302" s="6">
        <v>133169</v>
      </c>
      <c r="F302" s="5" t="s">
        <v>36</v>
      </c>
      <c r="G302" s="5" t="s">
        <v>25</v>
      </c>
      <c r="H302" s="5" t="s">
        <v>18</v>
      </c>
      <c r="I302" s="5" t="s">
        <v>17</v>
      </c>
      <c r="J302" s="7">
        <v>45295</v>
      </c>
      <c r="K302" s="5" t="s">
        <v>17</v>
      </c>
      <c r="L302" s="8">
        <v>43950</v>
      </c>
      <c r="M302" s="19">
        <v>264</v>
      </c>
      <c r="N302" s="19">
        <v>314</v>
      </c>
      <c r="O302" s="24">
        <v>0</v>
      </c>
      <c r="P302" s="24">
        <v>5100</v>
      </c>
      <c r="Q302" t="s">
        <v>1983</v>
      </c>
      <c r="R302" s="19">
        <f>VLOOKUP(A302,[1]Sheet1!$A$2:$Q$1536,15,FALSE)</f>
        <v>2594.343505859375</v>
      </c>
      <c r="S302" s="27">
        <f t="shared" si="12"/>
        <v>-0.96581523937811298</v>
      </c>
      <c r="T302" s="19">
        <f>VLOOKUP(A302,[1]Sheet1!$A$2:$Q$1536,16,FALSE)</f>
        <v>9308.7974481585225</v>
      </c>
      <c r="U302" s="27">
        <f t="shared" si="13"/>
        <v>0.45213116641517553</v>
      </c>
      <c r="V302" s="19">
        <f>VLOOKUP(A302,[1]Sheet1!$A$2:$Q$1536,17,FALSE)</f>
        <v>2440.115234375</v>
      </c>
      <c r="W302" s="27">
        <f t="shared" si="14"/>
        <v>-1.090065226491769</v>
      </c>
    </row>
    <row r="303" spans="1:23" x14ac:dyDescent="0.3">
      <c r="A303" s="4" t="s">
        <v>1255</v>
      </c>
      <c r="B303" s="5">
        <v>2015</v>
      </c>
      <c r="C303" s="5" t="s">
        <v>30</v>
      </c>
      <c r="D303" s="15" t="s">
        <v>1256</v>
      </c>
      <c r="E303" s="6">
        <v>120102</v>
      </c>
      <c r="F303" s="5" t="s">
        <v>170</v>
      </c>
      <c r="G303" s="5" t="s">
        <v>28</v>
      </c>
      <c r="H303" s="5" t="s">
        <v>17</v>
      </c>
      <c r="I303" s="5" t="s">
        <v>18</v>
      </c>
      <c r="J303" s="7">
        <v>45384</v>
      </c>
      <c r="K303" s="5" t="s">
        <v>17</v>
      </c>
      <c r="L303" s="8">
        <v>44113</v>
      </c>
      <c r="M303" s="19">
        <v>264</v>
      </c>
      <c r="N303" s="19">
        <v>314</v>
      </c>
      <c r="O303" s="24">
        <v>11700</v>
      </c>
      <c r="P303" s="24">
        <v>2100</v>
      </c>
      <c r="Q303" t="s">
        <v>1984</v>
      </c>
      <c r="R303" s="19">
        <f>VLOOKUP(A303,[1]Sheet1!$A$2:$Q$1536,15,FALSE)</f>
        <v>7671.7412109375</v>
      </c>
      <c r="S303" s="27">
        <f t="shared" si="12"/>
        <v>0.72626813884101593</v>
      </c>
      <c r="T303" s="19">
        <f>VLOOKUP(A303,[1]Sheet1!$A$2:$Q$1536,16,FALSE)</f>
        <v>9099.3718839108769</v>
      </c>
      <c r="U303" s="27">
        <f t="shared" si="13"/>
        <v>0.76921483957446224</v>
      </c>
      <c r="V303" s="19">
        <f>VLOOKUP(A303,[1]Sheet1!$A$2:$Q$1536,17,FALSE)</f>
        <v>7752.19091796875</v>
      </c>
      <c r="W303" s="27">
        <f t="shared" si="14"/>
        <v>0.72910883875003329</v>
      </c>
    </row>
    <row r="304" spans="1:23" x14ac:dyDescent="0.3">
      <c r="A304" s="4" t="s">
        <v>769</v>
      </c>
      <c r="B304" s="5">
        <v>2011</v>
      </c>
      <c r="C304" s="5" t="s">
        <v>237</v>
      </c>
      <c r="D304" s="15" t="s">
        <v>764</v>
      </c>
      <c r="E304" s="6">
        <v>111204</v>
      </c>
      <c r="F304" s="5" t="s">
        <v>47</v>
      </c>
      <c r="G304" s="5" t="s">
        <v>16</v>
      </c>
      <c r="H304" s="5" t="s">
        <v>17</v>
      </c>
      <c r="I304" s="5" t="s">
        <v>18</v>
      </c>
      <c r="J304" s="7">
        <v>45482</v>
      </c>
      <c r="K304" s="5" t="s">
        <v>17</v>
      </c>
      <c r="L304" s="8">
        <v>44128</v>
      </c>
      <c r="M304" s="19">
        <v>264</v>
      </c>
      <c r="N304" s="19">
        <v>314</v>
      </c>
      <c r="O304" s="24">
        <v>5900</v>
      </c>
      <c r="P304" s="24">
        <v>2200</v>
      </c>
      <c r="Q304" t="s">
        <v>1984</v>
      </c>
      <c r="R304" s="19">
        <f>VLOOKUP(A304,[1]Sheet1!$A$2:$Q$1536,15,FALSE)</f>
        <v>4616.72900390625</v>
      </c>
      <c r="S304" s="27">
        <f t="shared" si="12"/>
        <v>0.52347213836060924</v>
      </c>
      <c r="T304" s="19">
        <f>VLOOKUP(A304,[1]Sheet1!$A$2:$Q$1536,16,FALSE)</f>
        <v>10025.74774233256</v>
      </c>
      <c r="U304" s="27">
        <f t="shared" si="13"/>
        <v>0.78056499559521586</v>
      </c>
      <c r="V304" s="19">
        <f>VLOOKUP(A304,[1]Sheet1!$A$2:$Q$1536,17,FALSE)</f>
        <v>4428.83935546875</v>
      </c>
      <c r="W304" s="27">
        <f t="shared" si="14"/>
        <v>0.50325585928434491</v>
      </c>
    </row>
    <row r="305" spans="1:23" x14ac:dyDescent="0.3">
      <c r="A305" s="4" t="s">
        <v>657</v>
      </c>
      <c r="B305" s="5">
        <v>2015</v>
      </c>
      <c r="C305" s="5" t="s">
        <v>636</v>
      </c>
      <c r="D305" s="15" t="s">
        <v>641</v>
      </c>
      <c r="E305" s="6">
        <v>103624</v>
      </c>
      <c r="F305" s="5" t="s">
        <v>59</v>
      </c>
      <c r="G305" s="5" t="s">
        <v>16</v>
      </c>
      <c r="H305" s="5" t="s">
        <v>17</v>
      </c>
      <c r="I305" s="5" t="s">
        <v>18</v>
      </c>
      <c r="J305" s="7">
        <v>45512</v>
      </c>
      <c r="K305" s="5" t="s">
        <v>17</v>
      </c>
      <c r="L305" s="8">
        <v>44113</v>
      </c>
      <c r="M305" s="19">
        <v>264</v>
      </c>
      <c r="N305" s="19">
        <v>314</v>
      </c>
      <c r="O305" s="24">
        <v>0</v>
      </c>
      <c r="P305" s="24">
        <v>8600</v>
      </c>
      <c r="Q305" t="s">
        <v>1983</v>
      </c>
      <c r="R305" s="19">
        <f>VLOOKUP(A305,[1]Sheet1!$A$2:$Q$1536,15,FALSE)</f>
        <v>7367.48388671875</v>
      </c>
      <c r="S305" s="27">
        <f t="shared" si="12"/>
        <v>-0.16729132119353363</v>
      </c>
      <c r="T305" s="19">
        <f>VLOOKUP(A305,[1]Sheet1!$A$2:$Q$1536,16,FALSE)</f>
        <v>9644.023934629311</v>
      </c>
      <c r="U305" s="27">
        <f t="shared" si="13"/>
        <v>0.10825604972634696</v>
      </c>
      <c r="V305" s="19">
        <f>VLOOKUP(A305,[1]Sheet1!$A$2:$Q$1536,17,FALSE)</f>
        <v>7454.77392578125</v>
      </c>
      <c r="W305" s="27">
        <f t="shared" si="14"/>
        <v>-0.15362317967257899</v>
      </c>
    </row>
    <row r="306" spans="1:23" x14ac:dyDescent="0.3">
      <c r="A306" s="4" t="s">
        <v>1755</v>
      </c>
      <c r="B306" s="5">
        <v>2021</v>
      </c>
      <c r="C306" s="5" t="s">
        <v>1086</v>
      </c>
      <c r="D306" s="15" t="s">
        <v>1756</v>
      </c>
      <c r="E306" s="6">
        <v>44313</v>
      </c>
      <c r="F306" s="5" t="s">
        <v>246</v>
      </c>
      <c r="G306" s="5" t="s">
        <v>16</v>
      </c>
      <c r="H306" s="5" t="s">
        <v>17</v>
      </c>
      <c r="I306" s="5" t="s">
        <v>18</v>
      </c>
      <c r="J306" s="7">
        <v>45412</v>
      </c>
      <c r="K306" s="5" t="s">
        <v>17</v>
      </c>
      <c r="L306" s="8">
        <v>44483</v>
      </c>
      <c r="M306" s="19">
        <v>264</v>
      </c>
      <c r="N306" s="19">
        <v>314</v>
      </c>
      <c r="O306" s="24">
        <v>19750</v>
      </c>
      <c r="P306" s="24">
        <v>18600</v>
      </c>
      <c r="Q306" t="s">
        <v>1984</v>
      </c>
      <c r="R306" s="19">
        <f>VLOOKUP(A306,[1]Sheet1!$A$2:$Q$1536,15,FALSE)</f>
        <v>14894.5283203125</v>
      </c>
      <c r="S306" s="27">
        <f t="shared" si="12"/>
        <v>-0.24878073343444795</v>
      </c>
      <c r="T306" s="19">
        <f>VLOOKUP(A306,[1]Sheet1!$A$2:$Q$1536,16,FALSE)</f>
        <v>14384.509232801111</v>
      </c>
      <c r="U306" s="27">
        <f t="shared" si="13"/>
        <v>-0.29305767051032039</v>
      </c>
      <c r="V306" s="19">
        <f>VLOOKUP(A306,[1]Sheet1!$A$2:$Q$1536,17,FALSE)</f>
        <v>14976.45703125</v>
      </c>
      <c r="W306" s="27">
        <f t="shared" si="14"/>
        <v>-0.24194927820305465</v>
      </c>
    </row>
    <row r="307" spans="1:23" x14ac:dyDescent="0.3">
      <c r="A307" s="4" t="s">
        <v>55</v>
      </c>
      <c r="B307" s="5">
        <v>2015</v>
      </c>
      <c r="C307" s="5" t="s">
        <v>46</v>
      </c>
      <c r="D307" s="15">
        <v>200</v>
      </c>
      <c r="E307" s="6">
        <v>97687</v>
      </c>
      <c r="F307" s="5" t="s">
        <v>42</v>
      </c>
      <c r="G307" s="5" t="s">
        <v>28</v>
      </c>
      <c r="H307" s="5" t="s">
        <v>17</v>
      </c>
      <c r="I307" s="5" t="s">
        <v>18</v>
      </c>
      <c r="J307" s="7">
        <v>45720</v>
      </c>
      <c r="K307" s="5" t="s">
        <v>17</v>
      </c>
      <c r="L307" s="8">
        <v>43608</v>
      </c>
      <c r="M307" s="19">
        <v>264</v>
      </c>
      <c r="N307" s="19">
        <v>314</v>
      </c>
      <c r="O307" s="24">
        <v>6300</v>
      </c>
      <c r="P307" s="24">
        <v>1600</v>
      </c>
      <c r="Q307" t="s">
        <v>1984</v>
      </c>
      <c r="R307" s="19">
        <f>VLOOKUP(A307,[1]Sheet1!$A$2:$Q$1536,15,FALSE)</f>
        <v>2360.777099609375</v>
      </c>
      <c r="S307" s="27">
        <f t="shared" si="12"/>
        <v>0.32225706515674718</v>
      </c>
      <c r="T307" s="19">
        <f>VLOOKUP(A307,[1]Sheet1!$A$2:$Q$1536,16,FALSE)</f>
        <v>9092.4605551979239</v>
      </c>
      <c r="U307" s="27">
        <f t="shared" si="13"/>
        <v>0.82403003122347107</v>
      </c>
      <c r="V307" s="19">
        <f>VLOOKUP(A307,[1]Sheet1!$A$2:$Q$1536,17,FALSE)</f>
        <v>2226.78125</v>
      </c>
      <c r="W307" s="27">
        <f t="shared" si="14"/>
        <v>0.28147410079009783</v>
      </c>
    </row>
    <row r="308" spans="1:23" x14ac:dyDescent="0.3">
      <c r="A308" s="4" t="s">
        <v>1658</v>
      </c>
      <c r="B308" s="5">
        <v>2017</v>
      </c>
      <c r="C308" s="5" t="s">
        <v>1089</v>
      </c>
      <c r="D308" s="15" t="s">
        <v>1659</v>
      </c>
      <c r="E308" s="6">
        <v>88282</v>
      </c>
      <c r="F308" s="5" t="s">
        <v>199</v>
      </c>
      <c r="G308" s="5" t="s">
        <v>16</v>
      </c>
      <c r="H308" s="5" t="s">
        <v>17</v>
      </c>
      <c r="I308" s="5" t="s">
        <v>18</v>
      </c>
      <c r="J308" s="7">
        <v>45608</v>
      </c>
      <c r="K308" s="5" t="s">
        <v>17</v>
      </c>
      <c r="L308" s="8">
        <v>44310</v>
      </c>
      <c r="M308" s="19">
        <v>235</v>
      </c>
      <c r="N308" s="19">
        <v>285</v>
      </c>
      <c r="O308" s="24">
        <v>9250</v>
      </c>
      <c r="P308" s="24">
        <v>5200</v>
      </c>
      <c r="Q308" t="s">
        <v>1984</v>
      </c>
      <c r="R308" s="19">
        <f>VLOOKUP(A308,[1]Sheet1!$A$2:$Q$1536,15,FALSE)</f>
        <v>8918.873046875</v>
      </c>
      <c r="S308" s="27">
        <f t="shared" si="12"/>
        <v>0.41696669829581451</v>
      </c>
      <c r="T308" s="19">
        <f>VLOOKUP(A308,[1]Sheet1!$A$2:$Q$1536,16,FALSE)</f>
        <v>9733.5403555283101</v>
      </c>
      <c r="U308" s="27">
        <f t="shared" si="13"/>
        <v>0.46576478752188233</v>
      </c>
      <c r="V308" s="19">
        <f>VLOOKUP(A308,[1]Sheet1!$A$2:$Q$1536,17,FALSE)</f>
        <v>8951.8310546875</v>
      </c>
      <c r="W308" s="27">
        <f t="shared" si="14"/>
        <v>0.41911325535158606</v>
      </c>
    </row>
    <row r="309" spans="1:23" x14ac:dyDescent="0.3">
      <c r="A309" s="4" t="s">
        <v>1485</v>
      </c>
      <c r="B309" s="5">
        <v>2021</v>
      </c>
      <c r="C309" s="5" t="s">
        <v>1483</v>
      </c>
      <c r="D309" s="15" t="s">
        <v>1486</v>
      </c>
      <c r="E309" s="6">
        <v>37826</v>
      </c>
      <c r="F309" s="5" t="s">
        <v>101</v>
      </c>
      <c r="G309" s="5" t="s">
        <v>33</v>
      </c>
      <c r="H309" s="5" t="s">
        <v>17</v>
      </c>
      <c r="I309" s="5" t="s">
        <v>18</v>
      </c>
      <c r="J309" s="7">
        <v>45566</v>
      </c>
      <c r="K309" s="5" t="s">
        <v>17</v>
      </c>
      <c r="L309" s="8">
        <v>43950</v>
      </c>
      <c r="M309" s="19">
        <v>264</v>
      </c>
      <c r="N309" s="19">
        <v>314</v>
      </c>
      <c r="O309" s="24">
        <v>26000</v>
      </c>
      <c r="P309" s="24">
        <v>25840</v>
      </c>
      <c r="Q309" t="s">
        <v>1984</v>
      </c>
      <c r="R309" s="19">
        <f>VLOOKUP(A309,[1]Sheet1!$A$2:$Q$1536,15,FALSE)</f>
        <v>22106.580078125</v>
      </c>
      <c r="S309" s="27">
        <f t="shared" si="12"/>
        <v>-0.16888274480634433</v>
      </c>
      <c r="T309" s="19">
        <f>VLOOKUP(A309,[1]Sheet1!$A$2:$Q$1536,16,FALSE)</f>
        <v>15841.90076185675</v>
      </c>
      <c r="U309" s="27">
        <f t="shared" si="13"/>
        <v>-0.63111740115277826</v>
      </c>
      <c r="V309" s="19">
        <f>VLOOKUP(A309,[1]Sheet1!$A$2:$Q$1536,17,FALSE)</f>
        <v>21554.8671875</v>
      </c>
      <c r="W309" s="27">
        <f t="shared" si="14"/>
        <v>-0.19880116983439428</v>
      </c>
    </row>
    <row r="310" spans="1:23" x14ac:dyDescent="0.3">
      <c r="A310" s="4" t="s">
        <v>1316</v>
      </c>
      <c r="B310" s="5">
        <v>2019</v>
      </c>
      <c r="C310" s="5" t="s">
        <v>1089</v>
      </c>
      <c r="D310" s="15" t="s">
        <v>1317</v>
      </c>
      <c r="E310" s="6">
        <v>113004</v>
      </c>
      <c r="F310" s="5" t="s">
        <v>246</v>
      </c>
      <c r="G310" s="5" t="s">
        <v>16</v>
      </c>
      <c r="H310" s="5" t="s">
        <v>17</v>
      </c>
      <c r="I310" s="5" t="s">
        <v>18</v>
      </c>
      <c r="J310" s="7">
        <v>45664</v>
      </c>
      <c r="K310" s="5" t="s">
        <v>17</v>
      </c>
      <c r="L310" s="8">
        <v>44451</v>
      </c>
      <c r="M310" s="19">
        <v>264</v>
      </c>
      <c r="N310" s="19">
        <v>314</v>
      </c>
      <c r="O310" s="24">
        <v>10000</v>
      </c>
      <c r="P310" s="24">
        <v>7600</v>
      </c>
      <c r="Q310" t="s">
        <v>1984</v>
      </c>
      <c r="R310" s="19">
        <f>VLOOKUP(A310,[1]Sheet1!$A$2:$Q$1536,15,FALSE)</f>
        <v>8329.705078125</v>
      </c>
      <c r="S310" s="27">
        <f t="shared" si="12"/>
        <v>8.7602750791418799E-2</v>
      </c>
      <c r="T310" s="19">
        <f>VLOOKUP(A310,[1]Sheet1!$A$2:$Q$1536,16,FALSE)</f>
        <v>9699.1282317763034</v>
      </c>
      <c r="U310" s="27">
        <f t="shared" si="13"/>
        <v>0.21642442306300635</v>
      </c>
      <c r="V310" s="19">
        <f>VLOOKUP(A310,[1]Sheet1!$A$2:$Q$1536,17,FALSE)</f>
        <v>8417.859375</v>
      </c>
      <c r="W310" s="27">
        <f t="shared" si="14"/>
        <v>9.7157642883527032E-2</v>
      </c>
    </row>
    <row r="311" spans="1:23" x14ac:dyDescent="0.3">
      <c r="A311" s="4" t="s">
        <v>166</v>
      </c>
      <c r="B311" s="5">
        <v>2015</v>
      </c>
      <c r="C311" s="5" t="s">
        <v>96</v>
      </c>
      <c r="D311" s="15" t="s">
        <v>154</v>
      </c>
      <c r="E311" s="6">
        <v>116459</v>
      </c>
      <c r="F311" s="5" t="s">
        <v>132</v>
      </c>
      <c r="G311" s="5" t="s">
        <v>25</v>
      </c>
      <c r="H311" s="5" t="s">
        <v>18</v>
      </c>
      <c r="I311" s="5" t="s">
        <v>17</v>
      </c>
      <c r="J311" s="7">
        <v>45384</v>
      </c>
      <c r="K311" s="5" t="s">
        <v>17</v>
      </c>
      <c r="L311" s="8">
        <v>44310</v>
      </c>
      <c r="M311" s="19">
        <v>235</v>
      </c>
      <c r="N311" s="19">
        <v>285</v>
      </c>
      <c r="O311" s="24">
        <v>4500</v>
      </c>
      <c r="P311" s="24">
        <v>3700</v>
      </c>
      <c r="Q311" t="s">
        <v>1984</v>
      </c>
      <c r="R311" s="19">
        <f>VLOOKUP(A311,[1]Sheet1!$A$2:$Q$1536,15,FALSE)</f>
        <v>2896.660400390625</v>
      </c>
      <c r="S311" s="27">
        <f t="shared" si="12"/>
        <v>-0.2773330278899942</v>
      </c>
      <c r="T311" s="19">
        <f>VLOOKUP(A311,[1]Sheet1!$A$2:$Q$1536,16,FALSE)</f>
        <v>9156.3652912480375</v>
      </c>
      <c r="U311" s="27">
        <f t="shared" si="13"/>
        <v>0.59590952497967897</v>
      </c>
      <c r="V311" s="19">
        <f>VLOOKUP(A311,[1]Sheet1!$A$2:$Q$1536,17,FALSE)</f>
        <v>2692.84326171875</v>
      </c>
      <c r="W311" s="27">
        <f t="shared" si="14"/>
        <v>-0.37401238779802437</v>
      </c>
    </row>
    <row r="312" spans="1:23" x14ac:dyDescent="0.3">
      <c r="A312" s="4" t="s">
        <v>1561</v>
      </c>
      <c r="B312" s="5">
        <v>2015</v>
      </c>
      <c r="C312" s="5" t="s">
        <v>636</v>
      </c>
      <c r="D312" s="15" t="s">
        <v>1560</v>
      </c>
      <c r="E312" s="6">
        <v>80934</v>
      </c>
      <c r="F312" s="5" t="s">
        <v>36</v>
      </c>
      <c r="G312" s="5" t="s">
        <v>25</v>
      </c>
      <c r="H312" s="5" t="s">
        <v>18</v>
      </c>
      <c r="I312" s="5" t="s">
        <v>17</v>
      </c>
      <c r="J312" s="7">
        <v>45706</v>
      </c>
      <c r="K312" s="5" t="s">
        <v>17</v>
      </c>
      <c r="L312" s="8">
        <v>43725</v>
      </c>
      <c r="M312" s="19">
        <v>222</v>
      </c>
      <c r="N312" s="19">
        <v>272</v>
      </c>
      <c r="O312" s="24">
        <v>5100</v>
      </c>
      <c r="P312" s="24">
        <v>4200</v>
      </c>
      <c r="Q312" t="s">
        <v>1984</v>
      </c>
      <c r="R312" s="19">
        <f>VLOOKUP(A312,[1]Sheet1!$A$2:$Q$1536,15,FALSE)</f>
        <v>2850.756591796875</v>
      </c>
      <c r="S312" s="27">
        <f t="shared" si="12"/>
        <v>-0.47329309422123494</v>
      </c>
      <c r="T312" s="19">
        <f>VLOOKUP(A312,[1]Sheet1!$A$2:$Q$1536,16,FALSE)</f>
        <v>8657.8172417765145</v>
      </c>
      <c r="U312" s="27">
        <f t="shared" si="13"/>
        <v>0.51488927489324154</v>
      </c>
      <c r="V312" s="19">
        <f>VLOOKUP(A312,[1]Sheet1!$A$2:$Q$1536,17,FALSE)</f>
        <v>2672.38134765625</v>
      </c>
      <c r="W312" s="27">
        <f t="shared" si="14"/>
        <v>-0.57163198421644146</v>
      </c>
    </row>
    <row r="313" spans="1:23" x14ac:dyDescent="0.3">
      <c r="A313" s="4" t="s">
        <v>452</v>
      </c>
      <c r="B313" s="5">
        <v>2015</v>
      </c>
      <c r="C313" s="5" t="s">
        <v>391</v>
      </c>
      <c r="D313" s="15" t="s">
        <v>413</v>
      </c>
      <c r="E313" s="6">
        <v>91450</v>
      </c>
      <c r="F313" s="5" t="s">
        <v>164</v>
      </c>
      <c r="G313" s="5" t="s">
        <v>25</v>
      </c>
      <c r="H313" s="5" t="s">
        <v>18</v>
      </c>
      <c r="I313" s="5" t="s">
        <v>17</v>
      </c>
      <c r="J313" s="7">
        <v>45720</v>
      </c>
      <c r="K313" s="5" t="s">
        <v>17</v>
      </c>
      <c r="L313" s="8">
        <v>43612</v>
      </c>
      <c r="M313" s="19">
        <v>264</v>
      </c>
      <c r="N313" s="19">
        <v>314</v>
      </c>
      <c r="O313" s="24">
        <v>4000</v>
      </c>
      <c r="P313" s="24">
        <v>2300</v>
      </c>
      <c r="Q313" t="s">
        <v>1984</v>
      </c>
      <c r="R313" s="19">
        <f>VLOOKUP(A313,[1]Sheet1!$A$2:$Q$1536,15,FALSE)</f>
        <v>7542.73828125</v>
      </c>
      <c r="S313" s="27">
        <f t="shared" si="12"/>
        <v>0.69507095245271611</v>
      </c>
      <c r="T313" s="19">
        <f>VLOOKUP(A313,[1]Sheet1!$A$2:$Q$1536,16,FALSE)</f>
        <v>9542.7479080950707</v>
      </c>
      <c r="U313" s="27">
        <f t="shared" si="13"/>
        <v>0.75897927702261525</v>
      </c>
      <c r="V313" s="19">
        <f>VLOOKUP(A313,[1]Sheet1!$A$2:$Q$1536,17,FALSE)</f>
        <v>7711.3330078125</v>
      </c>
      <c r="W313" s="27">
        <f t="shared" si="14"/>
        <v>0.70173768949287685</v>
      </c>
    </row>
    <row r="314" spans="1:23" x14ac:dyDescent="0.3">
      <c r="A314" s="4" t="s">
        <v>121</v>
      </c>
      <c r="B314" s="5">
        <v>2014</v>
      </c>
      <c r="C314" s="5" t="s">
        <v>96</v>
      </c>
      <c r="D314" s="15" t="s">
        <v>117</v>
      </c>
      <c r="E314" s="6">
        <v>95051</v>
      </c>
      <c r="F314" s="5" t="s">
        <v>64</v>
      </c>
      <c r="G314" s="5" t="s">
        <v>25</v>
      </c>
      <c r="H314" s="5" t="s">
        <v>18</v>
      </c>
      <c r="I314" s="5" t="s">
        <v>17</v>
      </c>
      <c r="J314" s="7">
        <v>45701</v>
      </c>
      <c r="K314" s="5" t="s">
        <v>17</v>
      </c>
      <c r="L314" s="8">
        <v>43612</v>
      </c>
      <c r="M314" s="19">
        <v>264</v>
      </c>
      <c r="N314" s="19">
        <v>314</v>
      </c>
      <c r="O314" s="24">
        <v>0</v>
      </c>
      <c r="P314" s="24">
        <v>6400</v>
      </c>
      <c r="Q314" t="s">
        <v>1983</v>
      </c>
      <c r="R314" s="19">
        <f>VLOOKUP(A314,[1]Sheet1!$A$2:$Q$1536,15,FALSE)</f>
        <v>6359.068359375</v>
      </c>
      <c r="S314" s="27">
        <f t="shared" si="12"/>
        <v>-6.4367354322674647E-3</v>
      </c>
      <c r="T314" s="19">
        <f>VLOOKUP(A314,[1]Sheet1!$A$2:$Q$1536,16,FALSE)</f>
        <v>9392.3339397294312</v>
      </c>
      <c r="U314" s="27">
        <f t="shared" si="13"/>
        <v>0.31859322282738517</v>
      </c>
      <c r="V314" s="19">
        <f>VLOOKUP(A314,[1]Sheet1!$A$2:$Q$1536,17,FALSE)</f>
        <v>6283.87451171875</v>
      </c>
      <c r="W314" s="27">
        <f t="shared" si="14"/>
        <v>-1.8479918410956243E-2</v>
      </c>
    </row>
    <row r="315" spans="1:23" x14ac:dyDescent="0.3">
      <c r="A315" s="4" t="s">
        <v>591</v>
      </c>
      <c r="B315" s="5">
        <v>2014</v>
      </c>
      <c r="C315" s="5" t="s">
        <v>391</v>
      </c>
      <c r="D315" s="15" t="s">
        <v>582</v>
      </c>
      <c r="E315" s="6">
        <v>92564</v>
      </c>
      <c r="F315" s="5" t="s">
        <v>592</v>
      </c>
      <c r="G315" s="5" t="s">
        <v>16</v>
      </c>
      <c r="H315" s="5" t="s">
        <v>17</v>
      </c>
      <c r="I315" s="5" t="s">
        <v>18</v>
      </c>
      <c r="J315" s="7">
        <v>45482</v>
      </c>
      <c r="K315" s="5" t="s">
        <v>17</v>
      </c>
      <c r="L315" s="8">
        <v>44203</v>
      </c>
      <c r="M315" s="19">
        <v>235</v>
      </c>
      <c r="N315" s="19">
        <v>285</v>
      </c>
      <c r="O315" s="24">
        <v>8700</v>
      </c>
      <c r="P315" s="24">
        <v>5700</v>
      </c>
      <c r="Q315" t="s">
        <v>1984</v>
      </c>
      <c r="R315" s="19">
        <f>VLOOKUP(A315,[1]Sheet1!$A$2:$Q$1536,15,FALSE)</f>
        <v>7881.97998046875</v>
      </c>
      <c r="S315" s="27">
        <f t="shared" si="12"/>
        <v>0.27683145426347366</v>
      </c>
      <c r="T315" s="19">
        <f>VLOOKUP(A315,[1]Sheet1!$A$2:$Q$1536,16,FALSE)</f>
        <v>10297.47378764835</v>
      </c>
      <c r="U315" s="27">
        <f t="shared" si="13"/>
        <v>0.44646618019683082</v>
      </c>
      <c r="V315" s="19">
        <f>VLOOKUP(A315,[1]Sheet1!$A$2:$Q$1536,17,FALSE)</f>
        <v>7827.77783203125</v>
      </c>
      <c r="W315" s="27">
        <f t="shared" si="14"/>
        <v>0.27182399369133697</v>
      </c>
    </row>
    <row r="316" spans="1:23" x14ac:dyDescent="0.3">
      <c r="A316" s="4" t="s">
        <v>1064</v>
      </c>
      <c r="B316" s="5">
        <v>2015</v>
      </c>
      <c r="C316" s="5" t="s">
        <v>391</v>
      </c>
      <c r="D316" s="15" t="s">
        <v>1060</v>
      </c>
      <c r="E316" s="6">
        <v>137741</v>
      </c>
      <c r="F316" s="5" t="s">
        <v>38</v>
      </c>
      <c r="G316" s="5" t="s">
        <v>25</v>
      </c>
      <c r="H316" s="5" t="s">
        <v>18</v>
      </c>
      <c r="I316" s="5" t="s">
        <v>17</v>
      </c>
      <c r="J316" s="7">
        <v>45456</v>
      </c>
      <c r="K316" s="5" t="s">
        <v>17</v>
      </c>
      <c r="L316" s="8">
        <v>44128</v>
      </c>
      <c r="M316" s="19">
        <v>264</v>
      </c>
      <c r="N316" s="19">
        <v>314</v>
      </c>
      <c r="O316" s="24">
        <v>0</v>
      </c>
      <c r="P316" s="24">
        <v>2400</v>
      </c>
      <c r="Q316" t="s">
        <v>1983</v>
      </c>
      <c r="R316" s="19">
        <f>VLOOKUP(A316,[1]Sheet1!$A$2:$Q$1536,15,FALSE)</f>
        <v>2222.11572265625</v>
      </c>
      <c r="S316" s="27">
        <f t="shared" si="12"/>
        <v>-8.0051761269711239E-2</v>
      </c>
      <c r="T316" s="19">
        <f>VLOOKUP(A316,[1]Sheet1!$A$2:$Q$1536,16,FALSE)</f>
        <v>9316.8441877846126</v>
      </c>
      <c r="U316" s="27">
        <f t="shared" si="13"/>
        <v>0.74240204605475113</v>
      </c>
      <c r="V316" s="19">
        <f>VLOOKUP(A316,[1]Sheet1!$A$2:$Q$1536,17,FALSE)</f>
        <v>2142.682861328125</v>
      </c>
      <c r="W316" s="27">
        <f t="shared" si="14"/>
        <v>-0.12009109855500455</v>
      </c>
    </row>
    <row r="317" spans="1:23" x14ac:dyDescent="0.3">
      <c r="A317" s="4" t="s">
        <v>192</v>
      </c>
      <c r="B317" s="5">
        <v>2016</v>
      </c>
      <c r="C317" s="5" t="s">
        <v>96</v>
      </c>
      <c r="D317" s="15" t="s">
        <v>190</v>
      </c>
      <c r="E317" s="6">
        <v>93342</v>
      </c>
      <c r="F317" s="5" t="s">
        <v>77</v>
      </c>
      <c r="G317" s="5" t="s">
        <v>28</v>
      </c>
      <c r="H317" s="5" t="s">
        <v>17</v>
      </c>
      <c r="I317" s="5" t="s">
        <v>18</v>
      </c>
      <c r="J317" s="7">
        <v>45708</v>
      </c>
      <c r="K317" s="5" t="s">
        <v>17</v>
      </c>
      <c r="L317" s="8">
        <v>44444</v>
      </c>
      <c r="M317" s="19">
        <v>264</v>
      </c>
      <c r="N317" s="19">
        <v>314</v>
      </c>
      <c r="O317" s="24">
        <v>0</v>
      </c>
      <c r="P317" s="24">
        <v>9400</v>
      </c>
      <c r="Q317" t="s">
        <v>1983</v>
      </c>
      <c r="R317" s="19">
        <f>VLOOKUP(A317,[1]Sheet1!$A$2:$Q$1536,15,FALSE)</f>
        <v>8427.7275390625</v>
      </c>
      <c r="S317" s="27">
        <f t="shared" si="12"/>
        <v>-0.11536591049378603</v>
      </c>
      <c r="T317" s="19">
        <f>VLOOKUP(A317,[1]Sheet1!$A$2:$Q$1536,16,FALSE)</f>
        <v>9435.8445085197345</v>
      </c>
      <c r="U317" s="27">
        <f t="shared" si="13"/>
        <v>3.798759982465808E-3</v>
      </c>
      <c r="V317" s="19">
        <f>VLOOKUP(A317,[1]Sheet1!$A$2:$Q$1536,17,FALSE)</f>
        <v>8476.7822265625</v>
      </c>
      <c r="W317" s="27">
        <f t="shared" si="14"/>
        <v>-0.10891134734410686</v>
      </c>
    </row>
    <row r="318" spans="1:23" x14ac:dyDescent="0.3">
      <c r="A318" s="4" t="s">
        <v>1521</v>
      </c>
      <c r="B318" s="5">
        <v>2017</v>
      </c>
      <c r="C318" s="5" t="s">
        <v>1139</v>
      </c>
      <c r="D318" s="15" t="s">
        <v>1140</v>
      </c>
      <c r="E318" s="6">
        <v>103861</v>
      </c>
      <c r="F318" s="5" t="s">
        <v>57</v>
      </c>
      <c r="G318" s="5" t="s">
        <v>28</v>
      </c>
      <c r="H318" s="5" t="s">
        <v>17</v>
      </c>
      <c r="I318" s="5" t="s">
        <v>18</v>
      </c>
      <c r="J318" s="7">
        <v>45678</v>
      </c>
      <c r="K318" s="5" t="s">
        <v>17</v>
      </c>
      <c r="L318" s="8">
        <v>44067</v>
      </c>
      <c r="M318" s="19">
        <v>235</v>
      </c>
      <c r="N318" s="19">
        <v>285</v>
      </c>
      <c r="O318" s="24">
        <v>6400</v>
      </c>
      <c r="P318" s="24">
        <v>2800</v>
      </c>
      <c r="Q318" t="s">
        <v>1984</v>
      </c>
      <c r="R318" s="19">
        <f>VLOOKUP(A318,[1]Sheet1!$A$2:$Q$1536,15,FALSE)</f>
        <v>3498.422607421875</v>
      </c>
      <c r="S318" s="27">
        <f t="shared" si="12"/>
        <v>0.1996392905591729</v>
      </c>
      <c r="T318" s="19">
        <f>VLOOKUP(A318,[1]Sheet1!$A$2:$Q$1536,16,FALSE)</f>
        <v>9150.4651278756373</v>
      </c>
      <c r="U318" s="27">
        <f t="shared" si="13"/>
        <v>0.69400462589926892</v>
      </c>
      <c r="V318" s="19">
        <f>VLOOKUP(A318,[1]Sheet1!$A$2:$Q$1536,17,FALSE)</f>
        <v>3447.5703125</v>
      </c>
      <c r="W318" s="27">
        <f t="shared" si="14"/>
        <v>0.18783382318616598</v>
      </c>
    </row>
    <row r="319" spans="1:23" x14ac:dyDescent="0.3">
      <c r="A319" s="4" t="s">
        <v>1615</v>
      </c>
      <c r="B319" s="5">
        <v>2017</v>
      </c>
      <c r="C319" s="5" t="s">
        <v>519</v>
      </c>
      <c r="D319" s="15" t="s">
        <v>1607</v>
      </c>
      <c r="E319" s="6">
        <v>52558</v>
      </c>
      <c r="F319" s="5" t="s">
        <v>59</v>
      </c>
      <c r="G319" s="5" t="s">
        <v>16</v>
      </c>
      <c r="H319" s="5" t="s">
        <v>17</v>
      </c>
      <c r="I319" s="5" t="s">
        <v>18</v>
      </c>
      <c r="J319" s="7">
        <v>45300</v>
      </c>
      <c r="K319" s="5" t="s">
        <v>17</v>
      </c>
      <c r="L319" s="8">
        <v>44307</v>
      </c>
      <c r="M319" s="19">
        <v>235</v>
      </c>
      <c r="N319" s="19">
        <v>285</v>
      </c>
      <c r="O319" s="24">
        <v>11900</v>
      </c>
      <c r="P319" s="24">
        <v>10500</v>
      </c>
      <c r="Q319" t="s">
        <v>1984</v>
      </c>
      <c r="R319" s="19">
        <f>VLOOKUP(A319,[1]Sheet1!$A$2:$Q$1536,15,FALSE)</f>
        <v>13254.552734375</v>
      </c>
      <c r="S319" s="27">
        <f t="shared" si="12"/>
        <v>0.20781936513264679</v>
      </c>
      <c r="T319" s="19">
        <f>VLOOKUP(A319,[1]Sheet1!$A$2:$Q$1536,16,FALSE)</f>
        <v>11969.784107299911</v>
      </c>
      <c r="U319" s="27">
        <f t="shared" si="13"/>
        <v>0.12279119607542011</v>
      </c>
      <c r="V319" s="19">
        <f>VLOOKUP(A319,[1]Sheet1!$A$2:$Q$1536,17,FALSE)</f>
        <v>13268.39453125</v>
      </c>
      <c r="W319" s="27">
        <f t="shared" si="14"/>
        <v>0.2086457803715302</v>
      </c>
    </row>
    <row r="320" spans="1:23" x14ac:dyDescent="0.3">
      <c r="A320" s="4" t="s">
        <v>1033</v>
      </c>
      <c r="B320" s="5">
        <v>2017</v>
      </c>
      <c r="C320" s="5" t="s">
        <v>391</v>
      </c>
      <c r="D320" s="15" t="s">
        <v>413</v>
      </c>
      <c r="E320" s="6">
        <v>115642</v>
      </c>
      <c r="F320" s="5" t="s">
        <v>87</v>
      </c>
      <c r="G320" s="5" t="s">
        <v>33</v>
      </c>
      <c r="H320" s="5" t="s">
        <v>17</v>
      </c>
      <c r="I320" s="5" t="s">
        <v>18</v>
      </c>
      <c r="J320" s="7">
        <v>45463</v>
      </c>
      <c r="K320" s="5" t="s">
        <v>17</v>
      </c>
      <c r="L320" s="8">
        <v>44430</v>
      </c>
      <c r="M320" s="19">
        <v>264</v>
      </c>
      <c r="N320" s="19">
        <v>314</v>
      </c>
      <c r="O320" s="24">
        <v>4000</v>
      </c>
      <c r="P320" s="24">
        <v>2800</v>
      </c>
      <c r="Q320" t="s">
        <v>1984</v>
      </c>
      <c r="R320" s="19">
        <f>VLOOKUP(A320,[1]Sheet1!$A$2:$Q$1536,15,FALSE)</f>
        <v>3889.6640625</v>
      </c>
      <c r="S320" s="27">
        <f t="shared" si="12"/>
        <v>0.28014348925537835</v>
      </c>
      <c r="T320" s="19">
        <f>VLOOKUP(A320,[1]Sheet1!$A$2:$Q$1536,16,FALSE)</f>
        <v>9219.3993841882602</v>
      </c>
      <c r="U320" s="27">
        <f t="shared" si="13"/>
        <v>0.69629258009994199</v>
      </c>
      <c r="V320" s="19">
        <f>VLOOKUP(A320,[1]Sheet1!$A$2:$Q$1536,17,FALSE)</f>
        <v>3803.46435546875</v>
      </c>
      <c r="W320" s="27">
        <f t="shared" si="14"/>
        <v>0.26382904154890657</v>
      </c>
    </row>
    <row r="321" spans="1:23" x14ac:dyDescent="0.3">
      <c r="A321" s="4" t="s">
        <v>1103</v>
      </c>
      <c r="B321" s="5">
        <v>2020</v>
      </c>
      <c r="C321" s="5" t="s">
        <v>1086</v>
      </c>
      <c r="D321" s="15" t="s">
        <v>1093</v>
      </c>
      <c r="E321" s="6">
        <v>20432</v>
      </c>
      <c r="F321" s="5" t="s">
        <v>38</v>
      </c>
      <c r="G321" s="5" t="s">
        <v>22</v>
      </c>
      <c r="H321" s="5" t="s">
        <v>18</v>
      </c>
      <c r="I321" s="5" t="s">
        <v>17</v>
      </c>
      <c r="J321" s="7">
        <v>45482</v>
      </c>
      <c r="K321" s="5" t="s">
        <v>17</v>
      </c>
      <c r="L321" s="8">
        <v>44827</v>
      </c>
      <c r="M321" s="19">
        <v>128</v>
      </c>
      <c r="N321" s="19">
        <v>158</v>
      </c>
      <c r="O321" s="24">
        <v>0</v>
      </c>
      <c r="P321" s="24">
        <v>15500</v>
      </c>
      <c r="Q321" t="s">
        <v>1983</v>
      </c>
      <c r="R321" s="19">
        <f>VLOOKUP(A321,[1]Sheet1!$A$2:$Q$1536,15,FALSE)</f>
        <v>4456.125</v>
      </c>
      <c r="S321" s="27">
        <f t="shared" si="12"/>
        <v>-2.4783584392269069</v>
      </c>
      <c r="T321" s="19">
        <f>VLOOKUP(A321,[1]Sheet1!$A$2:$Q$1536,16,FALSE)</f>
        <v>12130.580955014289</v>
      </c>
      <c r="U321" s="27">
        <f t="shared" si="13"/>
        <v>-0.2777623806708886</v>
      </c>
      <c r="V321" s="19">
        <f>VLOOKUP(A321,[1]Sheet1!$A$2:$Q$1536,17,FALSE)</f>
        <v>17729.408203125</v>
      </c>
      <c r="W321" s="27">
        <f t="shared" si="14"/>
        <v>0.12574634063262433</v>
      </c>
    </row>
    <row r="322" spans="1:23" x14ac:dyDescent="0.3">
      <c r="A322" s="4" t="s">
        <v>487</v>
      </c>
      <c r="B322" s="5">
        <v>2016</v>
      </c>
      <c r="C322" s="5" t="s">
        <v>391</v>
      </c>
      <c r="D322" s="15" t="s">
        <v>394</v>
      </c>
      <c r="E322" s="6">
        <v>136261</v>
      </c>
      <c r="F322" s="5" t="s">
        <v>32</v>
      </c>
      <c r="G322" s="5" t="s">
        <v>25</v>
      </c>
      <c r="H322" s="5" t="s">
        <v>18</v>
      </c>
      <c r="I322" s="5" t="s">
        <v>17</v>
      </c>
      <c r="J322" s="7">
        <v>45398</v>
      </c>
      <c r="K322" s="5" t="s">
        <v>17</v>
      </c>
      <c r="L322" s="8">
        <v>44113</v>
      </c>
      <c r="M322" s="19">
        <v>264</v>
      </c>
      <c r="N322" s="19">
        <v>314</v>
      </c>
      <c r="O322" s="24">
        <v>0</v>
      </c>
      <c r="P322" s="24">
        <v>10300</v>
      </c>
      <c r="Q322" t="s">
        <v>1983</v>
      </c>
      <c r="R322" s="19">
        <f>VLOOKUP(A322,[1]Sheet1!$A$2:$Q$1536,15,FALSE)</f>
        <v>1351.319213867188</v>
      </c>
      <c r="S322" s="27">
        <f t="shared" si="12"/>
        <v>-6.6221812687200625</v>
      </c>
      <c r="T322" s="19">
        <f>VLOOKUP(A322,[1]Sheet1!$A$2:$Q$1536,16,FALSE)</f>
        <v>9241.0288692089398</v>
      </c>
      <c r="U322" s="27">
        <f t="shared" si="13"/>
        <v>-0.11459450519839263</v>
      </c>
      <c r="V322" s="19">
        <f>VLOOKUP(A322,[1]Sheet1!$A$2:$Q$1536,17,FALSE)</f>
        <v>1405.991088867188</v>
      </c>
      <c r="W322" s="27">
        <f t="shared" si="14"/>
        <v>-6.3257932298125352</v>
      </c>
    </row>
    <row r="323" spans="1:23" x14ac:dyDescent="0.3">
      <c r="A323" s="4" t="s">
        <v>1618</v>
      </c>
      <c r="B323" s="5">
        <v>2015</v>
      </c>
      <c r="C323" s="5" t="s">
        <v>519</v>
      </c>
      <c r="D323" s="15" t="s">
        <v>1607</v>
      </c>
      <c r="E323" s="6">
        <v>113643</v>
      </c>
      <c r="F323" s="5" t="s">
        <v>144</v>
      </c>
      <c r="G323" s="5" t="s">
        <v>22</v>
      </c>
      <c r="H323" s="5" t="s">
        <v>18</v>
      </c>
      <c r="I323" s="5" t="s">
        <v>17</v>
      </c>
      <c r="J323" s="7">
        <v>45734</v>
      </c>
      <c r="K323" s="5" t="s">
        <v>17</v>
      </c>
      <c r="L323" s="8">
        <v>43612</v>
      </c>
      <c r="M323" s="19">
        <v>264</v>
      </c>
      <c r="N323" s="19">
        <v>314</v>
      </c>
      <c r="O323" s="24">
        <v>0</v>
      </c>
      <c r="P323" s="24">
        <v>4000</v>
      </c>
      <c r="Q323" t="s">
        <v>1983</v>
      </c>
      <c r="R323" s="19">
        <f>VLOOKUP(A323,[1]Sheet1!$A$2:$Q$1536,15,FALSE)</f>
        <v>1460.77392578125</v>
      </c>
      <c r="S323" s="27">
        <f t="shared" ref="S323:S386" si="15">(R323-$P323)/R323</f>
        <v>-1.7382745060025102</v>
      </c>
      <c r="T323" s="19">
        <f>VLOOKUP(A323,[1]Sheet1!$A$2:$Q$1536,16,FALSE)</f>
        <v>9053.5661723683843</v>
      </c>
      <c r="U323" s="27">
        <f t="shared" ref="U323:U386" si="16">(T323-$P323)/T323</f>
        <v>0.55818514783621309</v>
      </c>
      <c r="V323" s="19">
        <f>VLOOKUP(A323,[1]Sheet1!$A$2:$Q$1536,17,FALSE)</f>
        <v>1395.367431640625</v>
      </c>
      <c r="W323" s="27">
        <f t="shared" ref="W323:W386" si="17">(V323-$P323)/V323</f>
        <v>-1.8666284659496013</v>
      </c>
    </row>
    <row r="324" spans="1:23" x14ac:dyDescent="0.3">
      <c r="A324" s="4" t="s">
        <v>1102</v>
      </c>
      <c r="B324" s="5">
        <v>2019</v>
      </c>
      <c r="C324" s="5" t="s">
        <v>1086</v>
      </c>
      <c r="D324" s="15" t="s">
        <v>1093</v>
      </c>
      <c r="E324" s="6">
        <v>60262</v>
      </c>
      <c r="F324" s="5" t="s">
        <v>77</v>
      </c>
      <c r="G324" s="5" t="s">
        <v>25</v>
      </c>
      <c r="H324" s="5" t="s">
        <v>18</v>
      </c>
      <c r="I324" s="5" t="s">
        <v>17</v>
      </c>
      <c r="J324" s="7">
        <v>45678</v>
      </c>
      <c r="K324" s="5" t="s">
        <v>17</v>
      </c>
      <c r="L324" s="8">
        <v>44473</v>
      </c>
      <c r="M324" s="19">
        <v>307</v>
      </c>
      <c r="N324" s="19">
        <v>357</v>
      </c>
      <c r="O324" s="24">
        <v>7700</v>
      </c>
      <c r="P324" s="24">
        <v>4700</v>
      </c>
      <c r="Q324" t="s">
        <v>1984</v>
      </c>
      <c r="R324" s="19">
        <f>VLOOKUP(A324,[1]Sheet1!$A$2:$Q$1536,15,FALSE)</f>
        <v>8665.7939453125</v>
      </c>
      <c r="S324" s="27">
        <f t="shared" si="15"/>
        <v>0.45763769255760767</v>
      </c>
      <c r="T324" s="19">
        <f>VLOOKUP(A324,[1]Sheet1!$A$2:$Q$1536,16,FALSE)</f>
        <v>10758.42295575575</v>
      </c>
      <c r="U324" s="27">
        <f t="shared" si="16"/>
        <v>0.56313299641324266</v>
      </c>
      <c r="V324" s="19">
        <f>VLOOKUP(A324,[1]Sheet1!$A$2:$Q$1536,17,FALSE)</f>
        <v>8491.783203125</v>
      </c>
      <c r="W324" s="27">
        <f t="shared" si="17"/>
        <v>0.44652378804602705</v>
      </c>
    </row>
    <row r="325" spans="1:23" x14ac:dyDescent="0.3">
      <c r="A325" s="4" t="s">
        <v>490</v>
      </c>
      <c r="B325" s="5">
        <v>2017</v>
      </c>
      <c r="C325" s="5" t="s">
        <v>391</v>
      </c>
      <c r="D325" s="15" t="s">
        <v>394</v>
      </c>
      <c r="E325" s="6">
        <v>76673</v>
      </c>
      <c r="F325" s="5" t="s">
        <v>27</v>
      </c>
      <c r="G325" s="5" t="s">
        <v>28</v>
      </c>
      <c r="H325" s="5" t="s">
        <v>17</v>
      </c>
      <c r="I325" s="5" t="s">
        <v>18</v>
      </c>
      <c r="J325" s="7">
        <v>45337</v>
      </c>
      <c r="K325" s="5" t="s">
        <v>17</v>
      </c>
      <c r="L325" s="8">
        <v>43605</v>
      </c>
      <c r="M325" s="19">
        <v>264</v>
      </c>
      <c r="N325" s="19">
        <v>314</v>
      </c>
      <c r="O325" s="24">
        <v>7600</v>
      </c>
      <c r="P325" s="24">
        <v>4700</v>
      </c>
      <c r="Q325" t="s">
        <v>1984</v>
      </c>
      <c r="R325" s="19">
        <f>VLOOKUP(A325,[1]Sheet1!$A$2:$Q$1536,15,FALSE)</f>
        <v>5019.12255859375</v>
      </c>
      <c r="S325" s="27">
        <f t="shared" si="15"/>
        <v>6.3581344123057493E-2</v>
      </c>
      <c r="T325" s="19">
        <f>VLOOKUP(A325,[1]Sheet1!$A$2:$Q$1536,16,FALSE)</f>
        <v>9466.6531606083936</v>
      </c>
      <c r="U325" s="27">
        <f t="shared" si="16"/>
        <v>0.50352041843498307</v>
      </c>
      <c r="V325" s="19">
        <f>VLOOKUP(A325,[1]Sheet1!$A$2:$Q$1536,17,FALSE)</f>
        <v>5009.4833984375</v>
      </c>
      <c r="W325" s="27">
        <f t="shared" si="17"/>
        <v>6.1779503757619092E-2</v>
      </c>
    </row>
    <row r="326" spans="1:23" x14ac:dyDescent="0.3">
      <c r="A326" s="4" t="s">
        <v>891</v>
      </c>
      <c r="B326" s="5">
        <v>2016</v>
      </c>
      <c r="C326" s="5" t="s">
        <v>391</v>
      </c>
      <c r="D326" s="15" t="s">
        <v>590</v>
      </c>
      <c r="E326" s="6">
        <v>106909</v>
      </c>
      <c r="F326" s="5" t="s">
        <v>199</v>
      </c>
      <c r="G326" s="5" t="s">
        <v>16</v>
      </c>
      <c r="H326" s="5" t="s">
        <v>17</v>
      </c>
      <c r="I326" s="5" t="s">
        <v>18</v>
      </c>
      <c r="J326" s="7">
        <v>45463</v>
      </c>
      <c r="K326" s="5" t="s">
        <v>17</v>
      </c>
      <c r="L326" s="8">
        <v>43608</v>
      </c>
      <c r="M326" s="19">
        <v>264</v>
      </c>
      <c r="N326" s="19">
        <v>314</v>
      </c>
      <c r="O326" s="24">
        <v>0</v>
      </c>
      <c r="P326" s="24">
        <v>7800</v>
      </c>
      <c r="Q326" t="s">
        <v>1983</v>
      </c>
      <c r="R326" s="19">
        <f>VLOOKUP(A326,[1]Sheet1!$A$2:$Q$1536,15,FALSE)</f>
        <v>8671.310546875</v>
      </c>
      <c r="S326" s="27">
        <f t="shared" si="15"/>
        <v>0.10048199083228615</v>
      </c>
      <c r="T326" s="19">
        <f>VLOOKUP(A326,[1]Sheet1!$A$2:$Q$1536,16,FALSE)</f>
        <v>10249.45612625696</v>
      </c>
      <c r="U326" s="27">
        <f t="shared" si="16"/>
        <v>0.23898401008634662</v>
      </c>
      <c r="V326" s="19">
        <f>VLOOKUP(A326,[1]Sheet1!$A$2:$Q$1536,17,FALSE)</f>
        <v>8548.2880859375</v>
      </c>
      <c r="W326" s="27">
        <f t="shared" si="17"/>
        <v>8.7536601295466809E-2</v>
      </c>
    </row>
    <row r="327" spans="1:23" x14ac:dyDescent="0.3">
      <c r="A327" s="4" t="s">
        <v>994</v>
      </c>
      <c r="B327" s="5">
        <v>2015</v>
      </c>
      <c r="C327" s="5" t="s">
        <v>237</v>
      </c>
      <c r="D327" s="15" t="s">
        <v>241</v>
      </c>
      <c r="E327" s="6">
        <v>185349</v>
      </c>
      <c r="F327" s="5" t="s">
        <v>27</v>
      </c>
      <c r="G327" s="5" t="s">
        <v>25</v>
      </c>
      <c r="H327" s="5" t="s">
        <v>18</v>
      </c>
      <c r="I327" s="5" t="s">
        <v>17</v>
      </c>
      <c r="J327" s="7">
        <v>45510</v>
      </c>
      <c r="K327" s="5" t="s">
        <v>17</v>
      </c>
      <c r="L327" s="8">
        <v>44451</v>
      </c>
      <c r="M327" s="19">
        <v>264</v>
      </c>
      <c r="N327" s="19">
        <v>314</v>
      </c>
      <c r="O327" s="24">
        <v>2600</v>
      </c>
      <c r="P327" s="24">
        <v>1900</v>
      </c>
      <c r="Q327" t="s">
        <v>1984</v>
      </c>
      <c r="R327" s="19">
        <f>VLOOKUP(A327,[1]Sheet1!$A$2:$Q$1536,15,FALSE)</f>
        <v>2348.334716796875</v>
      </c>
      <c r="S327" s="27">
        <f t="shared" si="15"/>
        <v>0.19091601959042825</v>
      </c>
      <c r="T327" s="19">
        <f>VLOOKUP(A327,[1]Sheet1!$A$2:$Q$1536,16,FALSE)</f>
        <v>9066.2040941438045</v>
      </c>
      <c r="U327" s="27">
        <f t="shared" si="16"/>
        <v>0.79043048443755193</v>
      </c>
      <c r="V327" s="19">
        <f>VLOOKUP(A327,[1]Sheet1!$A$2:$Q$1536,17,FALSE)</f>
        <v>2226.78125</v>
      </c>
      <c r="W327" s="27">
        <f t="shared" si="17"/>
        <v>0.14675049468824117</v>
      </c>
    </row>
    <row r="328" spans="1:23" x14ac:dyDescent="0.3">
      <c r="A328" s="4" t="s">
        <v>395</v>
      </c>
      <c r="B328" s="5">
        <v>2015</v>
      </c>
      <c r="C328" s="5" t="s">
        <v>391</v>
      </c>
      <c r="D328" s="15" t="s">
        <v>394</v>
      </c>
      <c r="E328" s="6">
        <v>107810</v>
      </c>
      <c r="F328" s="5" t="s">
        <v>164</v>
      </c>
      <c r="G328" s="5" t="s">
        <v>28</v>
      </c>
      <c r="H328" s="5" t="s">
        <v>17</v>
      </c>
      <c r="I328" s="5" t="s">
        <v>18</v>
      </c>
      <c r="J328" s="7">
        <v>45449</v>
      </c>
      <c r="K328" s="5" t="s">
        <v>17</v>
      </c>
      <c r="L328" s="8">
        <v>44135</v>
      </c>
      <c r="M328" s="19">
        <v>235</v>
      </c>
      <c r="N328" s="19">
        <v>285</v>
      </c>
      <c r="O328" s="24">
        <v>6400</v>
      </c>
      <c r="P328" s="24">
        <v>4200</v>
      </c>
      <c r="Q328" t="s">
        <v>1984</v>
      </c>
      <c r="R328" s="19">
        <f>VLOOKUP(A328,[1]Sheet1!$A$2:$Q$1536,15,FALSE)</f>
        <v>5850.8427734375</v>
      </c>
      <c r="S328" s="27">
        <f t="shared" si="15"/>
        <v>0.28215469759882017</v>
      </c>
      <c r="T328" s="19">
        <f>VLOOKUP(A328,[1]Sheet1!$A$2:$Q$1536,16,FALSE)</f>
        <v>9350.9405022500796</v>
      </c>
      <c r="U328" s="27">
        <f t="shared" si="16"/>
        <v>0.55084731862111935</v>
      </c>
      <c r="V328" s="19">
        <f>VLOOKUP(A328,[1]Sheet1!$A$2:$Q$1536,17,FALSE)</f>
        <v>5910.26318359375</v>
      </c>
      <c r="W328" s="27">
        <f t="shared" si="17"/>
        <v>0.28937174715692104</v>
      </c>
    </row>
    <row r="329" spans="1:23" x14ac:dyDescent="0.3">
      <c r="A329" s="4" t="s">
        <v>1734</v>
      </c>
      <c r="B329" s="5">
        <v>2013</v>
      </c>
      <c r="C329" s="5" t="s">
        <v>1086</v>
      </c>
      <c r="D329" s="15" t="s">
        <v>1087</v>
      </c>
      <c r="E329" s="6">
        <v>86224</v>
      </c>
      <c r="F329" s="5" t="s">
        <v>164</v>
      </c>
      <c r="G329" s="5" t="s">
        <v>25</v>
      </c>
      <c r="H329" s="5" t="s">
        <v>18</v>
      </c>
      <c r="I329" s="5" t="s">
        <v>17</v>
      </c>
      <c r="J329" s="7">
        <v>45566</v>
      </c>
      <c r="K329" s="5" t="s">
        <v>17</v>
      </c>
      <c r="L329" s="8">
        <v>43950</v>
      </c>
      <c r="M329" s="19">
        <v>264</v>
      </c>
      <c r="N329" s="19">
        <v>314</v>
      </c>
      <c r="O329" s="24">
        <v>1600</v>
      </c>
      <c r="P329" s="24">
        <v>1100</v>
      </c>
      <c r="Q329" t="s">
        <v>1984</v>
      </c>
      <c r="R329" s="19">
        <f>VLOOKUP(A329,[1]Sheet1!$A$2:$Q$1536,15,FALSE)</f>
        <v>4696.97509765625</v>
      </c>
      <c r="S329" s="27">
        <f t="shared" si="15"/>
        <v>0.76580672089385982</v>
      </c>
      <c r="T329" s="19">
        <f>VLOOKUP(A329,[1]Sheet1!$A$2:$Q$1536,16,FALSE)</f>
        <v>8880.3548404950579</v>
      </c>
      <c r="U329" s="27">
        <f t="shared" si="16"/>
        <v>0.87613107586828387</v>
      </c>
      <c r="V329" s="19">
        <f>VLOOKUP(A329,[1]Sheet1!$A$2:$Q$1536,17,FALSE)</f>
        <v>4655.07080078125</v>
      </c>
      <c r="W329" s="27">
        <f t="shared" si="17"/>
        <v>0.76369854572020912</v>
      </c>
    </row>
    <row r="330" spans="1:23" x14ac:dyDescent="0.3">
      <c r="A330" s="4" t="s">
        <v>579</v>
      </c>
      <c r="B330" s="5">
        <v>2015</v>
      </c>
      <c r="C330" s="5" t="s">
        <v>391</v>
      </c>
      <c r="D330" s="15" t="s">
        <v>580</v>
      </c>
      <c r="E330" s="6">
        <v>98212</v>
      </c>
      <c r="F330" s="5" t="s">
        <v>47</v>
      </c>
      <c r="G330" s="5" t="s">
        <v>33</v>
      </c>
      <c r="H330" s="5" t="s">
        <v>17</v>
      </c>
      <c r="I330" s="5" t="s">
        <v>18</v>
      </c>
      <c r="J330" s="7">
        <v>45617</v>
      </c>
      <c r="K330" s="5" t="s">
        <v>17</v>
      </c>
      <c r="L330" s="8">
        <v>44113</v>
      </c>
      <c r="M330" s="19">
        <v>264</v>
      </c>
      <c r="N330" s="19">
        <v>314</v>
      </c>
      <c r="O330" s="24">
        <v>0</v>
      </c>
      <c r="P330" s="24">
        <v>5400</v>
      </c>
      <c r="Q330" t="s">
        <v>1983</v>
      </c>
      <c r="R330" s="19">
        <f>VLOOKUP(A330,[1]Sheet1!$A$2:$Q$1536,15,FALSE)</f>
        <v>7567.00732421875</v>
      </c>
      <c r="S330" s="27">
        <f t="shared" si="15"/>
        <v>0.28637574028547425</v>
      </c>
      <c r="T330" s="19">
        <f>VLOOKUP(A330,[1]Sheet1!$A$2:$Q$1536,16,FALSE)</f>
        <v>10338.698315759561</v>
      </c>
      <c r="U330" s="27">
        <f t="shared" si="16"/>
        <v>0.47769053365561193</v>
      </c>
      <c r="V330" s="19">
        <f>VLOOKUP(A330,[1]Sheet1!$A$2:$Q$1536,17,FALSE)</f>
        <v>7522.47509765625</v>
      </c>
      <c r="W330" s="27">
        <f t="shared" si="17"/>
        <v>0.28215116302844817</v>
      </c>
    </row>
    <row r="331" spans="1:23" x14ac:dyDescent="0.3">
      <c r="A331" s="4" t="s">
        <v>599</v>
      </c>
      <c r="B331" s="5">
        <v>2016</v>
      </c>
      <c r="C331" s="5" t="s">
        <v>391</v>
      </c>
      <c r="D331" s="15" t="s">
        <v>587</v>
      </c>
      <c r="E331" s="6">
        <v>94104</v>
      </c>
      <c r="F331" s="5" t="s">
        <v>164</v>
      </c>
      <c r="G331" s="5" t="s">
        <v>28</v>
      </c>
      <c r="H331" s="5" t="s">
        <v>17</v>
      </c>
      <c r="I331" s="5" t="s">
        <v>18</v>
      </c>
      <c r="J331" s="7">
        <v>45426</v>
      </c>
      <c r="K331" s="5" t="s">
        <v>17</v>
      </c>
      <c r="L331" s="8">
        <v>44081</v>
      </c>
      <c r="M331" s="19">
        <v>325</v>
      </c>
      <c r="N331" s="19">
        <v>375</v>
      </c>
      <c r="O331" s="24">
        <v>9800</v>
      </c>
      <c r="P331" s="24">
        <v>9800</v>
      </c>
      <c r="Q331" t="s">
        <v>1984</v>
      </c>
      <c r="R331" s="19">
        <f>VLOOKUP(A331,[1]Sheet1!$A$2:$Q$1536,15,FALSE)</f>
        <v>8885.8115234375</v>
      </c>
      <c r="S331" s="27">
        <f t="shared" si="15"/>
        <v>-0.10288182167168494</v>
      </c>
      <c r="T331" s="19">
        <f>VLOOKUP(A331,[1]Sheet1!$A$2:$Q$1536,16,FALSE)</f>
        <v>9484.5612324018366</v>
      </c>
      <c r="U331" s="27">
        <f t="shared" si="16"/>
        <v>-3.3258129698244647E-2</v>
      </c>
      <c r="V331" s="19">
        <f>VLOOKUP(A331,[1]Sheet1!$A$2:$Q$1536,17,FALSE)</f>
        <v>8924.6142578125</v>
      </c>
      <c r="W331" s="27">
        <f t="shared" si="17"/>
        <v>-9.8086675446078561E-2</v>
      </c>
    </row>
    <row r="332" spans="1:23" x14ac:dyDescent="0.3">
      <c r="A332" s="4" t="s">
        <v>437</v>
      </c>
      <c r="B332" s="5">
        <v>2014</v>
      </c>
      <c r="C332" s="5" t="s">
        <v>391</v>
      </c>
      <c r="D332" s="15" t="s">
        <v>432</v>
      </c>
      <c r="E332" s="6">
        <v>84494</v>
      </c>
      <c r="F332" s="5" t="s">
        <v>115</v>
      </c>
      <c r="G332" s="5" t="s">
        <v>16</v>
      </c>
      <c r="H332" s="5" t="s">
        <v>17</v>
      </c>
      <c r="I332" s="5" t="s">
        <v>18</v>
      </c>
      <c r="J332" s="7">
        <v>45356</v>
      </c>
      <c r="K332" s="5" t="s">
        <v>17</v>
      </c>
      <c r="L332" s="8">
        <v>43612</v>
      </c>
      <c r="M332" s="19">
        <v>264</v>
      </c>
      <c r="N332" s="19">
        <v>314</v>
      </c>
      <c r="O332" s="24">
        <v>5100</v>
      </c>
      <c r="P332" s="24">
        <v>4200</v>
      </c>
      <c r="Q332" t="s">
        <v>1984</v>
      </c>
      <c r="R332" s="19">
        <f>VLOOKUP(A332,[1]Sheet1!$A$2:$Q$1536,15,FALSE)</f>
        <v>8996.37890625</v>
      </c>
      <c r="S332" s="27">
        <f t="shared" si="15"/>
        <v>0.53314549734202954</v>
      </c>
      <c r="T332" s="19">
        <f>VLOOKUP(A332,[1]Sheet1!$A$2:$Q$1536,16,FALSE)</f>
        <v>10246.4898916574</v>
      </c>
      <c r="U332" s="27">
        <f t="shared" si="16"/>
        <v>0.59010353356034617</v>
      </c>
      <c r="V332" s="19">
        <f>VLOOKUP(A332,[1]Sheet1!$A$2:$Q$1536,17,FALSE)</f>
        <v>9124.287109375</v>
      </c>
      <c r="W332" s="27">
        <f t="shared" si="17"/>
        <v>0.53969006568364186</v>
      </c>
    </row>
    <row r="333" spans="1:23" x14ac:dyDescent="0.3">
      <c r="A333" s="4" t="s">
        <v>1013</v>
      </c>
      <c r="B333" s="5">
        <v>2018</v>
      </c>
      <c r="C333" s="5" t="s">
        <v>237</v>
      </c>
      <c r="D333" s="15" t="s">
        <v>238</v>
      </c>
      <c r="E333" s="6">
        <v>107753</v>
      </c>
      <c r="F333" s="5" t="s">
        <v>15</v>
      </c>
      <c r="G333" s="5" t="s">
        <v>33</v>
      </c>
      <c r="H333" s="5" t="s">
        <v>17</v>
      </c>
      <c r="I333" s="5" t="s">
        <v>18</v>
      </c>
      <c r="J333" s="7">
        <v>45358</v>
      </c>
      <c r="K333" s="5" t="s">
        <v>17</v>
      </c>
      <c r="L333" s="8">
        <v>44113</v>
      </c>
      <c r="M333" s="19">
        <v>264</v>
      </c>
      <c r="N333" s="19">
        <v>314</v>
      </c>
      <c r="O333" s="24">
        <v>0</v>
      </c>
      <c r="P333" s="24">
        <v>12800</v>
      </c>
      <c r="Q333" t="s">
        <v>1983</v>
      </c>
      <c r="R333" s="19">
        <f>VLOOKUP(A333,[1]Sheet1!$A$2:$Q$1536,15,FALSE)</f>
        <v>10442.51953125</v>
      </c>
      <c r="S333" s="27">
        <f t="shared" si="15"/>
        <v>-0.22575782230476735</v>
      </c>
      <c r="T333" s="19">
        <f>VLOOKUP(A333,[1]Sheet1!$A$2:$Q$1536,16,FALSE)</f>
        <v>10117.836521422219</v>
      </c>
      <c r="U333" s="27">
        <f t="shared" si="16"/>
        <v>-0.26509258900348004</v>
      </c>
      <c r="V333" s="19">
        <f>VLOOKUP(A333,[1]Sheet1!$A$2:$Q$1536,17,FALSE)</f>
        <v>10524.953125</v>
      </c>
      <c r="W333" s="27">
        <f t="shared" si="17"/>
        <v>-0.216157435380502</v>
      </c>
    </row>
    <row r="334" spans="1:23" x14ac:dyDescent="0.3">
      <c r="A334" s="4" t="s">
        <v>783</v>
      </c>
      <c r="B334" s="5">
        <v>2014</v>
      </c>
      <c r="C334" s="5" t="s">
        <v>391</v>
      </c>
      <c r="D334" s="15" t="s">
        <v>784</v>
      </c>
      <c r="E334" s="6">
        <v>201563</v>
      </c>
      <c r="F334" s="5" t="s">
        <v>112</v>
      </c>
      <c r="G334" s="5" t="s">
        <v>22</v>
      </c>
      <c r="H334" s="5" t="s">
        <v>18</v>
      </c>
      <c r="I334" s="5" t="s">
        <v>17</v>
      </c>
      <c r="J334" s="7">
        <v>45344</v>
      </c>
      <c r="K334" s="5" t="s">
        <v>17</v>
      </c>
      <c r="L334" s="8">
        <v>44113</v>
      </c>
      <c r="M334" s="19">
        <v>264</v>
      </c>
      <c r="N334" s="19">
        <v>314</v>
      </c>
      <c r="O334" s="24">
        <v>0</v>
      </c>
      <c r="P334" s="24">
        <v>10000</v>
      </c>
      <c r="Q334" t="s">
        <v>1983</v>
      </c>
      <c r="R334" s="19">
        <f>VLOOKUP(A334,[1]Sheet1!$A$2:$Q$1536,15,FALSE)</f>
        <v>1712.189697265625</v>
      </c>
      <c r="S334" s="27">
        <f t="shared" si="15"/>
        <v>-4.8404743446185003</v>
      </c>
      <c r="T334" s="19">
        <f>VLOOKUP(A334,[1]Sheet1!$A$2:$Q$1536,16,FALSE)</f>
        <v>9298.7797115910362</v>
      </c>
      <c r="U334" s="27">
        <f t="shared" si="16"/>
        <v>-7.5409925835202299E-2</v>
      </c>
      <c r="V334" s="19">
        <f>VLOOKUP(A334,[1]Sheet1!$A$2:$Q$1536,17,FALSE)</f>
        <v>1707.501708984375</v>
      </c>
      <c r="W334" s="27">
        <f t="shared" si="17"/>
        <v>-4.8565095117521242</v>
      </c>
    </row>
    <row r="335" spans="1:23" x14ac:dyDescent="0.3">
      <c r="A335" s="4" t="s">
        <v>382</v>
      </c>
      <c r="B335" s="5">
        <v>2018</v>
      </c>
      <c r="C335" s="5" t="s">
        <v>237</v>
      </c>
      <c r="D335" s="15" t="s">
        <v>383</v>
      </c>
      <c r="E335" s="6">
        <v>126067</v>
      </c>
      <c r="F335" s="5" t="s">
        <v>15</v>
      </c>
      <c r="G335" s="5" t="s">
        <v>33</v>
      </c>
      <c r="H335" s="5" t="s">
        <v>17</v>
      </c>
      <c r="I335" s="5" t="s">
        <v>18</v>
      </c>
      <c r="J335" s="7">
        <v>45645</v>
      </c>
      <c r="K335" s="5" t="s">
        <v>17</v>
      </c>
      <c r="L335" s="8">
        <v>44430</v>
      </c>
      <c r="M335" s="19">
        <v>264</v>
      </c>
      <c r="N335" s="19">
        <v>314</v>
      </c>
      <c r="O335" s="24">
        <v>0</v>
      </c>
      <c r="P335" s="24">
        <v>20300</v>
      </c>
      <c r="Q335" t="s">
        <v>1983</v>
      </c>
      <c r="R335" s="19">
        <f>VLOOKUP(A335,[1]Sheet1!$A$2:$Q$1536,15,FALSE)</f>
        <v>8387.3955078125</v>
      </c>
      <c r="S335" s="27">
        <f t="shared" si="15"/>
        <v>-1.4202984086170038</v>
      </c>
      <c r="T335" s="19">
        <f>VLOOKUP(A335,[1]Sheet1!$A$2:$Q$1536,16,FALSE)</f>
        <v>10110.30526507749</v>
      </c>
      <c r="U335" s="27">
        <f t="shared" si="16"/>
        <v>-1.0078523316322845</v>
      </c>
      <c r="V335" s="19">
        <f>VLOOKUP(A335,[1]Sheet1!$A$2:$Q$1536,17,FALSE)</f>
        <v>8255.8642578125</v>
      </c>
      <c r="W335" s="27">
        <f t="shared" si="17"/>
        <v>-1.4588582571219204</v>
      </c>
    </row>
    <row r="336" spans="1:23" x14ac:dyDescent="0.3">
      <c r="A336" s="4" t="s">
        <v>1702</v>
      </c>
      <c r="B336" s="5">
        <v>2017</v>
      </c>
      <c r="C336" s="5" t="s">
        <v>1089</v>
      </c>
      <c r="D336" s="15" t="s">
        <v>1328</v>
      </c>
      <c r="E336" s="6">
        <v>86417</v>
      </c>
      <c r="F336" s="5" t="s">
        <v>36</v>
      </c>
      <c r="G336" s="5" t="s">
        <v>28</v>
      </c>
      <c r="H336" s="5" t="s">
        <v>17</v>
      </c>
      <c r="I336" s="5" t="s">
        <v>18</v>
      </c>
      <c r="J336" s="7">
        <v>45328</v>
      </c>
      <c r="K336" s="5" t="s">
        <v>17</v>
      </c>
      <c r="L336" s="8">
        <v>44128</v>
      </c>
      <c r="M336" s="19">
        <v>264</v>
      </c>
      <c r="N336" s="19">
        <v>314</v>
      </c>
      <c r="O336" s="24">
        <v>6750</v>
      </c>
      <c r="P336" s="24">
        <v>5600</v>
      </c>
      <c r="Q336" t="s">
        <v>1984</v>
      </c>
      <c r="R336" s="19">
        <f>VLOOKUP(A336,[1]Sheet1!$A$2:$Q$1536,15,FALSE)</f>
        <v>4307.896484375</v>
      </c>
      <c r="S336" s="27">
        <f t="shared" si="15"/>
        <v>-0.29993838531439587</v>
      </c>
      <c r="T336" s="19">
        <f>VLOOKUP(A336,[1]Sheet1!$A$2:$Q$1536,16,FALSE)</f>
        <v>8825.7042001731734</v>
      </c>
      <c r="U336" s="27">
        <f t="shared" si="16"/>
        <v>0.36548972490035192</v>
      </c>
      <c r="V336" s="19">
        <f>VLOOKUP(A336,[1]Sheet1!$A$2:$Q$1536,17,FALSE)</f>
        <v>4289.79638671875</v>
      </c>
      <c r="W336" s="27">
        <f t="shared" si="17"/>
        <v>-0.30542326375621293</v>
      </c>
    </row>
    <row r="337" spans="1:23" x14ac:dyDescent="0.3">
      <c r="A337" s="4" t="s">
        <v>886</v>
      </c>
      <c r="B337" s="5">
        <v>2015</v>
      </c>
      <c r="C337" s="5" t="s">
        <v>391</v>
      </c>
      <c r="D337" s="15" t="s">
        <v>590</v>
      </c>
      <c r="E337" s="6">
        <v>119968</v>
      </c>
      <c r="F337" s="5" t="s">
        <v>79</v>
      </c>
      <c r="G337" s="5" t="s">
        <v>22</v>
      </c>
      <c r="H337" s="5" t="s">
        <v>18</v>
      </c>
      <c r="I337" s="5" t="s">
        <v>17</v>
      </c>
      <c r="J337" s="7">
        <v>45421</v>
      </c>
      <c r="K337" s="5" t="s">
        <v>17</v>
      </c>
      <c r="L337" s="8">
        <v>44307</v>
      </c>
      <c r="M337" s="19">
        <v>235</v>
      </c>
      <c r="N337" s="19">
        <v>285</v>
      </c>
      <c r="O337" s="24">
        <v>0</v>
      </c>
      <c r="P337" s="24">
        <v>10500</v>
      </c>
      <c r="Q337" t="s">
        <v>1983</v>
      </c>
      <c r="R337" s="19">
        <f>VLOOKUP(A337,[1]Sheet1!$A$2:$Q$1536,15,FALSE)</f>
        <v>3031.468994140625</v>
      </c>
      <c r="S337" s="27">
        <f t="shared" si="15"/>
        <v>-2.4636672914336004</v>
      </c>
      <c r="T337" s="19">
        <f>VLOOKUP(A337,[1]Sheet1!$A$2:$Q$1536,16,FALSE)</f>
        <v>9303.66014861433</v>
      </c>
      <c r="U337" s="27">
        <f t="shared" si="16"/>
        <v>-0.12858808600869312</v>
      </c>
      <c r="V337" s="19">
        <f>VLOOKUP(A337,[1]Sheet1!$A$2:$Q$1536,17,FALSE)</f>
        <v>2907.91943359375</v>
      </c>
      <c r="W337" s="27">
        <f t="shared" si="17"/>
        <v>-2.6108290617335239</v>
      </c>
    </row>
    <row r="338" spans="1:23" x14ac:dyDescent="0.3">
      <c r="A338" s="4" t="s">
        <v>1406</v>
      </c>
      <c r="B338" s="5">
        <v>2015</v>
      </c>
      <c r="C338" s="5" t="s">
        <v>1401</v>
      </c>
      <c r="D338" s="15" t="s">
        <v>1405</v>
      </c>
      <c r="E338" s="6">
        <v>89608</v>
      </c>
      <c r="F338" s="5" t="s">
        <v>64</v>
      </c>
      <c r="G338" s="5" t="s">
        <v>33</v>
      </c>
      <c r="H338" s="5" t="s">
        <v>18</v>
      </c>
      <c r="I338" s="5" t="s">
        <v>17</v>
      </c>
      <c r="J338" s="7">
        <v>45300</v>
      </c>
      <c r="K338" s="5" t="s">
        <v>17</v>
      </c>
      <c r="L338" s="8">
        <v>44028</v>
      </c>
      <c r="M338" s="19">
        <v>235</v>
      </c>
      <c r="N338" s="19">
        <v>285</v>
      </c>
      <c r="O338" s="24">
        <v>7400</v>
      </c>
      <c r="P338" s="24">
        <v>5000</v>
      </c>
      <c r="Q338" t="s">
        <v>1984</v>
      </c>
      <c r="R338" s="19">
        <f>VLOOKUP(A338,[1]Sheet1!$A$2:$Q$1536,15,FALSE)</f>
        <v>8158.02294921875</v>
      </c>
      <c r="S338" s="27">
        <f t="shared" si="15"/>
        <v>0.38710640664735774</v>
      </c>
      <c r="T338" s="19">
        <f>VLOOKUP(A338,[1]Sheet1!$A$2:$Q$1536,16,FALSE)</f>
        <v>9667.9365316543426</v>
      </c>
      <c r="U338" s="27">
        <f t="shared" si="16"/>
        <v>0.48282655935636165</v>
      </c>
      <c r="V338" s="19">
        <f>VLOOKUP(A338,[1]Sheet1!$A$2:$Q$1536,17,FALSE)</f>
        <v>8237.9150390625</v>
      </c>
      <c r="W338" s="27">
        <f t="shared" si="17"/>
        <v>0.39305030747573533</v>
      </c>
    </row>
    <row r="339" spans="1:23" x14ac:dyDescent="0.3">
      <c r="A339" s="4" t="s">
        <v>173</v>
      </c>
      <c r="B339" s="5">
        <v>2014</v>
      </c>
      <c r="C339" s="5" t="s">
        <v>96</v>
      </c>
      <c r="D339" s="15" t="s">
        <v>174</v>
      </c>
      <c r="E339" s="6">
        <v>150042</v>
      </c>
      <c r="F339" s="5" t="s">
        <v>40</v>
      </c>
      <c r="G339" s="5" t="s">
        <v>25</v>
      </c>
      <c r="H339" s="5" t="s">
        <v>18</v>
      </c>
      <c r="I339" s="5" t="s">
        <v>17</v>
      </c>
      <c r="J339" s="7">
        <v>45505</v>
      </c>
      <c r="K339" s="5" t="s">
        <v>17</v>
      </c>
      <c r="L339" s="8">
        <v>44113</v>
      </c>
      <c r="M339" s="19">
        <v>264</v>
      </c>
      <c r="N339" s="19">
        <v>314</v>
      </c>
      <c r="O339" s="24">
        <v>0</v>
      </c>
      <c r="P339" s="24">
        <v>1100</v>
      </c>
      <c r="Q339" t="s">
        <v>1983</v>
      </c>
      <c r="R339" s="19">
        <f>VLOOKUP(A339,[1]Sheet1!$A$2:$Q$1536,15,FALSE)</f>
        <v>2033.948364257812</v>
      </c>
      <c r="S339" s="27">
        <f t="shared" si="15"/>
        <v>0.45917997755985801</v>
      </c>
      <c r="T339" s="19">
        <f>VLOOKUP(A339,[1]Sheet1!$A$2:$Q$1536,16,FALSE)</f>
        <v>9310.7143370352005</v>
      </c>
      <c r="U339" s="27">
        <f t="shared" si="16"/>
        <v>0.88185654073559816</v>
      </c>
      <c r="V339" s="19">
        <f>VLOOKUP(A339,[1]Sheet1!$A$2:$Q$1536,17,FALSE)</f>
        <v>2001.594360351562</v>
      </c>
      <c r="W339" s="27">
        <f t="shared" si="17"/>
        <v>0.45043809985216243</v>
      </c>
    </row>
    <row r="340" spans="1:23" x14ac:dyDescent="0.3">
      <c r="A340" s="4" t="s">
        <v>319</v>
      </c>
      <c r="B340" s="5">
        <v>2017</v>
      </c>
      <c r="C340" s="5" t="s">
        <v>237</v>
      </c>
      <c r="D340" s="15" t="s">
        <v>310</v>
      </c>
      <c r="E340" s="6">
        <v>70649</v>
      </c>
      <c r="F340" s="5" t="s">
        <v>59</v>
      </c>
      <c r="G340" s="5" t="s">
        <v>16</v>
      </c>
      <c r="H340" s="5" t="s">
        <v>17</v>
      </c>
      <c r="I340" s="5" t="s">
        <v>18</v>
      </c>
      <c r="J340" s="7">
        <v>45664</v>
      </c>
      <c r="K340" s="5" t="s">
        <v>17</v>
      </c>
      <c r="L340" s="8">
        <v>43612</v>
      </c>
      <c r="M340" s="19">
        <v>264</v>
      </c>
      <c r="N340" s="19">
        <v>314</v>
      </c>
      <c r="O340" s="24">
        <v>8500</v>
      </c>
      <c r="P340" s="24">
        <v>3100</v>
      </c>
      <c r="Q340" t="s">
        <v>1984</v>
      </c>
      <c r="R340" s="19">
        <f>VLOOKUP(A340,[1]Sheet1!$A$2:$Q$1536,15,FALSE)</f>
        <v>10934.50390625</v>
      </c>
      <c r="S340" s="27">
        <f t="shared" si="15"/>
        <v>0.71649376811433707</v>
      </c>
      <c r="T340" s="19">
        <f>VLOOKUP(A340,[1]Sheet1!$A$2:$Q$1536,16,FALSE)</f>
        <v>10295.39347455749</v>
      </c>
      <c r="U340" s="27">
        <f t="shared" si="16"/>
        <v>0.69889446113343012</v>
      </c>
      <c r="V340" s="19">
        <f>VLOOKUP(A340,[1]Sheet1!$A$2:$Q$1536,17,FALSE)</f>
        <v>10875.359375</v>
      </c>
      <c r="W340" s="27">
        <f t="shared" si="17"/>
        <v>0.71495194842699161</v>
      </c>
    </row>
    <row r="341" spans="1:23" x14ac:dyDescent="0.3">
      <c r="A341" s="4" t="s">
        <v>1871</v>
      </c>
      <c r="B341" s="5">
        <v>2018</v>
      </c>
      <c r="C341" s="5" t="s">
        <v>1401</v>
      </c>
      <c r="D341" s="15" t="s">
        <v>1866</v>
      </c>
      <c r="E341" s="6">
        <v>137222</v>
      </c>
      <c r="F341" s="5" t="s">
        <v>246</v>
      </c>
      <c r="G341" s="5" t="s">
        <v>28</v>
      </c>
      <c r="H341" s="5" t="s">
        <v>17</v>
      </c>
      <c r="I341" s="5" t="s">
        <v>18</v>
      </c>
      <c r="J341" s="7">
        <v>45722</v>
      </c>
      <c r="K341" s="5" t="s">
        <v>17</v>
      </c>
      <c r="L341" s="8">
        <v>44128</v>
      </c>
      <c r="M341" s="19">
        <v>264</v>
      </c>
      <c r="N341" s="19">
        <v>314</v>
      </c>
      <c r="O341" s="24"/>
      <c r="P341" s="24">
        <v>5900</v>
      </c>
      <c r="R341" s="19">
        <f>VLOOKUP(A341,[1]Sheet1!$A$2:$Q$1536,15,FALSE)</f>
        <v>9622.736328125</v>
      </c>
      <c r="S341" s="27">
        <f t="shared" si="15"/>
        <v>0.38686878671343361</v>
      </c>
      <c r="T341" s="19">
        <f>VLOOKUP(A341,[1]Sheet1!$A$2:$Q$1536,16,FALSE)</f>
        <v>10313.0409325333</v>
      </c>
      <c r="U341" s="27">
        <f t="shared" si="16"/>
        <v>0.42790879638730173</v>
      </c>
      <c r="V341" s="19">
        <f>VLOOKUP(A341,[1]Sheet1!$A$2:$Q$1536,17,FALSE)</f>
        <v>9722.689453125</v>
      </c>
      <c r="W341" s="27">
        <f t="shared" si="17"/>
        <v>0.39317202010358743</v>
      </c>
    </row>
    <row r="342" spans="1:23" x14ac:dyDescent="0.3">
      <c r="A342" s="4" t="s">
        <v>1953</v>
      </c>
      <c r="B342" s="5">
        <v>2015</v>
      </c>
      <c r="C342" s="5" t="s">
        <v>96</v>
      </c>
      <c r="D342" s="15" t="s">
        <v>1951</v>
      </c>
      <c r="E342" s="6">
        <v>76486</v>
      </c>
      <c r="F342" s="5" t="s">
        <v>115</v>
      </c>
      <c r="G342" s="5" t="s">
        <v>16</v>
      </c>
      <c r="H342" s="5" t="s">
        <v>17</v>
      </c>
      <c r="I342" s="5" t="s">
        <v>18</v>
      </c>
      <c r="J342" s="7">
        <v>45300</v>
      </c>
      <c r="K342" s="5" t="s">
        <v>17</v>
      </c>
      <c r="L342" s="8">
        <v>44310</v>
      </c>
      <c r="M342" s="19">
        <v>235</v>
      </c>
      <c r="N342" s="19">
        <v>285</v>
      </c>
      <c r="O342" s="24">
        <v>9100</v>
      </c>
      <c r="P342" s="24">
        <v>7200</v>
      </c>
      <c r="Q342" t="s">
        <v>1984</v>
      </c>
      <c r="R342" s="19">
        <f>VLOOKUP(A342,[1]Sheet1!$A$2:$Q$1536,15,FALSE)</f>
        <v>10122.1494140625</v>
      </c>
      <c r="S342" s="27">
        <f t="shared" si="15"/>
        <v>0.28868862674589807</v>
      </c>
      <c r="T342" s="19">
        <f>VLOOKUP(A342,[1]Sheet1!$A$2:$Q$1536,16,FALSE)</f>
        <v>10141.680582460691</v>
      </c>
      <c r="U342" s="27">
        <f t="shared" si="16"/>
        <v>0.29005849262775207</v>
      </c>
      <c r="V342" s="19">
        <f>VLOOKUP(A342,[1]Sheet1!$A$2:$Q$1536,17,FALSE)</f>
        <v>10345.4609375</v>
      </c>
      <c r="W342" s="27">
        <f t="shared" si="17"/>
        <v>0.30404260926629206</v>
      </c>
    </row>
    <row r="343" spans="1:23" x14ac:dyDescent="0.3">
      <c r="A343" s="4" t="s">
        <v>305</v>
      </c>
      <c r="B343" s="5">
        <v>2019</v>
      </c>
      <c r="C343" s="5" t="s">
        <v>237</v>
      </c>
      <c r="D343" s="15" t="s">
        <v>306</v>
      </c>
      <c r="E343" s="6">
        <v>87434</v>
      </c>
      <c r="F343" s="5" t="s">
        <v>44</v>
      </c>
      <c r="G343" s="5" t="s">
        <v>28</v>
      </c>
      <c r="H343" s="5" t="s">
        <v>17</v>
      </c>
      <c r="I343" s="5" t="s">
        <v>18</v>
      </c>
      <c r="J343" s="7">
        <v>45687</v>
      </c>
      <c r="K343" s="5" t="s">
        <v>17</v>
      </c>
      <c r="L343" s="8">
        <v>43612</v>
      </c>
      <c r="M343" s="19">
        <v>264</v>
      </c>
      <c r="N343" s="19">
        <v>314</v>
      </c>
      <c r="O343" s="24">
        <v>0</v>
      </c>
      <c r="P343" s="24">
        <v>9000</v>
      </c>
      <c r="Q343" t="s">
        <v>1983</v>
      </c>
      <c r="R343" s="19">
        <f>VLOOKUP(A343,[1]Sheet1!$A$2:$Q$1536,15,FALSE)</f>
        <v>11765.123046875</v>
      </c>
      <c r="S343" s="27">
        <f t="shared" si="15"/>
        <v>0.23502712516121621</v>
      </c>
      <c r="T343" s="19">
        <f>VLOOKUP(A343,[1]Sheet1!$A$2:$Q$1536,16,FALSE)</f>
        <v>9593.5942605931232</v>
      </c>
      <c r="U343" s="27">
        <f t="shared" si="16"/>
        <v>6.1874021818015081E-2</v>
      </c>
      <c r="V343" s="19">
        <f>VLOOKUP(A343,[1]Sheet1!$A$2:$Q$1536,17,FALSE)</f>
        <v>11938.6943359375</v>
      </c>
      <c r="W343" s="27">
        <f t="shared" si="17"/>
        <v>0.24614872055912601</v>
      </c>
    </row>
    <row r="344" spans="1:23" x14ac:dyDescent="0.3">
      <c r="A344" s="4" t="s">
        <v>436</v>
      </c>
      <c r="B344" s="5">
        <v>2014</v>
      </c>
      <c r="C344" s="5" t="s">
        <v>391</v>
      </c>
      <c r="D344" s="15" t="s">
        <v>432</v>
      </c>
      <c r="E344" s="6">
        <v>77344</v>
      </c>
      <c r="F344" s="5" t="s">
        <v>36</v>
      </c>
      <c r="G344" s="5" t="s">
        <v>28</v>
      </c>
      <c r="H344" s="5" t="s">
        <v>17</v>
      </c>
      <c r="I344" s="5" t="s">
        <v>18</v>
      </c>
      <c r="J344" s="7">
        <v>45594</v>
      </c>
      <c r="K344" s="5" t="s">
        <v>17</v>
      </c>
      <c r="L344" s="8">
        <v>44451</v>
      </c>
      <c r="M344" s="19">
        <v>264</v>
      </c>
      <c r="N344" s="19">
        <v>314</v>
      </c>
      <c r="O344" s="24">
        <v>4250</v>
      </c>
      <c r="P344" s="24">
        <v>500</v>
      </c>
      <c r="Q344" t="s">
        <v>1984</v>
      </c>
      <c r="R344" s="19">
        <f>VLOOKUP(A344,[1]Sheet1!$A$2:$Q$1536,15,FALSE)</f>
        <v>3944.859130859375</v>
      </c>
      <c r="S344" s="27">
        <f t="shared" si="15"/>
        <v>0.87325276178085565</v>
      </c>
      <c r="T344" s="19">
        <f>VLOOKUP(A344,[1]Sheet1!$A$2:$Q$1536,16,FALSE)</f>
        <v>9461.8860915038567</v>
      </c>
      <c r="U344" s="27">
        <f t="shared" si="16"/>
        <v>0.94715641309094112</v>
      </c>
      <c r="V344" s="19">
        <f>VLOOKUP(A344,[1]Sheet1!$A$2:$Q$1536,17,FALSE)</f>
        <v>4058.1806640625</v>
      </c>
      <c r="W344" s="27">
        <f t="shared" si="17"/>
        <v>0.8767920796558456</v>
      </c>
    </row>
    <row r="345" spans="1:23" x14ac:dyDescent="0.3">
      <c r="A345" s="4" t="s">
        <v>1569</v>
      </c>
      <c r="B345" s="5">
        <v>2013</v>
      </c>
      <c r="C345" s="5" t="s">
        <v>636</v>
      </c>
      <c r="D345" s="15" t="s">
        <v>1296</v>
      </c>
      <c r="E345" s="6">
        <v>101511</v>
      </c>
      <c r="F345" s="5" t="s">
        <v>59</v>
      </c>
      <c r="G345" s="5" t="s">
        <v>16</v>
      </c>
      <c r="H345" s="5" t="s">
        <v>17</v>
      </c>
      <c r="I345" s="5" t="s">
        <v>18</v>
      </c>
      <c r="J345" s="7">
        <v>45538</v>
      </c>
      <c r="K345" s="5" t="s">
        <v>17</v>
      </c>
      <c r="L345" s="8">
        <v>43605</v>
      </c>
      <c r="M345" s="19">
        <v>264</v>
      </c>
      <c r="N345" s="19">
        <v>314</v>
      </c>
      <c r="O345" s="24">
        <v>6500</v>
      </c>
      <c r="P345" s="24">
        <v>2600</v>
      </c>
      <c r="Q345" t="s">
        <v>1984</v>
      </c>
      <c r="R345" s="19">
        <f>VLOOKUP(A345,[1]Sheet1!$A$2:$Q$1536,15,FALSE)</f>
        <v>5712.45166015625</v>
      </c>
      <c r="S345" s="27">
        <f t="shared" si="15"/>
        <v>0.54485391655307536</v>
      </c>
      <c r="T345" s="19">
        <f>VLOOKUP(A345,[1]Sheet1!$A$2:$Q$1536,16,FALSE)</f>
        <v>9659.2676936564858</v>
      </c>
      <c r="U345" s="27">
        <f t="shared" si="16"/>
        <v>0.73082845589759426</v>
      </c>
      <c r="V345" s="19">
        <f>VLOOKUP(A345,[1]Sheet1!$A$2:$Q$1536,17,FALSE)</f>
        <v>5713.1025390625</v>
      </c>
      <c r="W345" s="27">
        <f t="shared" si="17"/>
        <v>0.5449057701620299</v>
      </c>
    </row>
    <row r="346" spans="1:23" x14ac:dyDescent="0.3">
      <c r="A346" s="4" t="s">
        <v>1626</v>
      </c>
      <c r="B346" s="5">
        <v>2017</v>
      </c>
      <c r="C346" s="5" t="s">
        <v>519</v>
      </c>
      <c r="D346" s="15" t="s">
        <v>1607</v>
      </c>
      <c r="E346" s="6">
        <v>26143</v>
      </c>
      <c r="F346" s="5" t="s">
        <v>184</v>
      </c>
      <c r="G346" s="5" t="s">
        <v>16</v>
      </c>
      <c r="H346" s="5" t="s">
        <v>17</v>
      </c>
      <c r="I346" s="5" t="s">
        <v>18</v>
      </c>
      <c r="J346" s="7">
        <v>45510</v>
      </c>
      <c r="K346" s="5" t="s">
        <v>17</v>
      </c>
      <c r="L346" s="8">
        <v>44444</v>
      </c>
      <c r="M346" s="19">
        <v>264</v>
      </c>
      <c r="N346" s="19">
        <v>314</v>
      </c>
      <c r="O346" s="24">
        <v>12100</v>
      </c>
      <c r="P346" s="24">
        <v>3200</v>
      </c>
      <c r="Q346" t="s">
        <v>1984</v>
      </c>
      <c r="R346" s="19">
        <f>VLOOKUP(A346,[1]Sheet1!$A$2:$Q$1536,15,FALSE)</f>
        <v>11925.6123046875</v>
      </c>
      <c r="S346" s="27">
        <f t="shared" si="15"/>
        <v>0.73166996224234093</v>
      </c>
      <c r="T346" s="19">
        <f>VLOOKUP(A346,[1]Sheet1!$A$2:$Q$1536,16,FALSE)</f>
        <v>12027.733038734499</v>
      </c>
      <c r="U346" s="27">
        <f t="shared" si="16"/>
        <v>0.73394820206811895</v>
      </c>
      <c r="V346" s="19">
        <f>VLOOKUP(A346,[1]Sheet1!$A$2:$Q$1536,17,FALSE)</f>
        <v>11578.48046875</v>
      </c>
      <c r="W346" s="27">
        <f t="shared" si="17"/>
        <v>0.7236252193336844</v>
      </c>
    </row>
    <row r="347" spans="1:23" x14ac:dyDescent="0.3">
      <c r="A347" s="4" t="s">
        <v>897</v>
      </c>
      <c r="B347" s="5">
        <v>2015</v>
      </c>
      <c r="C347" s="5" t="s">
        <v>391</v>
      </c>
      <c r="D347" s="15" t="s">
        <v>590</v>
      </c>
      <c r="E347" s="6">
        <v>112398</v>
      </c>
      <c r="F347" s="5" t="s">
        <v>199</v>
      </c>
      <c r="G347" s="5" t="s">
        <v>16</v>
      </c>
      <c r="H347" s="5" t="s">
        <v>17</v>
      </c>
      <c r="I347" s="5" t="s">
        <v>18</v>
      </c>
      <c r="J347" s="7">
        <v>45512</v>
      </c>
      <c r="K347" s="5" t="s">
        <v>17</v>
      </c>
      <c r="L347" s="8">
        <v>44028</v>
      </c>
      <c r="M347" s="19">
        <v>235</v>
      </c>
      <c r="N347" s="19">
        <v>285</v>
      </c>
      <c r="O347" s="24">
        <v>0</v>
      </c>
      <c r="P347" s="24">
        <v>2700</v>
      </c>
      <c r="Q347" t="s">
        <v>1983</v>
      </c>
      <c r="R347" s="19">
        <f>VLOOKUP(A347,[1]Sheet1!$A$2:$Q$1536,15,FALSE)</f>
        <v>8090.9140625</v>
      </c>
      <c r="S347" s="27">
        <f t="shared" si="15"/>
        <v>0.66629233988356928</v>
      </c>
      <c r="T347" s="19">
        <f>VLOOKUP(A347,[1]Sheet1!$A$2:$Q$1536,16,FALSE)</f>
        <v>10235.48324276108</v>
      </c>
      <c r="U347" s="27">
        <f t="shared" si="16"/>
        <v>0.73621177076230948</v>
      </c>
      <c r="V347" s="19">
        <f>VLOOKUP(A347,[1]Sheet1!$A$2:$Q$1536,17,FALSE)</f>
        <v>8033.29931640625</v>
      </c>
      <c r="W347" s="27">
        <f t="shared" si="17"/>
        <v>0.66389899172736622</v>
      </c>
    </row>
    <row r="348" spans="1:23" x14ac:dyDescent="0.3">
      <c r="A348" s="4" t="s">
        <v>1336</v>
      </c>
      <c r="B348" s="5">
        <v>2020</v>
      </c>
      <c r="C348" s="5" t="s">
        <v>1089</v>
      </c>
      <c r="D348" s="15" t="s">
        <v>1328</v>
      </c>
      <c r="E348" s="6">
        <v>90949</v>
      </c>
      <c r="F348" s="5" t="s">
        <v>27</v>
      </c>
      <c r="G348" s="5" t="s">
        <v>25</v>
      </c>
      <c r="H348" s="5" t="s">
        <v>18</v>
      </c>
      <c r="I348" s="5" t="s">
        <v>17</v>
      </c>
      <c r="J348" s="7">
        <v>45687</v>
      </c>
      <c r="K348" s="5" t="s">
        <v>17</v>
      </c>
      <c r="L348" s="8">
        <v>44451</v>
      </c>
      <c r="M348" s="19">
        <v>264</v>
      </c>
      <c r="N348" s="19">
        <v>314</v>
      </c>
      <c r="O348" s="24">
        <v>5900</v>
      </c>
      <c r="P348" s="24">
        <v>4900</v>
      </c>
      <c r="Q348" t="s">
        <v>1984</v>
      </c>
      <c r="R348" s="19">
        <f>VLOOKUP(A348,[1]Sheet1!$A$2:$Q$1536,15,FALSE)</f>
        <v>4871.7822265625</v>
      </c>
      <c r="S348" s="27">
        <f t="shared" si="15"/>
        <v>-5.7920843184754364E-3</v>
      </c>
      <c r="T348" s="19">
        <f>VLOOKUP(A348,[1]Sheet1!$A$2:$Q$1536,16,FALSE)</f>
        <v>10102.724179154589</v>
      </c>
      <c r="U348" s="27">
        <f t="shared" si="16"/>
        <v>0.5149823044649291</v>
      </c>
      <c r="V348" s="19">
        <f>VLOOKUP(A348,[1]Sheet1!$A$2:$Q$1536,17,FALSE)</f>
        <v>4723.94921875</v>
      </c>
      <c r="W348" s="27">
        <f t="shared" si="17"/>
        <v>-3.726771247904833E-2</v>
      </c>
    </row>
    <row r="349" spans="1:23" x14ac:dyDescent="0.3">
      <c r="A349" s="4" t="s">
        <v>269</v>
      </c>
      <c r="B349" s="5">
        <v>2014</v>
      </c>
      <c r="C349" s="5" t="s">
        <v>237</v>
      </c>
      <c r="D349" s="15" t="s">
        <v>250</v>
      </c>
      <c r="E349" s="6">
        <v>85748</v>
      </c>
      <c r="F349" s="5" t="s">
        <v>61</v>
      </c>
      <c r="G349" s="5" t="s">
        <v>33</v>
      </c>
      <c r="H349" s="5" t="s">
        <v>17</v>
      </c>
      <c r="I349" s="5" t="s">
        <v>18</v>
      </c>
      <c r="J349" s="7">
        <v>45510</v>
      </c>
      <c r="K349" s="5" t="s">
        <v>17</v>
      </c>
      <c r="L349" s="8">
        <v>43605</v>
      </c>
      <c r="M349" s="19">
        <v>264</v>
      </c>
      <c r="N349" s="19">
        <v>314</v>
      </c>
      <c r="O349" s="24">
        <v>4200</v>
      </c>
      <c r="P349" s="24">
        <v>3600</v>
      </c>
      <c r="Q349" t="s">
        <v>1984</v>
      </c>
      <c r="R349" s="19">
        <f>VLOOKUP(A349,[1]Sheet1!$A$2:$Q$1536,15,FALSE)</f>
        <v>3558.1318359375</v>
      </c>
      <c r="S349" s="27">
        <f t="shared" si="15"/>
        <v>-1.1766895099171764E-2</v>
      </c>
      <c r="T349" s="19">
        <f>VLOOKUP(A349,[1]Sheet1!$A$2:$Q$1536,16,FALSE)</f>
        <v>9304.9490573343101</v>
      </c>
      <c r="U349" s="27">
        <f t="shared" si="16"/>
        <v>0.61310911238547594</v>
      </c>
      <c r="V349" s="19">
        <f>VLOOKUP(A349,[1]Sheet1!$A$2:$Q$1536,17,FALSE)</f>
        <v>3484.11572265625</v>
      </c>
      <c r="W349" s="27">
        <f t="shared" si="17"/>
        <v>-3.3260742916828595E-2</v>
      </c>
    </row>
    <row r="350" spans="1:23" x14ac:dyDescent="0.3">
      <c r="A350" s="4" t="s">
        <v>1354</v>
      </c>
      <c r="B350" s="5">
        <v>2013</v>
      </c>
      <c r="C350" s="5" t="s">
        <v>1089</v>
      </c>
      <c r="D350" s="15" t="s">
        <v>1328</v>
      </c>
      <c r="E350" s="6">
        <v>112245</v>
      </c>
      <c r="F350" s="5" t="s">
        <v>81</v>
      </c>
      <c r="G350" s="5" t="s">
        <v>28</v>
      </c>
      <c r="H350" s="5" t="s">
        <v>17</v>
      </c>
      <c r="I350" s="5" t="s">
        <v>18</v>
      </c>
      <c r="J350" s="7">
        <v>45421</v>
      </c>
      <c r="K350" s="5" t="s">
        <v>17</v>
      </c>
      <c r="L350" s="8">
        <v>43612</v>
      </c>
      <c r="M350" s="19">
        <v>264</v>
      </c>
      <c r="N350" s="19">
        <v>314</v>
      </c>
      <c r="O350" s="24">
        <v>4300</v>
      </c>
      <c r="P350" s="24">
        <v>2700</v>
      </c>
      <c r="Q350" t="s">
        <v>1984</v>
      </c>
      <c r="R350" s="19">
        <f>VLOOKUP(A350,[1]Sheet1!$A$2:$Q$1536,15,FALSE)</f>
        <v>1500.034057617188</v>
      </c>
      <c r="S350" s="27">
        <f t="shared" si="15"/>
        <v>-0.79995913178729039</v>
      </c>
      <c r="T350" s="19">
        <f>VLOOKUP(A350,[1]Sheet1!$A$2:$Q$1536,16,FALSE)</f>
        <v>8664.8410152885863</v>
      </c>
      <c r="U350" s="27">
        <f t="shared" si="16"/>
        <v>0.68839589840875171</v>
      </c>
      <c r="V350" s="19">
        <f>VLOOKUP(A350,[1]Sheet1!$A$2:$Q$1536,17,FALSE)</f>
        <v>1400.44287109375</v>
      </c>
      <c r="W350" s="27">
        <f t="shared" si="17"/>
        <v>-0.9279615439730805</v>
      </c>
    </row>
    <row r="351" spans="1:23" x14ac:dyDescent="0.3">
      <c r="A351" s="4" t="s">
        <v>683</v>
      </c>
      <c r="B351" s="5">
        <v>2022</v>
      </c>
      <c r="C351" s="5" t="s">
        <v>684</v>
      </c>
      <c r="D351" s="15" t="s">
        <v>685</v>
      </c>
      <c r="E351" s="6">
        <v>23520</v>
      </c>
      <c r="F351" s="5" t="s">
        <v>644</v>
      </c>
      <c r="G351" s="5" t="s">
        <v>16</v>
      </c>
      <c r="H351" s="5" t="s">
        <v>17</v>
      </c>
      <c r="I351" s="5" t="s">
        <v>18</v>
      </c>
      <c r="J351" s="7">
        <v>45328</v>
      </c>
      <c r="K351" s="5" t="s">
        <v>17</v>
      </c>
      <c r="L351" s="8">
        <v>44128</v>
      </c>
      <c r="M351" s="19">
        <v>264</v>
      </c>
      <c r="N351" s="19">
        <v>314</v>
      </c>
      <c r="O351" s="24">
        <v>31750</v>
      </c>
      <c r="P351" s="24">
        <v>23624</v>
      </c>
      <c r="Q351" t="s">
        <v>1984</v>
      </c>
      <c r="R351" s="19">
        <f>VLOOKUP(A351,[1]Sheet1!$A$2:$Q$1536,15,FALSE)</f>
        <v>20033.486328125</v>
      </c>
      <c r="S351" s="27">
        <f t="shared" si="15"/>
        <v>-0.17922560322584891</v>
      </c>
      <c r="T351" s="19">
        <f>VLOOKUP(A351,[1]Sheet1!$A$2:$Q$1536,16,FALSE)</f>
        <v>14394.699555351481</v>
      </c>
      <c r="U351" s="27">
        <f t="shared" si="16"/>
        <v>-0.64115964415647464</v>
      </c>
      <c r="V351" s="19">
        <f>VLOOKUP(A351,[1]Sheet1!$A$2:$Q$1536,17,FALSE)</f>
        <v>19977.6953125</v>
      </c>
      <c r="W351" s="27">
        <f t="shared" si="17"/>
        <v>-0.18251878559878301</v>
      </c>
    </row>
    <row r="352" spans="1:23" x14ac:dyDescent="0.3">
      <c r="A352" s="4" t="s">
        <v>63</v>
      </c>
      <c r="B352" s="5">
        <v>2015</v>
      </c>
      <c r="C352" s="5" t="s">
        <v>46</v>
      </c>
      <c r="D352" s="15" t="s">
        <v>53</v>
      </c>
      <c r="E352" s="6">
        <v>167986</v>
      </c>
      <c r="F352" s="5" t="s">
        <v>64</v>
      </c>
      <c r="G352" s="5" t="s">
        <v>25</v>
      </c>
      <c r="H352" s="5" t="s">
        <v>18</v>
      </c>
      <c r="I352" s="5" t="s">
        <v>17</v>
      </c>
      <c r="J352" s="7">
        <v>45365</v>
      </c>
      <c r="K352" s="5" t="s">
        <v>17</v>
      </c>
      <c r="L352" s="8">
        <v>43612</v>
      </c>
      <c r="M352" s="19">
        <v>264</v>
      </c>
      <c r="N352" s="19">
        <v>314</v>
      </c>
      <c r="O352" s="24">
        <v>0</v>
      </c>
      <c r="P352" s="24">
        <v>8800</v>
      </c>
      <c r="Q352" t="s">
        <v>1983</v>
      </c>
      <c r="R352" s="19">
        <f>VLOOKUP(A352,[1]Sheet1!$A$2:$Q$1536,15,FALSE)</f>
        <v>4186.87646484375</v>
      </c>
      <c r="S352" s="27">
        <f t="shared" si="15"/>
        <v>-1.101805504387722</v>
      </c>
      <c r="T352" s="19">
        <f>VLOOKUP(A352,[1]Sheet1!$A$2:$Q$1536,16,FALSE)</f>
        <v>8949.5654353021564</v>
      </c>
      <c r="U352" s="27">
        <f t="shared" si="16"/>
        <v>1.6712033269479832E-2</v>
      </c>
      <c r="V352" s="19">
        <f>VLOOKUP(A352,[1]Sheet1!$A$2:$Q$1536,17,FALSE)</f>
        <v>4183.2197265625</v>
      </c>
      <c r="W352" s="27">
        <f t="shared" si="17"/>
        <v>-1.1036427859913713</v>
      </c>
    </row>
    <row r="353" spans="1:23" x14ac:dyDescent="0.3">
      <c r="A353" s="4" t="s">
        <v>574</v>
      </c>
      <c r="B353" s="5">
        <v>2013</v>
      </c>
      <c r="C353" s="5" t="s">
        <v>559</v>
      </c>
      <c r="D353" s="15" t="s">
        <v>560</v>
      </c>
      <c r="E353" s="6">
        <v>140390</v>
      </c>
      <c r="F353" s="5" t="s">
        <v>144</v>
      </c>
      <c r="G353" s="5" t="s">
        <v>25</v>
      </c>
      <c r="H353" s="5" t="s">
        <v>18</v>
      </c>
      <c r="I353" s="5" t="s">
        <v>17</v>
      </c>
      <c r="J353" s="7">
        <v>45566</v>
      </c>
      <c r="K353" s="5" t="s">
        <v>17</v>
      </c>
      <c r="L353" s="8">
        <v>44310</v>
      </c>
      <c r="M353" s="19">
        <v>235</v>
      </c>
      <c r="N353" s="19">
        <v>285</v>
      </c>
      <c r="O353" s="24">
        <v>5100</v>
      </c>
      <c r="P353" s="24">
        <v>5000</v>
      </c>
      <c r="Q353" t="s">
        <v>1984</v>
      </c>
      <c r="R353" s="19">
        <f>VLOOKUP(A353,[1]Sheet1!$A$2:$Q$1536,15,FALSE)</f>
        <v>2042.547973632812</v>
      </c>
      <c r="S353" s="27">
        <f t="shared" si="15"/>
        <v>-1.447922920070835</v>
      </c>
      <c r="T353" s="19">
        <f>VLOOKUP(A353,[1]Sheet1!$A$2:$Q$1536,16,FALSE)</f>
        <v>9961.5791787336129</v>
      </c>
      <c r="U353" s="27">
        <f t="shared" si="16"/>
        <v>0.4980715496721439</v>
      </c>
      <c r="V353" s="19">
        <f>VLOOKUP(A353,[1]Sheet1!$A$2:$Q$1536,17,FALSE)</f>
        <v>2001.450805664062</v>
      </c>
      <c r="W353" s="27">
        <f t="shared" si="17"/>
        <v>-1.4981878074895016</v>
      </c>
    </row>
    <row r="354" spans="1:23" x14ac:dyDescent="0.3">
      <c r="A354" s="4" t="s">
        <v>445</v>
      </c>
      <c r="B354" s="5">
        <v>2015</v>
      </c>
      <c r="C354" s="5" t="s">
        <v>391</v>
      </c>
      <c r="D354" s="15" t="s">
        <v>432</v>
      </c>
      <c r="E354" s="6">
        <v>109933</v>
      </c>
      <c r="F354" s="5" t="s">
        <v>42</v>
      </c>
      <c r="G354" s="5" t="s">
        <v>25</v>
      </c>
      <c r="H354" s="5" t="s">
        <v>18</v>
      </c>
      <c r="I354" s="5" t="s">
        <v>17</v>
      </c>
      <c r="J354" s="7">
        <v>45470</v>
      </c>
      <c r="K354" s="5" t="s">
        <v>17</v>
      </c>
      <c r="L354" s="8">
        <v>43605</v>
      </c>
      <c r="M354" s="19">
        <v>264</v>
      </c>
      <c r="N354" s="19">
        <v>314</v>
      </c>
      <c r="O354" s="24">
        <v>1600</v>
      </c>
      <c r="P354" s="24">
        <v>1100</v>
      </c>
      <c r="Q354" t="s">
        <v>1984</v>
      </c>
      <c r="R354" s="19">
        <f>VLOOKUP(A354,[1]Sheet1!$A$2:$Q$1536,15,FALSE)</f>
        <v>3008.683837890625</v>
      </c>
      <c r="S354" s="27">
        <f t="shared" si="15"/>
        <v>0.6343916279447942</v>
      </c>
      <c r="T354" s="19">
        <f>VLOOKUP(A354,[1]Sheet1!$A$2:$Q$1536,16,FALSE)</f>
        <v>9308.966111666763</v>
      </c>
      <c r="U354" s="27">
        <f t="shared" si="16"/>
        <v>0.88183435337449667</v>
      </c>
      <c r="V354" s="19">
        <f>VLOOKUP(A354,[1]Sheet1!$A$2:$Q$1536,17,FALSE)</f>
        <v>2907.91943359375</v>
      </c>
      <c r="W354" s="27">
        <f t="shared" si="17"/>
        <v>0.62172266972315471</v>
      </c>
    </row>
    <row r="355" spans="1:23" x14ac:dyDescent="0.3">
      <c r="A355" s="4" t="s">
        <v>1342</v>
      </c>
      <c r="B355" s="5">
        <v>2020</v>
      </c>
      <c r="C355" s="5" t="s">
        <v>1089</v>
      </c>
      <c r="D355" s="15" t="s">
        <v>1328</v>
      </c>
      <c r="E355" s="6">
        <v>48374</v>
      </c>
      <c r="F355" s="5" t="s">
        <v>158</v>
      </c>
      <c r="G355" s="5" t="s">
        <v>16</v>
      </c>
      <c r="H355" s="5" t="s">
        <v>17</v>
      </c>
      <c r="I355" s="5" t="s">
        <v>18</v>
      </c>
      <c r="J355" s="7">
        <v>45526</v>
      </c>
      <c r="K355" s="5" t="s">
        <v>17</v>
      </c>
      <c r="L355" s="8">
        <v>43608</v>
      </c>
      <c r="M355" s="19">
        <v>264</v>
      </c>
      <c r="N355" s="19">
        <v>314</v>
      </c>
      <c r="O355" s="24">
        <v>13700</v>
      </c>
      <c r="P355" s="24">
        <v>11600</v>
      </c>
      <c r="Q355" t="s">
        <v>1984</v>
      </c>
      <c r="R355" s="19">
        <f>VLOOKUP(A355,[1]Sheet1!$A$2:$Q$1536,15,FALSE)</f>
        <v>12921.2802734375</v>
      </c>
      <c r="S355" s="27">
        <f t="shared" si="15"/>
        <v>0.10225614223024623</v>
      </c>
      <c r="T355" s="19">
        <f>VLOOKUP(A355,[1]Sheet1!$A$2:$Q$1536,16,FALSE)</f>
        <v>13089.37151426243</v>
      </c>
      <c r="U355" s="27">
        <f t="shared" si="16"/>
        <v>0.11378479957113158</v>
      </c>
      <c r="V355" s="19">
        <f>VLOOKUP(A355,[1]Sheet1!$A$2:$Q$1536,17,FALSE)</f>
        <v>13030.419921875</v>
      </c>
      <c r="W355" s="27">
        <f t="shared" si="17"/>
        <v>0.10977542784125188</v>
      </c>
    </row>
    <row r="356" spans="1:23" x14ac:dyDescent="0.3">
      <c r="A356" s="4" t="s">
        <v>1120</v>
      </c>
      <c r="B356" s="5">
        <v>2013</v>
      </c>
      <c r="C356" s="5" t="s">
        <v>633</v>
      </c>
      <c r="D356" s="15" t="s">
        <v>1121</v>
      </c>
      <c r="E356" s="6">
        <v>139001</v>
      </c>
      <c r="F356" s="5" t="s">
        <v>79</v>
      </c>
      <c r="G356" s="5" t="s">
        <v>25</v>
      </c>
      <c r="H356" s="5" t="s">
        <v>18</v>
      </c>
      <c r="I356" s="5" t="s">
        <v>17</v>
      </c>
      <c r="J356" s="7">
        <v>45701</v>
      </c>
      <c r="K356" s="5" t="s">
        <v>17</v>
      </c>
      <c r="L356" s="8">
        <v>44451</v>
      </c>
      <c r="M356" s="19">
        <v>264</v>
      </c>
      <c r="N356" s="19">
        <v>314</v>
      </c>
      <c r="O356" s="24">
        <v>0</v>
      </c>
      <c r="P356" s="24">
        <v>3400</v>
      </c>
      <c r="Q356" t="s">
        <v>1983</v>
      </c>
      <c r="R356" s="19">
        <f>VLOOKUP(A356,[1]Sheet1!$A$2:$Q$1536,15,FALSE)</f>
        <v>1704.845092773438</v>
      </c>
      <c r="S356" s="27">
        <f t="shared" si="15"/>
        <v>-0.99431609030758805</v>
      </c>
      <c r="T356" s="19">
        <f>VLOOKUP(A356,[1]Sheet1!$A$2:$Q$1536,16,FALSE)</f>
        <v>9159.2159729571304</v>
      </c>
      <c r="U356" s="27">
        <f t="shared" si="16"/>
        <v>0.62878918784767102</v>
      </c>
      <c r="V356" s="19">
        <f>VLOOKUP(A356,[1]Sheet1!$A$2:$Q$1536,17,FALSE)</f>
        <v>1680.238037109375</v>
      </c>
      <c r="W356" s="27">
        <f t="shared" si="17"/>
        <v>-1.0235228133802075</v>
      </c>
    </row>
    <row r="357" spans="1:23" x14ac:dyDescent="0.3">
      <c r="A357" s="4" t="s">
        <v>1036</v>
      </c>
      <c r="B357" s="5">
        <v>2021</v>
      </c>
      <c r="C357" s="5" t="s">
        <v>559</v>
      </c>
      <c r="D357" s="15" t="s">
        <v>760</v>
      </c>
      <c r="E357" s="6">
        <v>84702</v>
      </c>
      <c r="F357" s="5" t="s">
        <v>15</v>
      </c>
      <c r="G357" s="5" t="s">
        <v>16</v>
      </c>
      <c r="H357" s="5" t="s">
        <v>17</v>
      </c>
      <c r="I357" s="5" t="s">
        <v>18</v>
      </c>
      <c r="J357" s="7">
        <v>45734</v>
      </c>
      <c r="K357" s="5" t="s">
        <v>17</v>
      </c>
      <c r="L357" s="8">
        <v>44662</v>
      </c>
      <c r="M357" s="19">
        <v>235</v>
      </c>
      <c r="N357" s="19">
        <v>285</v>
      </c>
      <c r="O357" s="24">
        <v>0</v>
      </c>
      <c r="P357" s="24">
        <v>20900</v>
      </c>
      <c r="Q357" t="s">
        <v>1983</v>
      </c>
      <c r="R357" s="19">
        <f>VLOOKUP(A357,[1]Sheet1!$A$2:$Q$1536,15,FALSE)</f>
        <v>26296.875</v>
      </c>
      <c r="S357" s="27">
        <f t="shared" si="15"/>
        <v>0.20522875816993463</v>
      </c>
      <c r="T357" s="19">
        <f>VLOOKUP(A357,[1]Sheet1!$A$2:$Q$1536,16,FALSE)</f>
        <v>13092.81358470337</v>
      </c>
      <c r="U357" s="27">
        <f t="shared" si="16"/>
        <v>-0.59629554524612971</v>
      </c>
      <c r="V357" s="19">
        <f>VLOOKUP(A357,[1]Sheet1!$A$2:$Q$1536,17,FALSE)</f>
        <v>26784.349609375</v>
      </c>
      <c r="W357" s="27">
        <f t="shared" si="17"/>
        <v>0.21969357834678849</v>
      </c>
    </row>
    <row r="358" spans="1:23" x14ac:dyDescent="0.3">
      <c r="A358" s="4" t="s">
        <v>185</v>
      </c>
      <c r="B358" s="5">
        <v>2017</v>
      </c>
      <c r="C358" s="5" t="s">
        <v>96</v>
      </c>
      <c r="D358" s="15" t="s">
        <v>177</v>
      </c>
      <c r="E358" s="6">
        <v>125171</v>
      </c>
      <c r="F358" s="5" t="s">
        <v>44</v>
      </c>
      <c r="G358" s="5" t="s">
        <v>28</v>
      </c>
      <c r="H358" s="5" t="s">
        <v>17</v>
      </c>
      <c r="I358" s="5" t="s">
        <v>18</v>
      </c>
      <c r="J358" s="7">
        <v>45617</v>
      </c>
      <c r="K358" s="5" t="s">
        <v>17</v>
      </c>
      <c r="L358" s="8">
        <v>43612</v>
      </c>
      <c r="M358" s="19">
        <v>264</v>
      </c>
      <c r="N358" s="19">
        <v>314</v>
      </c>
      <c r="O358" s="24">
        <v>0</v>
      </c>
      <c r="P358" s="24">
        <v>9600</v>
      </c>
      <c r="Q358" t="s">
        <v>1983</v>
      </c>
      <c r="R358" s="19">
        <f>VLOOKUP(A358,[1]Sheet1!$A$2:$Q$1536,15,FALSE)</f>
        <v>7611.48974609375</v>
      </c>
      <c r="S358" s="27">
        <f t="shared" si="15"/>
        <v>-0.26125112431856878</v>
      </c>
      <c r="T358" s="19">
        <f>VLOOKUP(A358,[1]Sheet1!$A$2:$Q$1536,16,FALSE)</f>
        <v>9334.7633824547229</v>
      </c>
      <c r="U358" s="27">
        <f t="shared" si="16"/>
        <v>-2.8413855464596571E-2</v>
      </c>
      <c r="V358" s="19">
        <f>VLOOKUP(A358,[1]Sheet1!$A$2:$Q$1536,17,FALSE)</f>
        <v>7695.8505859375</v>
      </c>
      <c r="W358" s="27">
        <f t="shared" si="17"/>
        <v>-0.24742546555437558</v>
      </c>
    </row>
    <row r="359" spans="1:23" x14ac:dyDescent="0.3">
      <c r="A359" s="4" t="s">
        <v>1415</v>
      </c>
      <c r="B359" s="5">
        <v>2013</v>
      </c>
      <c r="C359" s="5" t="s">
        <v>1086</v>
      </c>
      <c r="D359" s="15" t="s">
        <v>1411</v>
      </c>
      <c r="E359" s="6">
        <v>105906</v>
      </c>
      <c r="F359" s="5" t="s">
        <v>144</v>
      </c>
      <c r="G359" s="5" t="s">
        <v>25</v>
      </c>
      <c r="H359" s="5" t="s">
        <v>18</v>
      </c>
      <c r="I359" s="5" t="s">
        <v>17</v>
      </c>
      <c r="J359" s="7">
        <v>45351</v>
      </c>
      <c r="K359" s="5" t="s">
        <v>17</v>
      </c>
      <c r="L359" s="8">
        <v>44113</v>
      </c>
      <c r="M359" s="19">
        <v>264</v>
      </c>
      <c r="N359" s="19">
        <v>314</v>
      </c>
      <c r="O359" s="24">
        <v>2400</v>
      </c>
      <c r="P359" s="24">
        <v>2000</v>
      </c>
      <c r="Q359" t="s">
        <v>1984</v>
      </c>
      <c r="R359" s="19">
        <f>VLOOKUP(A359,[1]Sheet1!$A$2:$Q$1536,15,FALSE)</f>
        <v>1291.144897460938</v>
      </c>
      <c r="S359" s="27">
        <f t="shared" si="15"/>
        <v>-0.54901282104978277</v>
      </c>
      <c r="T359" s="19">
        <f>VLOOKUP(A359,[1]Sheet1!$A$2:$Q$1536,16,FALSE)</f>
        <v>8585.090890606356</v>
      </c>
      <c r="U359" s="27">
        <f t="shared" si="16"/>
        <v>0.76703799348375423</v>
      </c>
      <c r="V359" s="19">
        <f>VLOOKUP(A359,[1]Sheet1!$A$2:$Q$1536,17,FALSE)</f>
        <v>1336.184326171875</v>
      </c>
      <c r="W359" s="27">
        <f t="shared" si="17"/>
        <v>-0.49679947655869866</v>
      </c>
    </row>
    <row r="360" spans="1:23" x14ac:dyDescent="0.3">
      <c r="A360" s="4" t="s">
        <v>426</v>
      </c>
      <c r="B360" s="5">
        <v>2019</v>
      </c>
      <c r="C360" s="5" t="s">
        <v>391</v>
      </c>
      <c r="D360" s="15" t="s">
        <v>413</v>
      </c>
      <c r="E360" s="6">
        <v>95157</v>
      </c>
      <c r="F360" s="5" t="s">
        <v>44</v>
      </c>
      <c r="G360" s="5" t="s">
        <v>28</v>
      </c>
      <c r="H360" s="5" t="s">
        <v>17</v>
      </c>
      <c r="I360" s="5" t="s">
        <v>18</v>
      </c>
      <c r="J360" s="7">
        <v>45631</v>
      </c>
      <c r="K360" s="5" t="s">
        <v>17</v>
      </c>
      <c r="L360" s="8">
        <v>44113</v>
      </c>
      <c r="M360" s="19">
        <v>264</v>
      </c>
      <c r="N360" s="19">
        <v>314</v>
      </c>
      <c r="O360" s="24">
        <v>8200</v>
      </c>
      <c r="P360" s="24">
        <v>3000</v>
      </c>
      <c r="Q360" t="s">
        <v>1984</v>
      </c>
      <c r="R360" s="19">
        <f>VLOOKUP(A360,[1]Sheet1!$A$2:$Q$1536,15,FALSE)</f>
        <v>10860.740234375</v>
      </c>
      <c r="S360" s="27">
        <f t="shared" si="15"/>
        <v>0.72377573394999439</v>
      </c>
      <c r="T360" s="19">
        <f>VLOOKUP(A360,[1]Sheet1!$A$2:$Q$1536,16,FALSE)</f>
        <v>9626.7834393859175</v>
      </c>
      <c r="U360" s="27">
        <f t="shared" si="16"/>
        <v>0.68836943108887816</v>
      </c>
      <c r="V360" s="19">
        <f>VLOOKUP(A360,[1]Sheet1!$A$2:$Q$1536,17,FALSE)</f>
        <v>10914.6064453125</v>
      </c>
      <c r="W360" s="27">
        <f t="shared" si="17"/>
        <v>0.72513896721503768</v>
      </c>
    </row>
    <row r="361" spans="1:23" x14ac:dyDescent="0.3">
      <c r="A361" s="4" t="s">
        <v>1769</v>
      </c>
      <c r="B361" s="5">
        <v>2016</v>
      </c>
      <c r="C361" s="5" t="s">
        <v>1086</v>
      </c>
      <c r="D361" s="15" t="s">
        <v>1758</v>
      </c>
      <c r="E361" s="6">
        <v>66829</v>
      </c>
      <c r="F361" s="5" t="s">
        <v>27</v>
      </c>
      <c r="G361" s="5" t="s">
        <v>33</v>
      </c>
      <c r="H361" s="5" t="s">
        <v>17</v>
      </c>
      <c r="I361" s="5" t="s">
        <v>18</v>
      </c>
      <c r="J361" s="7">
        <v>45505</v>
      </c>
      <c r="K361" s="5" t="s">
        <v>17</v>
      </c>
      <c r="L361" s="8">
        <v>44451</v>
      </c>
      <c r="M361" s="19">
        <v>264</v>
      </c>
      <c r="N361" s="19">
        <v>314</v>
      </c>
      <c r="O361" s="24">
        <v>4000</v>
      </c>
      <c r="P361" s="24">
        <v>3500</v>
      </c>
      <c r="Q361" t="s">
        <v>1984</v>
      </c>
      <c r="R361" s="19">
        <f>VLOOKUP(A361,[1]Sheet1!$A$2:$Q$1536,15,FALSE)</f>
        <v>3520.8818359375</v>
      </c>
      <c r="S361" s="27">
        <f t="shared" si="15"/>
        <v>5.9308539481103669E-3</v>
      </c>
      <c r="T361" s="19">
        <f>VLOOKUP(A361,[1]Sheet1!$A$2:$Q$1536,16,FALSE)</f>
        <v>9650.0987702877264</v>
      </c>
      <c r="U361" s="27">
        <f t="shared" si="16"/>
        <v>0.63730941171541555</v>
      </c>
      <c r="V361" s="19">
        <f>VLOOKUP(A361,[1]Sheet1!$A$2:$Q$1536,17,FALSE)</f>
        <v>3595.61181640625</v>
      </c>
      <c r="W361" s="27">
        <f t="shared" si="17"/>
        <v>2.6591251027151288E-2</v>
      </c>
    </row>
    <row r="362" spans="1:23" x14ac:dyDescent="0.3">
      <c r="A362" s="4" t="s">
        <v>817</v>
      </c>
      <c r="B362" s="5">
        <v>2014</v>
      </c>
      <c r="C362" s="5" t="s">
        <v>559</v>
      </c>
      <c r="D362" s="15" t="s">
        <v>760</v>
      </c>
      <c r="E362" s="6">
        <v>77157</v>
      </c>
      <c r="F362" s="5" t="s">
        <v>170</v>
      </c>
      <c r="G362" s="5" t="s">
        <v>28</v>
      </c>
      <c r="H362" s="5" t="s">
        <v>17</v>
      </c>
      <c r="I362" s="5" t="s">
        <v>18</v>
      </c>
      <c r="J362" s="7">
        <v>45300</v>
      </c>
      <c r="K362" s="5" t="s">
        <v>17</v>
      </c>
      <c r="L362" s="8">
        <v>44706</v>
      </c>
      <c r="M362" s="19">
        <v>222</v>
      </c>
      <c r="N362" s="19">
        <v>272</v>
      </c>
      <c r="O362" s="24">
        <v>8200</v>
      </c>
      <c r="P362" s="24">
        <v>3800</v>
      </c>
      <c r="Q362" t="s">
        <v>1984</v>
      </c>
      <c r="R362" s="19">
        <f>VLOOKUP(A362,[1]Sheet1!$A$2:$Q$1536,15,FALSE)</f>
        <v>9073.466796875</v>
      </c>
      <c r="S362" s="27">
        <f t="shared" si="15"/>
        <v>0.58119646160949623</v>
      </c>
      <c r="T362" s="19">
        <f>VLOOKUP(A362,[1]Sheet1!$A$2:$Q$1536,16,FALSE)</f>
        <v>10285.1358182768</v>
      </c>
      <c r="U362" s="27">
        <f t="shared" si="16"/>
        <v>0.63053477687213833</v>
      </c>
      <c r="V362" s="19">
        <f>VLOOKUP(A362,[1]Sheet1!$A$2:$Q$1536,17,FALSE)</f>
        <v>9124.287109375</v>
      </c>
      <c r="W362" s="27">
        <f t="shared" si="17"/>
        <v>0.58352910704710448</v>
      </c>
    </row>
    <row r="363" spans="1:23" x14ac:dyDescent="0.3">
      <c r="A363" s="4" t="s">
        <v>1823</v>
      </c>
      <c r="B363" s="5">
        <v>2019</v>
      </c>
      <c r="C363" s="5" t="s">
        <v>920</v>
      </c>
      <c r="D363" s="15" t="s">
        <v>1824</v>
      </c>
      <c r="E363" s="6">
        <v>99188</v>
      </c>
      <c r="F363" s="5" t="s">
        <v>64</v>
      </c>
      <c r="G363" s="5" t="s">
        <v>28</v>
      </c>
      <c r="H363" s="5" t="s">
        <v>17</v>
      </c>
      <c r="I363" s="5" t="s">
        <v>18</v>
      </c>
      <c r="J363" s="7">
        <v>45566</v>
      </c>
      <c r="K363" s="5" t="s">
        <v>17</v>
      </c>
      <c r="L363" s="8">
        <v>44035</v>
      </c>
      <c r="M363" s="19">
        <v>222</v>
      </c>
      <c r="N363" s="19">
        <v>272</v>
      </c>
      <c r="O363" s="24">
        <v>12400</v>
      </c>
      <c r="P363" s="24">
        <v>7100</v>
      </c>
      <c r="Q363" t="s">
        <v>1984</v>
      </c>
      <c r="R363" s="19">
        <f>VLOOKUP(A363,[1]Sheet1!$A$2:$Q$1536,15,FALSE)</f>
        <v>10491.466796875</v>
      </c>
      <c r="S363" s="27">
        <f t="shared" si="15"/>
        <v>0.32325954630911913</v>
      </c>
      <c r="T363" s="19">
        <f>VLOOKUP(A363,[1]Sheet1!$A$2:$Q$1536,16,FALSE)</f>
        <v>9676.3583529709031</v>
      </c>
      <c r="U363" s="27">
        <f t="shared" si="16"/>
        <v>0.26625288760413585</v>
      </c>
      <c r="V363" s="19">
        <f>VLOOKUP(A363,[1]Sheet1!$A$2:$Q$1536,17,FALSE)</f>
        <v>10751.208984375</v>
      </c>
      <c r="W363" s="27">
        <f t="shared" si="17"/>
        <v>0.33960915369437922</v>
      </c>
    </row>
    <row r="364" spans="1:23" x14ac:dyDescent="0.3">
      <c r="A364" s="4" t="s">
        <v>1568</v>
      </c>
      <c r="B364" s="5">
        <v>2012</v>
      </c>
      <c r="C364" s="5" t="s">
        <v>636</v>
      </c>
      <c r="D364" s="15" t="s">
        <v>1300</v>
      </c>
      <c r="E364" s="6">
        <v>122823</v>
      </c>
      <c r="F364" s="5" t="s">
        <v>101</v>
      </c>
      <c r="G364" s="5" t="s">
        <v>16</v>
      </c>
      <c r="H364" s="5" t="s">
        <v>17</v>
      </c>
      <c r="I364" s="5" t="s">
        <v>18</v>
      </c>
      <c r="J364" s="7">
        <v>45512</v>
      </c>
      <c r="K364" s="5" t="s">
        <v>17</v>
      </c>
      <c r="L364" s="8">
        <v>44662</v>
      </c>
      <c r="M364" s="19">
        <v>235</v>
      </c>
      <c r="N364" s="19">
        <v>285</v>
      </c>
      <c r="O364" s="24">
        <v>0</v>
      </c>
      <c r="P364" s="24">
        <v>1000</v>
      </c>
      <c r="Q364" t="s">
        <v>1983</v>
      </c>
      <c r="R364" s="19">
        <f>VLOOKUP(A364,[1]Sheet1!$A$2:$Q$1536,15,FALSE)</f>
        <v>4392.73681640625</v>
      </c>
      <c r="S364" s="27">
        <f t="shared" si="15"/>
        <v>0.77235148796869835</v>
      </c>
      <c r="T364" s="19">
        <f>VLOOKUP(A364,[1]Sheet1!$A$2:$Q$1536,16,FALSE)</f>
        <v>9644.023934629311</v>
      </c>
      <c r="U364" s="27">
        <f t="shared" si="16"/>
        <v>0.89630884299143565</v>
      </c>
      <c r="V364" s="19">
        <f>VLOOKUP(A364,[1]Sheet1!$A$2:$Q$1536,17,FALSE)</f>
        <v>4510.85498046875</v>
      </c>
      <c r="W364" s="27">
        <f t="shared" si="17"/>
        <v>0.77831253624205765</v>
      </c>
    </row>
    <row r="365" spans="1:23" x14ac:dyDescent="0.3">
      <c r="A365" s="4" t="s">
        <v>750</v>
      </c>
      <c r="B365" s="5">
        <v>2015</v>
      </c>
      <c r="C365" s="5" t="s">
        <v>83</v>
      </c>
      <c r="D365" s="15" t="s">
        <v>744</v>
      </c>
      <c r="E365" s="6">
        <v>106694</v>
      </c>
      <c r="F365" s="5" t="s">
        <v>38</v>
      </c>
      <c r="G365" s="5" t="s">
        <v>25</v>
      </c>
      <c r="H365" s="5" t="s">
        <v>18</v>
      </c>
      <c r="I365" s="5" t="s">
        <v>17</v>
      </c>
      <c r="J365" s="7">
        <v>45566</v>
      </c>
      <c r="K365" s="5" t="s">
        <v>17</v>
      </c>
      <c r="L365" s="8">
        <v>44483</v>
      </c>
      <c r="M365" s="19">
        <v>264</v>
      </c>
      <c r="N365" s="19">
        <v>314</v>
      </c>
      <c r="O365" s="24">
        <v>4000</v>
      </c>
      <c r="P365" s="24">
        <v>2600</v>
      </c>
      <c r="Q365" t="s">
        <v>1984</v>
      </c>
      <c r="R365" s="19">
        <f>VLOOKUP(A365,[1]Sheet1!$A$2:$Q$1536,15,FALSE)</f>
        <v>2640.075927734375</v>
      </c>
      <c r="S365" s="27">
        <f t="shared" si="15"/>
        <v>1.5179839077115795E-2</v>
      </c>
      <c r="T365" s="19">
        <f>VLOOKUP(A365,[1]Sheet1!$A$2:$Q$1536,16,FALSE)</f>
        <v>8907.8006949411338</v>
      </c>
      <c r="U365" s="27">
        <f t="shared" si="16"/>
        <v>0.70812099540163975</v>
      </c>
      <c r="V365" s="19">
        <f>VLOOKUP(A365,[1]Sheet1!$A$2:$Q$1536,17,FALSE)</f>
        <v>2498.12890625</v>
      </c>
      <c r="W365" s="27">
        <f t="shared" si="17"/>
        <v>-4.0778958001379158E-2</v>
      </c>
    </row>
    <row r="366" spans="1:23" x14ac:dyDescent="0.3">
      <c r="A366" s="4" t="s">
        <v>1430</v>
      </c>
      <c r="B366" s="5">
        <v>2017</v>
      </c>
      <c r="C366" s="5" t="s">
        <v>1086</v>
      </c>
      <c r="D366" s="15" t="s">
        <v>1411</v>
      </c>
      <c r="E366" s="6">
        <v>83440</v>
      </c>
      <c r="F366" s="5" t="s">
        <v>32</v>
      </c>
      <c r="G366" s="5" t="s">
        <v>25</v>
      </c>
      <c r="H366" s="5" t="s">
        <v>18</v>
      </c>
      <c r="I366" s="5" t="s">
        <v>17</v>
      </c>
      <c r="J366" s="7">
        <v>45594</v>
      </c>
      <c r="K366" s="5" t="s">
        <v>17</v>
      </c>
      <c r="L366" s="8">
        <v>44113</v>
      </c>
      <c r="M366" s="19">
        <v>264</v>
      </c>
      <c r="N366" s="19">
        <v>314</v>
      </c>
      <c r="O366" s="24">
        <v>5400</v>
      </c>
      <c r="P366" s="24">
        <v>2400</v>
      </c>
      <c r="Q366" t="s">
        <v>1984</v>
      </c>
      <c r="R366" s="19">
        <f>VLOOKUP(A366,[1]Sheet1!$A$2:$Q$1536,15,FALSE)</f>
        <v>2961.04345703125</v>
      </c>
      <c r="S366" s="27">
        <f t="shared" si="15"/>
        <v>0.18947491489832899</v>
      </c>
      <c r="T366" s="19">
        <f>VLOOKUP(A366,[1]Sheet1!$A$2:$Q$1536,16,FALSE)</f>
        <v>8811.6183359360275</v>
      </c>
      <c r="U366" s="27">
        <f t="shared" si="16"/>
        <v>0.72763232490311258</v>
      </c>
      <c r="V366" s="19">
        <f>VLOOKUP(A366,[1]Sheet1!$A$2:$Q$1536,17,FALSE)</f>
        <v>2864.41845703125</v>
      </c>
      <c r="W366" s="27">
        <f t="shared" si="17"/>
        <v>0.16213359325738463</v>
      </c>
    </row>
    <row r="367" spans="1:23" x14ac:dyDescent="0.3">
      <c r="A367" s="4" t="s">
        <v>789</v>
      </c>
      <c r="B367" s="5">
        <v>2014</v>
      </c>
      <c r="C367" s="5" t="s">
        <v>391</v>
      </c>
      <c r="D367" s="15" t="s">
        <v>429</v>
      </c>
      <c r="E367" s="6">
        <v>51889</v>
      </c>
      <c r="F367" s="5" t="s">
        <v>64</v>
      </c>
      <c r="G367" s="5" t="s">
        <v>33</v>
      </c>
      <c r="H367" s="5" t="s">
        <v>17</v>
      </c>
      <c r="I367" s="5" t="s">
        <v>18</v>
      </c>
      <c r="J367" s="7">
        <v>45566</v>
      </c>
      <c r="K367" s="5" t="s">
        <v>17</v>
      </c>
      <c r="L367" s="8">
        <v>44444</v>
      </c>
      <c r="M367" s="19">
        <v>264</v>
      </c>
      <c r="N367" s="19">
        <v>314</v>
      </c>
      <c r="O367" s="24">
        <v>12200</v>
      </c>
      <c r="P367" s="24">
        <v>7200</v>
      </c>
      <c r="Q367" t="s">
        <v>1984</v>
      </c>
      <c r="R367" s="19">
        <f>VLOOKUP(A367,[1]Sheet1!$A$2:$Q$1536,15,FALSE)</f>
        <v>10818.6728515625</v>
      </c>
      <c r="S367" s="27">
        <f t="shared" si="15"/>
        <v>0.33448398904491033</v>
      </c>
      <c r="T367" s="19">
        <f>VLOOKUP(A367,[1]Sheet1!$A$2:$Q$1536,16,FALSE)</f>
        <v>12082.91427387912</v>
      </c>
      <c r="U367" s="27">
        <f t="shared" si="16"/>
        <v>0.40411726535501608</v>
      </c>
      <c r="V367" s="19">
        <f>VLOOKUP(A367,[1]Sheet1!$A$2:$Q$1536,17,FALSE)</f>
        <v>10579.4189453125</v>
      </c>
      <c r="W367" s="27">
        <f t="shared" si="17"/>
        <v>0.31943332264101743</v>
      </c>
    </row>
    <row r="368" spans="1:23" x14ac:dyDescent="0.3">
      <c r="A368" s="4" t="s">
        <v>1676</v>
      </c>
      <c r="B368" s="5">
        <v>2013</v>
      </c>
      <c r="C368" s="5" t="s">
        <v>1089</v>
      </c>
      <c r="D368" s="15" t="s">
        <v>1663</v>
      </c>
      <c r="E368" s="6">
        <v>122914</v>
      </c>
      <c r="F368" s="5" t="s">
        <v>40</v>
      </c>
      <c r="G368" s="5" t="s">
        <v>28</v>
      </c>
      <c r="H368" s="5" t="s">
        <v>17</v>
      </c>
      <c r="I368" s="5" t="s">
        <v>18</v>
      </c>
      <c r="J368" s="7">
        <v>45302</v>
      </c>
      <c r="K368" s="5" t="s">
        <v>17</v>
      </c>
      <c r="L368" s="8">
        <v>44067</v>
      </c>
      <c r="M368" s="19">
        <v>235</v>
      </c>
      <c r="N368" s="19">
        <v>285</v>
      </c>
      <c r="O368" s="24">
        <v>0</v>
      </c>
      <c r="P368" s="24">
        <v>8000</v>
      </c>
      <c r="Q368" t="s">
        <v>1983</v>
      </c>
      <c r="R368" s="19">
        <f>VLOOKUP(A368,[1]Sheet1!$A$2:$Q$1536,15,FALSE)</f>
        <v>1175.796752929688</v>
      </c>
      <c r="S368" s="27">
        <f t="shared" si="15"/>
        <v>-5.8038970001122268</v>
      </c>
      <c r="T368" s="19">
        <f>VLOOKUP(A368,[1]Sheet1!$A$2:$Q$1536,16,FALSE)</f>
        <v>8736.5793255886601</v>
      </c>
      <c r="U368" s="27">
        <f t="shared" si="16"/>
        <v>8.4309808008185202E-2</v>
      </c>
      <c r="V368" s="19">
        <f>VLOOKUP(A368,[1]Sheet1!$A$2:$Q$1536,17,FALSE)</f>
        <v>1281.388061523438</v>
      </c>
      <c r="W368" s="27">
        <f t="shared" si="17"/>
        <v>-5.2432296977145452</v>
      </c>
    </row>
    <row r="369" spans="1:23" x14ac:dyDescent="0.3">
      <c r="A369" s="4" t="s">
        <v>388</v>
      </c>
      <c r="B369" s="5">
        <v>2013</v>
      </c>
      <c r="C369" s="5" t="s">
        <v>237</v>
      </c>
      <c r="D369" s="15" t="s">
        <v>376</v>
      </c>
      <c r="E369" s="6">
        <v>101529</v>
      </c>
      <c r="F369" s="5" t="s">
        <v>246</v>
      </c>
      <c r="G369" s="5" t="s">
        <v>16</v>
      </c>
      <c r="H369" s="5" t="s">
        <v>17</v>
      </c>
      <c r="I369" s="5" t="s">
        <v>18</v>
      </c>
      <c r="J369" s="7">
        <v>45300</v>
      </c>
      <c r="K369" s="5" t="s">
        <v>17</v>
      </c>
      <c r="L369" s="8">
        <v>44081</v>
      </c>
      <c r="M369" s="19">
        <v>325</v>
      </c>
      <c r="N369" s="19">
        <v>375</v>
      </c>
      <c r="O369" s="24">
        <v>0</v>
      </c>
      <c r="P369" s="24">
        <v>24100</v>
      </c>
      <c r="Q369" t="s">
        <v>1983</v>
      </c>
      <c r="R369" s="19">
        <f>VLOOKUP(A369,[1]Sheet1!$A$2:$Q$1536,15,FALSE)</f>
        <v>10533.2568359375</v>
      </c>
      <c r="S369" s="27">
        <f t="shared" si="15"/>
        <v>-1.2879912998774807</v>
      </c>
      <c r="T369" s="19">
        <f>VLOOKUP(A369,[1]Sheet1!$A$2:$Q$1536,16,FALSE)</f>
        <v>10039.24567316807</v>
      </c>
      <c r="U369" s="27">
        <f t="shared" si="16"/>
        <v>-1.4005787670294951</v>
      </c>
      <c r="V369" s="19">
        <f>VLOOKUP(A369,[1]Sheet1!$A$2:$Q$1536,17,FALSE)</f>
        <v>10720.7578125</v>
      </c>
      <c r="W369" s="27">
        <f t="shared" si="17"/>
        <v>-1.2479754156837968</v>
      </c>
    </row>
    <row r="370" spans="1:23" x14ac:dyDescent="0.3">
      <c r="A370" s="4" t="s">
        <v>229</v>
      </c>
      <c r="B370" s="5">
        <v>2018</v>
      </c>
      <c r="C370" s="5" t="s">
        <v>223</v>
      </c>
      <c r="D370" s="15">
        <v>1500</v>
      </c>
      <c r="E370" s="6">
        <v>57382</v>
      </c>
      <c r="F370" s="5" t="s">
        <v>59</v>
      </c>
      <c r="G370" s="5" t="s">
        <v>33</v>
      </c>
      <c r="H370" s="5" t="s">
        <v>17</v>
      </c>
      <c r="I370" s="5" t="s">
        <v>18</v>
      </c>
      <c r="J370" s="7">
        <v>45692</v>
      </c>
      <c r="K370" s="5" t="s">
        <v>17</v>
      </c>
      <c r="L370" s="8">
        <v>44310</v>
      </c>
      <c r="M370" s="19">
        <v>235</v>
      </c>
      <c r="N370" s="19">
        <v>285</v>
      </c>
      <c r="O370" s="24">
        <v>17400</v>
      </c>
      <c r="P370" s="24">
        <v>15200</v>
      </c>
      <c r="Q370" t="s">
        <v>1984</v>
      </c>
      <c r="R370" s="19">
        <f>VLOOKUP(A370,[1]Sheet1!$A$2:$Q$1536,15,FALSE)</f>
        <v>17517.97265625</v>
      </c>
      <c r="S370" s="27">
        <f t="shared" si="15"/>
        <v>0.13231968685731463</v>
      </c>
      <c r="T370" s="19">
        <f>VLOOKUP(A370,[1]Sheet1!$A$2:$Q$1536,16,FALSE)</f>
        <v>13671.43975269226</v>
      </c>
      <c r="U370" s="27">
        <f t="shared" si="16"/>
        <v>-0.11180682319919719</v>
      </c>
      <c r="V370" s="19">
        <f>VLOOKUP(A370,[1]Sheet1!$A$2:$Q$1536,17,FALSE)</f>
        <v>17336.91015625</v>
      </c>
      <c r="W370" s="27">
        <f t="shared" si="17"/>
        <v>0.12325784335218687</v>
      </c>
    </row>
    <row r="371" spans="1:23" x14ac:dyDescent="0.3">
      <c r="A371" s="4" t="s">
        <v>1083</v>
      </c>
      <c r="B371" s="5">
        <v>2015</v>
      </c>
      <c r="C371" s="5" t="s">
        <v>30</v>
      </c>
      <c r="D371" s="15" t="s">
        <v>1084</v>
      </c>
      <c r="E371" s="6">
        <v>51232</v>
      </c>
      <c r="F371" s="5" t="s">
        <v>125</v>
      </c>
      <c r="G371" s="5" t="s">
        <v>16</v>
      </c>
      <c r="H371" s="5" t="s">
        <v>17</v>
      </c>
      <c r="I371" s="5" t="s">
        <v>18</v>
      </c>
      <c r="J371" s="7">
        <v>45398</v>
      </c>
      <c r="K371" s="5" t="s">
        <v>17</v>
      </c>
      <c r="L371" s="8">
        <v>43612</v>
      </c>
      <c r="M371" s="19">
        <v>264</v>
      </c>
      <c r="N371" s="19">
        <v>314</v>
      </c>
      <c r="O371" s="24">
        <v>13250</v>
      </c>
      <c r="P371" s="24">
        <v>6000</v>
      </c>
      <c r="Q371" t="s">
        <v>1984</v>
      </c>
      <c r="R371" s="19">
        <f>VLOOKUP(A371,[1]Sheet1!$A$2:$Q$1536,15,FALSE)</f>
        <v>14649.6201171875</v>
      </c>
      <c r="S371" s="27">
        <f t="shared" si="15"/>
        <v>0.59043306570382881</v>
      </c>
      <c r="T371" s="19">
        <f>VLOOKUP(A371,[1]Sheet1!$A$2:$Q$1536,16,FALSE)</f>
        <v>12047.10968442157</v>
      </c>
      <c r="U371" s="27">
        <f t="shared" si="16"/>
        <v>0.50195522767101919</v>
      </c>
      <c r="V371" s="19">
        <f>VLOOKUP(A371,[1]Sheet1!$A$2:$Q$1536,17,FALSE)</f>
        <v>14589.0830078125</v>
      </c>
      <c r="W371" s="27">
        <f t="shared" si="17"/>
        <v>0.58873357586717545</v>
      </c>
    </row>
    <row r="372" spans="1:23" x14ac:dyDescent="0.3">
      <c r="A372" s="4" t="s">
        <v>945</v>
      </c>
      <c r="B372" s="5">
        <v>2018</v>
      </c>
      <c r="C372" s="5" t="s">
        <v>96</v>
      </c>
      <c r="D372" s="15" t="s">
        <v>107</v>
      </c>
      <c r="E372" s="6">
        <v>90962</v>
      </c>
      <c r="F372" s="5" t="s">
        <v>246</v>
      </c>
      <c r="G372" s="5" t="s">
        <v>16</v>
      </c>
      <c r="H372" s="5" t="s">
        <v>17</v>
      </c>
      <c r="I372" s="5" t="s">
        <v>18</v>
      </c>
      <c r="J372" s="7">
        <v>45356</v>
      </c>
      <c r="K372" s="5" t="s">
        <v>17</v>
      </c>
      <c r="L372" s="8">
        <v>44135</v>
      </c>
      <c r="M372" s="19">
        <v>235</v>
      </c>
      <c r="N372" s="19">
        <v>285</v>
      </c>
      <c r="O372" s="24">
        <v>11400</v>
      </c>
      <c r="P372" s="24">
        <v>11200</v>
      </c>
      <c r="Q372" t="s">
        <v>1984</v>
      </c>
      <c r="R372" s="19">
        <f>VLOOKUP(A372,[1]Sheet1!$A$2:$Q$1536,15,FALSE)</f>
        <v>11112.1337890625</v>
      </c>
      <c r="S372" s="27">
        <f t="shared" si="15"/>
        <v>-7.9072311947850499E-3</v>
      </c>
      <c r="T372" s="19">
        <f>VLOOKUP(A372,[1]Sheet1!$A$2:$Q$1536,16,FALSE)</f>
        <v>10344.591620888979</v>
      </c>
      <c r="U372" s="27">
        <f t="shared" si="16"/>
        <v>-8.2691362835791649E-2</v>
      </c>
      <c r="V372" s="19">
        <f>VLOOKUP(A372,[1]Sheet1!$A$2:$Q$1536,17,FALSE)</f>
        <v>11166.2685546875</v>
      </c>
      <c r="W372" s="27">
        <f t="shared" si="17"/>
        <v>-3.0208341441277479E-3</v>
      </c>
    </row>
    <row r="373" spans="1:23" x14ac:dyDescent="0.3">
      <c r="A373" s="4" t="s">
        <v>1032</v>
      </c>
      <c r="B373" s="5">
        <v>2011</v>
      </c>
      <c r="C373" s="5" t="s">
        <v>237</v>
      </c>
      <c r="D373" s="15" t="s">
        <v>241</v>
      </c>
      <c r="E373" s="6">
        <v>94400</v>
      </c>
      <c r="F373" s="5" t="s">
        <v>103</v>
      </c>
      <c r="G373" s="5" t="s">
        <v>25</v>
      </c>
      <c r="H373" s="5" t="s">
        <v>18</v>
      </c>
      <c r="I373" s="5" t="s">
        <v>17</v>
      </c>
      <c r="J373" s="7">
        <v>45706</v>
      </c>
      <c r="K373" s="5" t="s">
        <v>17</v>
      </c>
      <c r="L373" s="8">
        <v>44113</v>
      </c>
      <c r="M373" s="19">
        <v>264</v>
      </c>
      <c r="N373" s="19">
        <v>314</v>
      </c>
      <c r="O373" s="24">
        <v>4000</v>
      </c>
      <c r="P373" s="24">
        <v>800</v>
      </c>
      <c r="Q373" t="s">
        <v>1984</v>
      </c>
      <c r="R373" s="19">
        <f>VLOOKUP(A373,[1]Sheet1!$A$2:$Q$1536,15,FALSE)</f>
        <v>5079.95068359375</v>
      </c>
      <c r="S373" s="27">
        <f t="shared" si="15"/>
        <v>0.84251815621287696</v>
      </c>
      <c r="T373" s="19">
        <f>VLOOKUP(A373,[1]Sheet1!$A$2:$Q$1536,16,FALSE)</f>
        <v>9328.7827270049402</v>
      </c>
      <c r="U373" s="27">
        <f t="shared" si="16"/>
        <v>0.9142439026172019</v>
      </c>
      <c r="V373" s="19">
        <f>VLOOKUP(A373,[1]Sheet1!$A$2:$Q$1536,17,FALSE)</f>
        <v>4953.14306640625</v>
      </c>
      <c r="W373" s="27">
        <f t="shared" si="17"/>
        <v>0.8384863935334621</v>
      </c>
    </row>
    <row r="374" spans="1:23" x14ac:dyDescent="0.3">
      <c r="A374" s="4" t="s">
        <v>1767</v>
      </c>
      <c r="B374" s="5">
        <v>2019</v>
      </c>
      <c r="C374" s="5" t="s">
        <v>1086</v>
      </c>
      <c r="D374" s="15" t="s">
        <v>1758</v>
      </c>
      <c r="E374" s="6">
        <v>83905</v>
      </c>
      <c r="F374" s="5" t="s">
        <v>36</v>
      </c>
      <c r="G374" s="5" t="s">
        <v>28</v>
      </c>
      <c r="H374" s="5" t="s">
        <v>17</v>
      </c>
      <c r="I374" s="5" t="s">
        <v>18</v>
      </c>
      <c r="J374" s="7">
        <v>45701</v>
      </c>
      <c r="K374" s="5" t="s">
        <v>17</v>
      </c>
      <c r="L374" s="8">
        <v>43608</v>
      </c>
      <c r="M374" s="19">
        <v>264</v>
      </c>
      <c r="N374" s="19">
        <v>314</v>
      </c>
      <c r="O374" s="24">
        <v>7000</v>
      </c>
      <c r="P374" s="24">
        <v>6300</v>
      </c>
      <c r="Q374" t="s">
        <v>1984</v>
      </c>
      <c r="R374" s="19">
        <f>VLOOKUP(A374,[1]Sheet1!$A$2:$Q$1536,15,FALSE)</f>
        <v>3847.917724609375</v>
      </c>
      <c r="S374" s="27">
        <f t="shared" si="15"/>
        <v>-0.63724914379232223</v>
      </c>
      <c r="T374" s="19">
        <f>VLOOKUP(A374,[1]Sheet1!$A$2:$Q$1536,16,FALSE)</f>
        <v>8994.8508749685261</v>
      </c>
      <c r="U374" s="27">
        <f t="shared" si="16"/>
        <v>0.29959928323747287</v>
      </c>
      <c r="V374" s="19">
        <f>VLOOKUP(A374,[1]Sheet1!$A$2:$Q$1536,17,FALSE)</f>
        <v>3730.173828125</v>
      </c>
      <c r="W374" s="27">
        <f t="shared" si="17"/>
        <v>-0.68892933420390823</v>
      </c>
    </row>
    <row r="375" spans="1:23" x14ac:dyDescent="0.3">
      <c r="A375" s="4" t="s">
        <v>1295</v>
      </c>
      <c r="B375" s="5">
        <v>2014</v>
      </c>
      <c r="C375" s="5" t="s">
        <v>636</v>
      </c>
      <c r="D375" s="15" t="s">
        <v>1296</v>
      </c>
      <c r="E375" s="6">
        <v>83232</v>
      </c>
      <c r="F375" s="5" t="s">
        <v>115</v>
      </c>
      <c r="G375" s="5" t="s">
        <v>16</v>
      </c>
      <c r="H375" s="5" t="s">
        <v>17</v>
      </c>
      <c r="I375" s="5" t="s">
        <v>18</v>
      </c>
      <c r="J375" s="7">
        <v>45300</v>
      </c>
      <c r="K375" s="5" t="s">
        <v>17</v>
      </c>
      <c r="L375" s="8">
        <v>43935</v>
      </c>
      <c r="M375" s="19">
        <v>222</v>
      </c>
      <c r="N375" s="19">
        <v>272</v>
      </c>
      <c r="O375" s="24">
        <v>10000</v>
      </c>
      <c r="P375" s="24">
        <v>7200</v>
      </c>
      <c r="Q375" t="s">
        <v>1984</v>
      </c>
      <c r="R375" s="19">
        <f>VLOOKUP(A375,[1]Sheet1!$A$2:$Q$1536,15,FALSE)</f>
        <v>7644.65625</v>
      </c>
      <c r="S375" s="27">
        <f t="shared" si="15"/>
        <v>5.816563040359074E-2</v>
      </c>
      <c r="T375" s="19">
        <f>VLOOKUP(A375,[1]Sheet1!$A$2:$Q$1536,16,FALSE)</f>
        <v>9815.0376074678061</v>
      </c>
      <c r="U375" s="27">
        <f t="shared" si="16"/>
        <v>0.26643174606668296</v>
      </c>
      <c r="V375" s="19">
        <f>VLOOKUP(A375,[1]Sheet1!$A$2:$Q$1536,17,FALSE)</f>
        <v>7710.37646484375</v>
      </c>
      <c r="W375" s="27">
        <f t="shared" si="17"/>
        <v>6.6193455944837928E-2</v>
      </c>
    </row>
    <row r="376" spans="1:23" x14ac:dyDescent="0.3">
      <c r="A376" s="4" t="s">
        <v>69</v>
      </c>
      <c r="B376" s="5">
        <v>2015</v>
      </c>
      <c r="C376" s="5" t="s">
        <v>46</v>
      </c>
      <c r="D376" s="15">
        <v>200</v>
      </c>
      <c r="E376" s="6">
        <v>92219</v>
      </c>
      <c r="F376" s="5" t="s">
        <v>40</v>
      </c>
      <c r="G376" s="5" t="s">
        <v>28</v>
      </c>
      <c r="H376" s="5" t="s">
        <v>17</v>
      </c>
      <c r="I376" s="5" t="s">
        <v>18</v>
      </c>
      <c r="J376" s="7">
        <v>45342</v>
      </c>
      <c r="K376" s="5" t="s">
        <v>17</v>
      </c>
      <c r="L376" s="8">
        <v>44067</v>
      </c>
      <c r="M376" s="19">
        <v>235</v>
      </c>
      <c r="N376" s="19">
        <v>285</v>
      </c>
      <c r="O376" s="24">
        <v>7600</v>
      </c>
      <c r="P376" s="24">
        <v>5300</v>
      </c>
      <c r="Q376" t="s">
        <v>1984</v>
      </c>
      <c r="R376" s="19">
        <f>VLOOKUP(A376,[1]Sheet1!$A$2:$Q$1536,15,FALSE)</f>
        <v>3107.82763671875</v>
      </c>
      <c r="S376" s="27">
        <f t="shared" si="15"/>
        <v>-0.70537128165696783</v>
      </c>
      <c r="T376" s="19">
        <f>VLOOKUP(A376,[1]Sheet1!$A$2:$Q$1536,16,FALSE)</f>
        <v>9159.5236117244458</v>
      </c>
      <c r="U376" s="27">
        <f t="shared" si="16"/>
        <v>0.42136728669863877</v>
      </c>
      <c r="V376" s="19">
        <f>VLOOKUP(A376,[1]Sheet1!$A$2:$Q$1536,17,FALSE)</f>
        <v>2955.51025390625</v>
      </c>
      <c r="W376" s="27">
        <f t="shared" si="17"/>
        <v>-0.79326056913356191</v>
      </c>
    </row>
    <row r="377" spans="1:23" x14ac:dyDescent="0.3">
      <c r="A377" s="4" t="s">
        <v>1353</v>
      </c>
      <c r="B377" s="5">
        <v>2014</v>
      </c>
      <c r="C377" s="5" t="s">
        <v>1089</v>
      </c>
      <c r="D377" s="15" t="s">
        <v>1328</v>
      </c>
      <c r="E377" s="6">
        <v>162609</v>
      </c>
      <c r="F377" s="5" t="s">
        <v>73</v>
      </c>
      <c r="G377" s="5" t="s">
        <v>25</v>
      </c>
      <c r="H377" s="5" t="s">
        <v>18</v>
      </c>
      <c r="I377" s="5" t="s">
        <v>17</v>
      </c>
      <c r="J377" s="7">
        <v>45505</v>
      </c>
      <c r="K377" s="5" t="s">
        <v>17</v>
      </c>
      <c r="L377" s="8">
        <v>44067</v>
      </c>
      <c r="M377" s="19">
        <v>235</v>
      </c>
      <c r="N377" s="19">
        <v>285</v>
      </c>
      <c r="O377" s="24">
        <v>1700</v>
      </c>
      <c r="P377" s="24">
        <v>1300</v>
      </c>
      <c r="Q377" t="s">
        <v>1984</v>
      </c>
      <c r="R377" s="19">
        <f>VLOOKUP(A377,[1]Sheet1!$A$2:$Q$1536,15,FALSE)</f>
        <v>977.668701171875</v>
      </c>
      <c r="S377" s="27">
        <f t="shared" si="15"/>
        <v>-0.32969378936010235</v>
      </c>
      <c r="T377" s="19">
        <f>VLOOKUP(A377,[1]Sheet1!$A$2:$Q$1536,16,FALSE)</f>
        <v>8565.006194416419</v>
      </c>
      <c r="U377" s="27">
        <f t="shared" si="16"/>
        <v>0.84821960772807403</v>
      </c>
      <c r="V377" s="19">
        <f>VLOOKUP(A377,[1]Sheet1!$A$2:$Q$1536,17,FALSE)</f>
        <v>1180.456665039062</v>
      </c>
      <c r="W377" s="27">
        <f t="shared" si="17"/>
        <v>-0.10126871955692011</v>
      </c>
    </row>
    <row r="378" spans="1:23" x14ac:dyDescent="0.3">
      <c r="A378" s="4" t="s">
        <v>129</v>
      </c>
      <c r="B378" s="5">
        <v>2017</v>
      </c>
      <c r="C378" s="5" t="s">
        <v>96</v>
      </c>
      <c r="D378" s="15" t="s">
        <v>130</v>
      </c>
      <c r="E378" s="6">
        <v>198605</v>
      </c>
      <c r="F378" s="5" t="s">
        <v>27</v>
      </c>
      <c r="G378" s="5" t="s">
        <v>25</v>
      </c>
      <c r="H378" s="5" t="s">
        <v>18</v>
      </c>
      <c r="I378" s="5" t="s">
        <v>17</v>
      </c>
      <c r="J378" s="7">
        <v>45384</v>
      </c>
      <c r="K378" s="5" t="s">
        <v>17</v>
      </c>
      <c r="L378" s="8">
        <v>44307</v>
      </c>
      <c r="M378" s="19">
        <v>235</v>
      </c>
      <c r="N378" s="19">
        <v>285</v>
      </c>
      <c r="O378" s="24">
        <v>2000</v>
      </c>
      <c r="P378" s="24">
        <v>1500</v>
      </c>
      <c r="Q378" t="s">
        <v>1984</v>
      </c>
      <c r="R378" s="19">
        <f>VLOOKUP(A378,[1]Sheet1!$A$2:$Q$1536,15,FALSE)</f>
        <v>3428.01708984375</v>
      </c>
      <c r="S378" s="27">
        <f t="shared" si="15"/>
        <v>0.56242925263001808</v>
      </c>
      <c r="T378" s="19">
        <f>VLOOKUP(A378,[1]Sheet1!$A$2:$Q$1536,16,FALSE)</f>
        <v>9043.1476504836191</v>
      </c>
      <c r="U378" s="27">
        <f t="shared" si="16"/>
        <v>0.83412855147623499</v>
      </c>
      <c r="V378" s="19">
        <f>VLOOKUP(A378,[1]Sheet1!$A$2:$Q$1536,17,FALSE)</f>
        <v>3351.8466796875</v>
      </c>
      <c r="W378" s="27">
        <f t="shared" si="17"/>
        <v>0.55248549729612084</v>
      </c>
    </row>
    <row r="379" spans="1:23" x14ac:dyDescent="0.3">
      <c r="A379" s="4" t="s">
        <v>1240</v>
      </c>
      <c r="B379" s="5">
        <v>2018</v>
      </c>
      <c r="C379" s="5" t="s">
        <v>920</v>
      </c>
      <c r="D379" s="15" t="s">
        <v>1241</v>
      </c>
      <c r="E379" s="6">
        <v>70988</v>
      </c>
      <c r="F379" s="5" t="s">
        <v>27</v>
      </c>
      <c r="G379" s="5" t="s">
        <v>28</v>
      </c>
      <c r="H379" s="5" t="s">
        <v>17</v>
      </c>
      <c r="I379" s="5" t="s">
        <v>18</v>
      </c>
      <c r="J379" s="7">
        <v>45622</v>
      </c>
      <c r="K379" s="5" t="s">
        <v>17</v>
      </c>
      <c r="L379" s="8">
        <v>44113</v>
      </c>
      <c r="M379" s="19">
        <v>264</v>
      </c>
      <c r="N379" s="19">
        <v>314</v>
      </c>
      <c r="O379" s="24">
        <v>16100</v>
      </c>
      <c r="P379" s="24">
        <v>11300</v>
      </c>
      <c r="Q379" t="s">
        <v>1984</v>
      </c>
      <c r="R379" s="19">
        <f>VLOOKUP(A379,[1]Sheet1!$A$2:$Q$1536,15,FALSE)</f>
        <v>7490.38330078125</v>
      </c>
      <c r="S379" s="27">
        <f t="shared" si="15"/>
        <v>-0.50860103498594067</v>
      </c>
      <c r="T379" s="19">
        <f>VLOOKUP(A379,[1]Sheet1!$A$2:$Q$1536,16,FALSE)</f>
        <v>9649.4254255296346</v>
      </c>
      <c r="U379" s="27">
        <f t="shared" si="16"/>
        <v>-0.17105418215922108</v>
      </c>
      <c r="V379" s="19">
        <f>VLOOKUP(A379,[1]Sheet1!$A$2:$Q$1536,17,FALSE)</f>
        <v>7454.77392578125</v>
      </c>
      <c r="W379" s="27">
        <f t="shared" si="17"/>
        <v>-0.51580720119769097</v>
      </c>
    </row>
    <row r="380" spans="1:23" x14ac:dyDescent="0.3">
      <c r="A380" s="4" t="s">
        <v>1438</v>
      </c>
      <c r="B380" s="5">
        <v>2015</v>
      </c>
      <c r="C380" s="5" t="s">
        <v>1086</v>
      </c>
      <c r="D380" s="15" t="s">
        <v>1439</v>
      </c>
      <c r="E380" s="6">
        <v>99848</v>
      </c>
      <c r="F380" s="5" t="s">
        <v>32</v>
      </c>
      <c r="G380" s="5" t="s">
        <v>25</v>
      </c>
      <c r="H380" s="5" t="s">
        <v>18</v>
      </c>
      <c r="I380" s="5" t="s">
        <v>17</v>
      </c>
      <c r="J380" s="7">
        <v>45594</v>
      </c>
      <c r="K380" s="5" t="s">
        <v>17</v>
      </c>
      <c r="L380" s="8">
        <v>44307</v>
      </c>
      <c r="M380" s="19">
        <v>235</v>
      </c>
      <c r="N380" s="19">
        <v>285</v>
      </c>
      <c r="O380" s="24">
        <v>3600</v>
      </c>
      <c r="P380" s="24">
        <v>2700</v>
      </c>
      <c r="Q380" t="s">
        <v>1984</v>
      </c>
      <c r="R380" s="19">
        <f>VLOOKUP(A380,[1]Sheet1!$A$2:$Q$1536,15,FALSE)</f>
        <v>1700.63427734375</v>
      </c>
      <c r="S380" s="27">
        <f t="shared" si="15"/>
        <v>-0.58764293767921494</v>
      </c>
      <c r="T380" s="19">
        <f>VLOOKUP(A380,[1]Sheet1!$A$2:$Q$1536,16,FALSE)</f>
        <v>8746.0489220570653</v>
      </c>
      <c r="U380" s="27">
        <f t="shared" si="16"/>
        <v>0.69128917250957223</v>
      </c>
      <c r="V380" s="19">
        <f>VLOOKUP(A380,[1]Sheet1!$A$2:$Q$1536,17,FALSE)</f>
        <v>1678.0625</v>
      </c>
      <c r="W380" s="27">
        <f t="shared" si="17"/>
        <v>-0.60899847294126408</v>
      </c>
    </row>
    <row r="381" spans="1:23" x14ac:dyDescent="0.3">
      <c r="A381" s="4" t="s">
        <v>1389</v>
      </c>
      <c r="B381" s="5">
        <v>2013</v>
      </c>
      <c r="C381" s="5" t="s">
        <v>1089</v>
      </c>
      <c r="D381" s="15" t="s">
        <v>1363</v>
      </c>
      <c r="E381" s="6">
        <v>93236</v>
      </c>
      <c r="F381" s="5" t="s">
        <v>101</v>
      </c>
      <c r="G381" s="5" t="s">
        <v>16</v>
      </c>
      <c r="H381" s="5" t="s">
        <v>17</v>
      </c>
      <c r="I381" s="5" t="s">
        <v>18</v>
      </c>
      <c r="J381" s="7">
        <v>45393</v>
      </c>
      <c r="K381" s="5" t="s">
        <v>17</v>
      </c>
      <c r="L381" s="8">
        <v>43612</v>
      </c>
      <c r="M381" s="19">
        <v>264</v>
      </c>
      <c r="N381" s="19">
        <v>314</v>
      </c>
      <c r="O381" s="24">
        <v>6700</v>
      </c>
      <c r="P381" s="24">
        <v>6056.4425770308098</v>
      </c>
      <c r="Q381" t="s">
        <v>1984</v>
      </c>
      <c r="R381" s="19">
        <f>VLOOKUP(A381,[1]Sheet1!$A$2:$Q$1536,15,FALSE)</f>
        <v>5442.64404296875</v>
      </c>
      <c r="S381" s="27">
        <f t="shared" si="15"/>
        <v>-0.11277579963271982</v>
      </c>
      <c r="T381" s="19">
        <f>VLOOKUP(A381,[1]Sheet1!$A$2:$Q$1536,16,FALSE)</f>
        <v>9642.7512849917275</v>
      </c>
      <c r="U381" s="27">
        <f t="shared" si="16"/>
        <v>0.37191757849678836</v>
      </c>
      <c r="V381" s="19">
        <f>VLOOKUP(A381,[1]Sheet1!$A$2:$Q$1536,17,FALSE)</f>
        <v>5501.13671875</v>
      </c>
      <c r="W381" s="27">
        <f t="shared" si="17"/>
        <v>-0.10094383882300413</v>
      </c>
    </row>
    <row r="382" spans="1:23" x14ac:dyDescent="0.3">
      <c r="A382" s="4" t="s">
        <v>1735</v>
      </c>
      <c r="B382" s="5">
        <v>2016</v>
      </c>
      <c r="C382" s="5" t="s">
        <v>1086</v>
      </c>
      <c r="D382" s="15" t="s">
        <v>1087</v>
      </c>
      <c r="E382" s="6">
        <v>80628</v>
      </c>
      <c r="F382" s="5" t="s">
        <v>164</v>
      </c>
      <c r="G382" s="5" t="s">
        <v>28</v>
      </c>
      <c r="H382" s="5" t="s">
        <v>17</v>
      </c>
      <c r="I382" s="5" t="s">
        <v>18</v>
      </c>
      <c r="J382" s="7">
        <v>45314</v>
      </c>
      <c r="K382" s="5" t="s">
        <v>17</v>
      </c>
      <c r="L382" s="8">
        <v>44054</v>
      </c>
      <c r="M382" s="19">
        <v>235</v>
      </c>
      <c r="N382" s="19">
        <v>285</v>
      </c>
      <c r="O382" s="24">
        <v>6100</v>
      </c>
      <c r="P382" s="24">
        <v>2800</v>
      </c>
      <c r="Q382" t="s">
        <v>1984</v>
      </c>
      <c r="R382" s="19">
        <f>VLOOKUP(A382,[1]Sheet1!$A$2:$Q$1536,15,FALSE)</f>
        <v>5459.39892578125</v>
      </c>
      <c r="S382" s="27">
        <f t="shared" si="15"/>
        <v>0.48712302616733311</v>
      </c>
      <c r="T382" s="19">
        <f>VLOOKUP(A382,[1]Sheet1!$A$2:$Q$1536,16,FALSE)</f>
        <v>8912.0377618539787</v>
      </c>
      <c r="U382" s="27">
        <f t="shared" si="16"/>
        <v>0.68581820737062116</v>
      </c>
      <c r="V382" s="19">
        <f>VLOOKUP(A382,[1]Sheet1!$A$2:$Q$1536,17,FALSE)</f>
        <v>5436.36328125</v>
      </c>
      <c r="W382" s="27">
        <f t="shared" si="17"/>
        <v>0.48494979913185876</v>
      </c>
    </row>
    <row r="383" spans="1:23" x14ac:dyDescent="0.3">
      <c r="A383" s="4" t="s">
        <v>137</v>
      </c>
      <c r="B383" s="5">
        <v>2017</v>
      </c>
      <c r="C383" s="5" t="s">
        <v>96</v>
      </c>
      <c r="D383" s="15" t="s">
        <v>127</v>
      </c>
      <c r="E383" s="6">
        <v>90130</v>
      </c>
      <c r="F383" s="5" t="s">
        <v>42</v>
      </c>
      <c r="G383" s="5" t="s">
        <v>25</v>
      </c>
      <c r="H383" s="5" t="s">
        <v>18</v>
      </c>
      <c r="I383" s="5" t="s">
        <v>17</v>
      </c>
      <c r="J383" s="7">
        <v>45645</v>
      </c>
      <c r="K383" s="5" t="s">
        <v>17</v>
      </c>
      <c r="L383" s="8">
        <v>44067</v>
      </c>
      <c r="M383" s="19">
        <v>235</v>
      </c>
      <c r="N383" s="19">
        <v>285</v>
      </c>
      <c r="O383" s="24">
        <v>0</v>
      </c>
      <c r="P383" s="24">
        <v>9000</v>
      </c>
      <c r="Q383" t="s">
        <v>1983</v>
      </c>
      <c r="R383" s="19">
        <f>VLOOKUP(A383,[1]Sheet1!$A$2:$Q$1536,15,FALSE)</f>
        <v>4915.173828125</v>
      </c>
      <c r="S383" s="27">
        <f t="shared" si="15"/>
        <v>-0.83106443733511781</v>
      </c>
      <c r="T383" s="19">
        <f>VLOOKUP(A383,[1]Sheet1!$A$2:$Q$1536,16,FALSE)</f>
        <v>9509.815242209901</v>
      </c>
      <c r="U383" s="27">
        <f t="shared" si="16"/>
        <v>5.360937402306773E-2</v>
      </c>
      <c r="V383" s="19">
        <f>VLOOKUP(A383,[1]Sheet1!$A$2:$Q$1536,17,FALSE)</f>
        <v>4901.34814453125</v>
      </c>
      <c r="W383" s="27">
        <f t="shared" si="17"/>
        <v>-0.83622948923591156</v>
      </c>
    </row>
    <row r="384" spans="1:23" x14ac:dyDescent="0.3">
      <c r="A384" s="4" t="s">
        <v>902</v>
      </c>
      <c r="B384" s="5">
        <v>2013</v>
      </c>
      <c r="C384" s="5" t="s">
        <v>391</v>
      </c>
      <c r="D384" s="15" t="s">
        <v>582</v>
      </c>
      <c r="E384" s="6">
        <v>122574</v>
      </c>
      <c r="F384" s="5" t="s">
        <v>144</v>
      </c>
      <c r="G384" s="5" t="s">
        <v>22</v>
      </c>
      <c r="H384" s="5" t="s">
        <v>18</v>
      </c>
      <c r="I384" s="5" t="s">
        <v>17</v>
      </c>
      <c r="J384" s="7">
        <v>45342</v>
      </c>
      <c r="K384" s="5" t="s">
        <v>17</v>
      </c>
      <c r="L384" s="8">
        <v>43950</v>
      </c>
      <c r="M384" s="19">
        <v>264</v>
      </c>
      <c r="N384" s="19">
        <v>314</v>
      </c>
      <c r="O384" s="24">
        <v>2600</v>
      </c>
      <c r="P384" s="24">
        <v>2600</v>
      </c>
      <c r="Q384" t="s">
        <v>1984</v>
      </c>
      <c r="R384" s="19">
        <f>VLOOKUP(A384,[1]Sheet1!$A$2:$Q$1536,15,FALSE)</f>
        <v>1677.634887695312</v>
      </c>
      <c r="S384" s="27">
        <f t="shared" si="15"/>
        <v>-0.5498008649377859</v>
      </c>
      <c r="T384" s="19">
        <f>VLOOKUP(A384,[1]Sheet1!$A$2:$Q$1536,16,FALSE)</f>
        <v>9223.2539426401854</v>
      </c>
      <c r="U384" s="27">
        <f t="shared" si="16"/>
        <v>0.71810382581142052</v>
      </c>
      <c r="V384" s="19">
        <f>VLOOKUP(A384,[1]Sheet1!$A$2:$Q$1536,17,FALSE)</f>
        <v>1608.424194335938</v>
      </c>
      <c r="W384" s="27">
        <f t="shared" si="17"/>
        <v>-0.61648898913352213</v>
      </c>
    </row>
    <row r="385" spans="1:23" x14ac:dyDescent="0.3">
      <c r="A385" s="4" t="s">
        <v>1259</v>
      </c>
      <c r="B385" s="5">
        <v>2014</v>
      </c>
      <c r="C385" s="5" t="s">
        <v>30</v>
      </c>
      <c r="D385" s="15" t="s">
        <v>1260</v>
      </c>
      <c r="E385" s="6">
        <v>115748</v>
      </c>
      <c r="F385" s="5" t="s">
        <v>92</v>
      </c>
      <c r="G385" s="5" t="s">
        <v>28</v>
      </c>
      <c r="H385" s="5" t="s">
        <v>17</v>
      </c>
      <c r="I385" s="5" t="s">
        <v>18</v>
      </c>
      <c r="J385" s="7">
        <v>45692</v>
      </c>
      <c r="K385" s="5" t="s">
        <v>17</v>
      </c>
      <c r="L385" s="8">
        <v>44128</v>
      </c>
      <c r="M385" s="19">
        <v>264</v>
      </c>
      <c r="N385" s="19">
        <v>314</v>
      </c>
      <c r="O385" s="24">
        <v>9200</v>
      </c>
      <c r="P385" s="24">
        <v>6300</v>
      </c>
      <c r="Q385" t="s">
        <v>1984</v>
      </c>
      <c r="R385" s="19">
        <f>VLOOKUP(A385,[1]Sheet1!$A$2:$Q$1536,15,FALSE)</f>
        <v>5904.10400390625</v>
      </c>
      <c r="S385" s="27">
        <f t="shared" si="15"/>
        <v>-6.7054373674958784E-2</v>
      </c>
      <c r="T385" s="19">
        <f>VLOOKUP(A385,[1]Sheet1!$A$2:$Q$1536,16,FALSE)</f>
        <v>9846.7986587217983</v>
      </c>
      <c r="U385" s="27">
        <f t="shared" si="16"/>
        <v>0.36019814984032628</v>
      </c>
      <c r="V385" s="19">
        <f>VLOOKUP(A385,[1]Sheet1!$A$2:$Q$1536,17,FALSE)</f>
        <v>6093.31884765625</v>
      </c>
      <c r="W385" s="27">
        <f t="shared" si="17"/>
        <v>-3.391930695096456E-2</v>
      </c>
    </row>
    <row r="386" spans="1:23" x14ac:dyDescent="0.3">
      <c r="A386" s="4" t="s">
        <v>1338</v>
      </c>
      <c r="B386" s="5">
        <v>2020</v>
      </c>
      <c r="C386" s="5" t="s">
        <v>1089</v>
      </c>
      <c r="D386" s="15" t="s">
        <v>1328</v>
      </c>
      <c r="E386" s="6">
        <v>68169</v>
      </c>
      <c r="F386" s="5" t="s">
        <v>246</v>
      </c>
      <c r="G386" s="5" t="s">
        <v>16</v>
      </c>
      <c r="H386" s="5" t="s">
        <v>17</v>
      </c>
      <c r="I386" s="5" t="s">
        <v>18</v>
      </c>
      <c r="J386" s="7">
        <v>45547</v>
      </c>
      <c r="K386" s="5" t="s">
        <v>17</v>
      </c>
      <c r="L386" s="8">
        <v>44128</v>
      </c>
      <c r="M386" s="19">
        <v>264</v>
      </c>
      <c r="N386" s="19">
        <v>314</v>
      </c>
      <c r="O386" s="24">
        <v>12100</v>
      </c>
      <c r="P386" s="24">
        <v>11600</v>
      </c>
      <c r="Q386" t="s">
        <v>1984</v>
      </c>
      <c r="R386" s="19">
        <f>VLOOKUP(A386,[1]Sheet1!$A$2:$Q$1536,15,FALSE)</f>
        <v>11584.853515625</v>
      </c>
      <c r="S386" s="27">
        <f t="shared" si="15"/>
        <v>-1.3074385752544278E-3</v>
      </c>
      <c r="T386" s="19">
        <f>VLOOKUP(A386,[1]Sheet1!$A$2:$Q$1536,16,FALSE)</f>
        <v>11211.095711129539</v>
      </c>
      <c r="U386" s="27">
        <f t="shared" si="16"/>
        <v>-3.4689230998570957E-2</v>
      </c>
      <c r="V386" s="19">
        <f>VLOOKUP(A386,[1]Sheet1!$A$2:$Q$1536,17,FALSE)</f>
        <v>11519.302734375</v>
      </c>
      <c r="W386" s="27">
        <f t="shared" si="17"/>
        <v>-7.0053949866418167E-3</v>
      </c>
    </row>
    <row r="387" spans="1:23" x14ac:dyDescent="0.3">
      <c r="A387" s="4" t="s">
        <v>493</v>
      </c>
      <c r="B387" s="5">
        <v>2020</v>
      </c>
      <c r="C387" s="5" t="s">
        <v>391</v>
      </c>
      <c r="D387" s="15" t="s">
        <v>394</v>
      </c>
      <c r="E387" s="6">
        <v>79304</v>
      </c>
      <c r="F387" s="5" t="s">
        <v>77</v>
      </c>
      <c r="G387" s="5" t="s">
        <v>28</v>
      </c>
      <c r="H387" s="5" t="s">
        <v>17</v>
      </c>
      <c r="I387" s="5" t="s">
        <v>18</v>
      </c>
      <c r="J387" s="7">
        <v>45482</v>
      </c>
      <c r="K387" s="5" t="s">
        <v>17</v>
      </c>
      <c r="L387" s="8">
        <v>44113</v>
      </c>
      <c r="M387" s="19">
        <v>264</v>
      </c>
      <c r="N387" s="19">
        <v>314</v>
      </c>
      <c r="O387" s="24">
        <v>10300</v>
      </c>
      <c r="P387" s="24">
        <v>8200</v>
      </c>
      <c r="Q387" t="s">
        <v>1984</v>
      </c>
      <c r="R387" s="19">
        <f>VLOOKUP(A387,[1]Sheet1!$A$2:$Q$1536,15,FALSE)</f>
        <v>10307.2880859375</v>
      </c>
      <c r="S387" s="27">
        <f t="shared" ref="S387:S450" si="18">(R387-$P387)/R387</f>
        <v>0.20444641387413318</v>
      </c>
      <c r="T387" s="19">
        <f>VLOOKUP(A387,[1]Sheet1!$A$2:$Q$1536,16,FALSE)</f>
        <v>10965.92179585472</v>
      </c>
      <c r="U387" s="27">
        <f t="shared" ref="U387:U450" si="19">(T387-$P387)/T387</f>
        <v>0.2522288456315892</v>
      </c>
      <c r="V387" s="19">
        <f>VLOOKUP(A387,[1]Sheet1!$A$2:$Q$1536,17,FALSE)</f>
        <v>10249.51171875</v>
      </c>
      <c r="W387" s="27">
        <f t="shared" ref="W387:W450" si="20">(V387-$P387)/V387</f>
        <v>0.19996188842837406</v>
      </c>
    </row>
    <row r="388" spans="1:23" x14ac:dyDescent="0.3">
      <c r="A388" s="4" t="s">
        <v>1693</v>
      </c>
      <c r="B388" s="5">
        <v>2015</v>
      </c>
      <c r="C388" s="5" t="s">
        <v>1089</v>
      </c>
      <c r="D388" s="15" t="s">
        <v>1090</v>
      </c>
      <c r="E388" s="6">
        <v>91590</v>
      </c>
      <c r="F388" s="5" t="s">
        <v>27</v>
      </c>
      <c r="G388" s="5" t="s">
        <v>28</v>
      </c>
      <c r="H388" s="5" t="s">
        <v>17</v>
      </c>
      <c r="I388" s="5" t="s">
        <v>18</v>
      </c>
      <c r="J388" s="7">
        <v>45575</v>
      </c>
      <c r="K388" s="5" t="s">
        <v>17</v>
      </c>
      <c r="L388" s="8">
        <v>44067</v>
      </c>
      <c r="M388" s="19">
        <v>235</v>
      </c>
      <c r="N388" s="19">
        <v>285</v>
      </c>
      <c r="O388" s="24">
        <v>3000</v>
      </c>
      <c r="P388" s="24">
        <v>1100</v>
      </c>
      <c r="Q388" t="s">
        <v>1984</v>
      </c>
      <c r="R388" s="19">
        <f>VLOOKUP(A388,[1]Sheet1!$A$2:$Q$1536,15,FALSE)</f>
        <v>2519.216552734375</v>
      </c>
      <c r="S388" s="27">
        <f t="shared" si="18"/>
        <v>0.56335631456293334</v>
      </c>
      <c r="T388" s="19">
        <f>VLOOKUP(A388,[1]Sheet1!$A$2:$Q$1536,16,FALSE)</f>
        <v>8845.4666705803647</v>
      </c>
      <c r="U388" s="27">
        <f t="shared" si="19"/>
        <v>0.87564251373434576</v>
      </c>
      <c r="V388" s="19">
        <f>VLOOKUP(A388,[1]Sheet1!$A$2:$Q$1536,17,FALSE)</f>
        <v>2338.3408203125</v>
      </c>
      <c r="W388" s="27">
        <f t="shared" si="20"/>
        <v>0.52958097876724652</v>
      </c>
    </row>
    <row r="389" spans="1:23" x14ac:dyDescent="0.3">
      <c r="A389" s="4" t="s">
        <v>974</v>
      </c>
      <c r="B389" s="5">
        <v>2015</v>
      </c>
      <c r="C389" s="5" t="s">
        <v>83</v>
      </c>
      <c r="D389" s="15" t="s">
        <v>975</v>
      </c>
      <c r="E389" s="6">
        <v>119873</v>
      </c>
      <c r="F389" s="5" t="s">
        <v>42</v>
      </c>
      <c r="G389" s="5" t="s">
        <v>28</v>
      </c>
      <c r="H389" s="5" t="s">
        <v>17</v>
      </c>
      <c r="I389" s="5" t="s">
        <v>18</v>
      </c>
      <c r="J389" s="7">
        <v>45589</v>
      </c>
      <c r="K389" s="5" t="s">
        <v>17</v>
      </c>
      <c r="L389" s="8">
        <v>44113</v>
      </c>
      <c r="M389" s="19">
        <v>264</v>
      </c>
      <c r="N389" s="19">
        <v>314</v>
      </c>
      <c r="O389" s="24">
        <v>0</v>
      </c>
      <c r="P389" s="24">
        <v>1400</v>
      </c>
      <c r="Q389" t="s">
        <v>1983</v>
      </c>
      <c r="R389" s="19">
        <f>VLOOKUP(A389,[1]Sheet1!$A$2:$Q$1536,15,FALSE)</f>
        <v>2856.016845703125</v>
      </c>
      <c r="S389" s="27">
        <f t="shared" si="18"/>
        <v>0.50980681290227725</v>
      </c>
      <c r="T389" s="19">
        <f>VLOOKUP(A389,[1]Sheet1!$A$2:$Q$1536,16,FALSE)</f>
        <v>8977.7330457730204</v>
      </c>
      <c r="U389" s="27">
        <f t="shared" si="19"/>
        <v>0.84405862895877026</v>
      </c>
      <c r="V389" s="19">
        <f>VLOOKUP(A389,[1]Sheet1!$A$2:$Q$1536,17,FALSE)</f>
        <v>2692.84326171875</v>
      </c>
      <c r="W389" s="27">
        <f t="shared" si="20"/>
        <v>0.48010342083317997</v>
      </c>
    </row>
    <row r="390" spans="1:23" x14ac:dyDescent="0.3">
      <c r="A390" s="4" t="s">
        <v>386</v>
      </c>
      <c r="B390" s="5">
        <v>2014</v>
      </c>
      <c r="C390" s="5" t="s">
        <v>237</v>
      </c>
      <c r="D390" s="15" t="s">
        <v>378</v>
      </c>
      <c r="E390" s="6">
        <v>113883</v>
      </c>
      <c r="F390" s="5" t="s">
        <v>24</v>
      </c>
      <c r="G390" s="5" t="s">
        <v>25</v>
      </c>
      <c r="H390" s="5" t="s">
        <v>18</v>
      </c>
      <c r="I390" s="5" t="s">
        <v>17</v>
      </c>
      <c r="J390" s="7">
        <v>45645</v>
      </c>
      <c r="K390" s="5" t="s">
        <v>17</v>
      </c>
      <c r="L390" s="8">
        <v>44035</v>
      </c>
      <c r="M390" s="19">
        <v>222</v>
      </c>
      <c r="N390" s="19">
        <v>272</v>
      </c>
      <c r="O390" s="24">
        <v>0</v>
      </c>
      <c r="P390" s="24">
        <v>11250</v>
      </c>
      <c r="Q390" t="s">
        <v>1983</v>
      </c>
      <c r="R390" s="19">
        <f>VLOOKUP(A390,[1]Sheet1!$A$2:$Q$1536,15,FALSE)</f>
        <v>2375.301513671875</v>
      </c>
      <c r="S390" s="27">
        <f t="shared" si="18"/>
        <v>-3.7362408246897107</v>
      </c>
      <c r="T390" s="19">
        <f>VLOOKUP(A390,[1]Sheet1!$A$2:$Q$1536,16,FALSE)</f>
        <v>9301.2068014746692</v>
      </c>
      <c r="U390" s="27">
        <f t="shared" si="19"/>
        <v>-0.20952046762537926</v>
      </c>
      <c r="V390" s="19">
        <f>VLOOKUP(A390,[1]Sheet1!$A$2:$Q$1536,17,FALSE)</f>
        <v>2358.90087890625</v>
      </c>
      <c r="W390" s="27">
        <f t="shared" si="20"/>
        <v>-3.7691702947757091</v>
      </c>
    </row>
    <row r="391" spans="1:23" x14ac:dyDescent="0.3">
      <c r="A391" s="4" t="s">
        <v>41</v>
      </c>
      <c r="B391" s="5">
        <v>2020</v>
      </c>
      <c r="C391" s="5" t="s">
        <v>30</v>
      </c>
      <c r="D391" s="15" t="s">
        <v>31</v>
      </c>
      <c r="E391" s="6">
        <v>45725</v>
      </c>
      <c r="F391" s="5" t="s">
        <v>42</v>
      </c>
      <c r="G391" s="5" t="s">
        <v>28</v>
      </c>
      <c r="H391" s="5" t="s">
        <v>17</v>
      </c>
      <c r="I391" s="5" t="s">
        <v>18</v>
      </c>
      <c r="J391" s="7">
        <v>45468</v>
      </c>
      <c r="K391" s="5" t="s">
        <v>17</v>
      </c>
      <c r="L391" s="8">
        <v>44081</v>
      </c>
      <c r="M391" s="19">
        <v>325</v>
      </c>
      <c r="N391" s="19">
        <v>375</v>
      </c>
      <c r="O391" s="24">
        <v>14300</v>
      </c>
      <c r="P391" s="24">
        <v>12000</v>
      </c>
      <c r="Q391" t="s">
        <v>1984</v>
      </c>
      <c r="R391" s="19">
        <f>VLOOKUP(A391,[1]Sheet1!$A$2:$Q$1536,15,FALSE)</f>
        <v>11122.1396484375</v>
      </c>
      <c r="S391" s="27">
        <f t="shared" si="18"/>
        <v>-7.8929089124126106E-2</v>
      </c>
      <c r="T391" s="19">
        <f>VLOOKUP(A391,[1]Sheet1!$A$2:$Q$1536,16,FALSE)</f>
        <v>12624.750394784051</v>
      </c>
      <c r="U391" s="27">
        <f t="shared" si="19"/>
        <v>4.948615816136593E-2</v>
      </c>
      <c r="V391" s="19">
        <f>VLOOKUP(A391,[1]Sheet1!$A$2:$Q$1536,17,FALSE)</f>
        <v>10897.6533203125</v>
      </c>
      <c r="W391" s="27">
        <f t="shared" si="20"/>
        <v>-0.10115450063297565</v>
      </c>
    </row>
    <row r="392" spans="1:23" x14ac:dyDescent="0.3">
      <c r="A392" s="4" t="s">
        <v>960</v>
      </c>
      <c r="B392" s="5">
        <v>2019</v>
      </c>
      <c r="C392" s="5" t="s">
        <v>96</v>
      </c>
      <c r="D392" s="15" t="s">
        <v>107</v>
      </c>
      <c r="E392" s="6">
        <v>76442</v>
      </c>
      <c r="F392" s="5" t="s">
        <v>246</v>
      </c>
      <c r="G392" s="5" t="s">
        <v>16</v>
      </c>
      <c r="H392" s="5" t="s">
        <v>17</v>
      </c>
      <c r="I392" s="5" t="s">
        <v>18</v>
      </c>
      <c r="J392" s="7">
        <v>45342</v>
      </c>
      <c r="K392" s="5" t="s">
        <v>17</v>
      </c>
      <c r="L392" s="8">
        <v>44113</v>
      </c>
      <c r="M392" s="19">
        <v>264</v>
      </c>
      <c r="N392" s="19">
        <v>314</v>
      </c>
      <c r="O392" s="24">
        <v>14900</v>
      </c>
      <c r="P392" s="24">
        <v>14300</v>
      </c>
      <c r="Q392" t="s">
        <v>1984</v>
      </c>
      <c r="R392" s="19">
        <f>VLOOKUP(A392,[1]Sheet1!$A$2:$Q$1536,15,FALSE)</f>
        <v>12659.525390625</v>
      </c>
      <c r="S392" s="27">
        <f t="shared" si="18"/>
        <v>-0.12958421099971504</v>
      </c>
      <c r="T392" s="19">
        <f>VLOOKUP(A392,[1]Sheet1!$A$2:$Q$1536,16,FALSE)</f>
        <v>10420.613470667889</v>
      </c>
      <c r="U392" s="27">
        <f t="shared" si="19"/>
        <v>-0.3722800524414297</v>
      </c>
      <c r="V392" s="19">
        <f>VLOOKUP(A392,[1]Sheet1!$A$2:$Q$1536,17,FALSE)</f>
        <v>12728.0908203125</v>
      </c>
      <c r="W392" s="27">
        <f t="shared" si="20"/>
        <v>-0.12349921145902905</v>
      </c>
    </row>
    <row r="393" spans="1:23" x14ac:dyDescent="0.3">
      <c r="A393" s="4" t="s">
        <v>978</v>
      </c>
      <c r="B393" s="5">
        <v>2018</v>
      </c>
      <c r="C393" s="5" t="s">
        <v>83</v>
      </c>
      <c r="D393" s="15" t="s">
        <v>965</v>
      </c>
      <c r="E393" s="6">
        <v>101289</v>
      </c>
      <c r="F393" s="5" t="s">
        <v>87</v>
      </c>
      <c r="G393" s="5" t="s">
        <v>33</v>
      </c>
      <c r="H393" s="5" t="s">
        <v>17</v>
      </c>
      <c r="I393" s="5" t="s">
        <v>18</v>
      </c>
      <c r="J393" s="7">
        <v>45552</v>
      </c>
      <c r="K393" s="5" t="s">
        <v>17</v>
      </c>
      <c r="L393" s="8">
        <v>44483</v>
      </c>
      <c r="M393" s="19">
        <v>264</v>
      </c>
      <c r="N393" s="19">
        <v>314</v>
      </c>
      <c r="O393" s="24">
        <v>6500</v>
      </c>
      <c r="P393" s="24">
        <v>3400</v>
      </c>
      <c r="Q393" t="s">
        <v>1984</v>
      </c>
      <c r="R393" s="19">
        <f>VLOOKUP(A393,[1]Sheet1!$A$2:$Q$1536,15,FALSE)</f>
        <v>5392.58837890625</v>
      </c>
      <c r="S393" s="27">
        <f t="shared" si="18"/>
        <v>0.3695050018467006</v>
      </c>
      <c r="T393" s="19">
        <f>VLOOKUP(A393,[1]Sheet1!$A$2:$Q$1536,16,FALSE)</f>
        <v>8928.3936320963094</v>
      </c>
      <c r="U393" s="27">
        <f t="shared" si="19"/>
        <v>0.6191924169004509</v>
      </c>
      <c r="V393" s="19">
        <f>VLOOKUP(A393,[1]Sheet1!$A$2:$Q$1536,17,FALSE)</f>
        <v>5436.36328125</v>
      </c>
      <c r="W393" s="27">
        <f t="shared" si="20"/>
        <v>0.3745818989458285</v>
      </c>
    </row>
    <row r="394" spans="1:23" x14ac:dyDescent="0.3">
      <c r="A394" s="4" t="s">
        <v>889</v>
      </c>
      <c r="B394" s="5">
        <v>2015</v>
      </c>
      <c r="C394" s="5" t="s">
        <v>391</v>
      </c>
      <c r="D394" s="15" t="s">
        <v>590</v>
      </c>
      <c r="E394" s="6">
        <v>134191</v>
      </c>
      <c r="F394" s="5" t="s">
        <v>79</v>
      </c>
      <c r="G394" s="5" t="s">
        <v>22</v>
      </c>
      <c r="H394" s="5" t="s">
        <v>18</v>
      </c>
      <c r="I394" s="5" t="s">
        <v>17</v>
      </c>
      <c r="J394" s="7">
        <v>45610</v>
      </c>
      <c r="K394" s="5" t="s">
        <v>17</v>
      </c>
      <c r="L394" s="8">
        <v>44224</v>
      </c>
      <c r="M394" s="19">
        <v>235</v>
      </c>
      <c r="N394" s="19">
        <v>285</v>
      </c>
      <c r="O394" s="24">
        <v>0</v>
      </c>
      <c r="P394" s="24">
        <v>8200</v>
      </c>
      <c r="Q394" t="s">
        <v>1983</v>
      </c>
      <c r="R394" s="19">
        <f>VLOOKUP(A394,[1]Sheet1!$A$2:$Q$1536,15,FALSE)</f>
        <v>2474.338134765625</v>
      </c>
      <c r="S394" s="27">
        <f t="shared" si="18"/>
        <v>-2.314017548687509</v>
      </c>
      <c r="T394" s="19">
        <f>VLOOKUP(A394,[1]Sheet1!$A$2:$Q$1536,16,FALSE)</f>
        <v>9312.8227798539483</v>
      </c>
      <c r="U394" s="27">
        <f t="shared" si="19"/>
        <v>0.11949360641343597</v>
      </c>
      <c r="V394" s="19">
        <f>VLOOKUP(A394,[1]Sheet1!$A$2:$Q$1536,17,FALSE)</f>
        <v>2382.8828125</v>
      </c>
      <c r="W394" s="27">
        <f t="shared" si="20"/>
        <v>-2.4412099315102176</v>
      </c>
    </row>
    <row r="395" spans="1:23" x14ac:dyDescent="0.3">
      <c r="A395" s="4" t="s">
        <v>1961</v>
      </c>
      <c r="B395" s="5">
        <v>2018</v>
      </c>
      <c r="C395" s="5" t="s">
        <v>96</v>
      </c>
      <c r="D395" s="15" t="s">
        <v>1951</v>
      </c>
      <c r="E395" s="6">
        <v>93092</v>
      </c>
      <c r="F395" s="5" t="s">
        <v>40</v>
      </c>
      <c r="G395" s="5" t="s">
        <v>28</v>
      </c>
      <c r="H395" s="5" t="s">
        <v>17</v>
      </c>
      <c r="I395" s="5" t="s">
        <v>18</v>
      </c>
      <c r="J395" s="7">
        <v>45678</v>
      </c>
      <c r="K395" s="5" t="s">
        <v>17</v>
      </c>
      <c r="L395" s="8">
        <v>44128</v>
      </c>
      <c r="M395" s="19">
        <v>264</v>
      </c>
      <c r="N395" s="19">
        <v>314</v>
      </c>
      <c r="O395" s="24">
        <v>8700</v>
      </c>
      <c r="P395" s="24">
        <v>4300</v>
      </c>
      <c r="Q395" t="s">
        <v>1984</v>
      </c>
      <c r="R395" s="19">
        <f>VLOOKUP(A395,[1]Sheet1!$A$2:$Q$1536,15,FALSE)</f>
        <v>4987.9677734375</v>
      </c>
      <c r="S395" s="27">
        <f t="shared" si="18"/>
        <v>0.13792546477568382</v>
      </c>
      <c r="T395" s="19">
        <f>VLOOKUP(A395,[1]Sheet1!$A$2:$Q$1536,16,FALSE)</f>
        <v>9499.7458317995752</v>
      </c>
      <c r="U395" s="27">
        <f t="shared" si="19"/>
        <v>0.547356310775587</v>
      </c>
      <c r="V395" s="19">
        <f>VLOOKUP(A395,[1]Sheet1!$A$2:$Q$1536,17,FALSE)</f>
        <v>5016.734375</v>
      </c>
      <c r="W395" s="27">
        <f t="shared" si="20"/>
        <v>0.1428687112819283</v>
      </c>
    </row>
    <row r="396" spans="1:23" x14ac:dyDescent="0.3">
      <c r="A396" s="4" t="s">
        <v>1278</v>
      </c>
      <c r="B396" s="5">
        <v>2017</v>
      </c>
      <c r="C396" s="5" t="s">
        <v>13</v>
      </c>
      <c r="D396" s="15" t="s">
        <v>1276</v>
      </c>
      <c r="E396" s="6">
        <v>59410</v>
      </c>
      <c r="F396" s="5" t="s">
        <v>64</v>
      </c>
      <c r="G396" s="5" t="s">
        <v>28</v>
      </c>
      <c r="H396" s="5" t="s">
        <v>17</v>
      </c>
      <c r="I396" s="5" t="s">
        <v>18</v>
      </c>
      <c r="J396" s="7">
        <v>45566</v>
      </c>
      <c r="K396" s="5" t="s">
        <v>17</v>
      </c>
      <c r="L396" s="8">
        <v>44310</v>
      </c>
      <c r="M396" s="19">
        <v>235</v>
      </c>
      <c r="N396" s="19">
        <v>285</v>
      </c>
      <c r="O396" s="24">
        <v>16250</v>
      </c>
      <c r="P396" s="24">
        <v>11500</v>
      </c>
      <c r="Q396" t="s">
        <v>1984</v>
      </c>
      <c r="R396" s="19">
        <f>VLOOKUP(A396,[1]Sheet1!$A$2:$Q$1536,15,FALSE)</f>
        <v>13411.0625</v>
      </c>
      <c r="S396" s="27">
        <f t="shared" si="18"/>
        <v>0.14249896307619175</v>
      </c>
      <c r="T396" s="19">
        <f>VLOOKUP(A396,[1]Sheet1!$A$2:$Q$1536,16,FALSE)</f>
        <v>11349.834381150211</v>
      </c>
      <c r="U396" s="27">
        <f t="shared" si="19"/>
        <v>-1.3230644061131318E-2</v>
      </c>
      <c r="V396" s="19">
        <f>VLOOKUP(A396,[1]Sheet1!$A$2:$Q$1536,17,FALSE)</f>
        <v>13338.80859375</v>
      </c>
      <c r="W396" s="27">
        <f t="shared" si="20"/>
        <v>0.13785403552545072</v>
      </c>
    </row>
    <row r="397" spans="1:23" x14ac:dyDescent="0.3">
      <c r="A397" s="4" t="s">
        <v>838</v>
      </c>
      <c r="B397" s="5">
        <v>2014</v>
      </c>
      <c r="C397" s="5" t="s">
        <v>391</v>
      </c>
      <c r="D397" s="15" t="s">
        <v>580</v>
      </c>
      <c r="E397" s="6">
        <v>110653</v>
      </c>
      <c r="F397" s="5" t="s">
        <v>170</v>
      </c>
      <c r="G397" s="5" t="s">
        <v>25</v>
      </c>
      <c r="H397" s="5" t="s">
        <v>18</v>
      </c>
      <c r="I397" s="5" t="s">
        <v>17</v>
      </c>
      <c r="J397" s="7">
        <v>45638</v>
      </c>
      <c r="K397" s="5" t="s">
        <v>17</v>
      </c>
      <c r="L397" s="8">
        <v>44113</v>
      </c>
      <c r="M397" s="19">
        <v>264</v>
      </c>
      <c r="N397" s="19">
        <v>314</v>
      </c>
      <c r="O397" s="24">
        <v>0</v>
      </c>
      <c r="P397" s="24">
        <v>3300</v>
      </c>
      <c r="Q397" t="s">
        <v>1983</v>
      </c>
      <c r="R397" s="19">
        <f>VLOOKUP(A397,[1]Sheet1!$A$2:$Q$1536,15,FALSE)</f>
        <v>5406.00439453125</v>
      </c>
      <c r="S397" s="27">
        <f t="shared" si="18"/>
        <v>0.38956764383353037</v>
      </c>
      <c r="T397" s="19">
        <f>VLOOKUP(A397,[1]Sheet1!$A$2:$Q$1536,16,FALSE)</f>
        <v>9423.0264753820265</v>
      </c>
      <c r="U397" s="27">
        <f t="shared" si="19"/>
        <v>0.64979404349320669</v>
      </c>
      <c r="V397" s="19">
        <f>VLOOKUP(A397,[1]Sheet1!$A$2:$Q$1536,17,FALSE)</f>
        <v>5455.4921875</v>
      </c>
      <c r="W397" s="27">
        <f t="shared" si="20"/>
        <v>0.39510499024062623</v>
      </c>
    </row>
    <row r="398" spans="1:23" x14ac:dyDescent="0.3">
      <c r="A398" s="4" t="s">
        <v>1252</v>
      </c>
      <c r="B398" s="5">
        <v>2011</v>
      </c>
      <c r="C398" s="5" t="s">
        <v>920</v>
      </c>
      <c r="D398" s="15" t="s">
        <v>1241</v>
      </c>
      <c r="E398" s="6">
        <v>114761</v>
      </c>
      <c r="F398" s="5" t="s">
        <v>15</v>
      </c>
      <c r="G398" s="5" t="s">
        <v>28</v>
      </c>
      <c r="H398" s="5" t="s">
        <v>17</v>
      </c>
      <c r="I398" s="5" t="s">
        <v>18</v>
      </c>
      <c r="J398" s="7">
        <v>45426</v>
      </c>
      <c r="K398" s="5" t="s">
        <v>17</v>
      </c>
      <c r="L398" s="8">
        <v>44430</v>
      </c>
      <c r="M398" s="19">
        <v>264</v>
      </c>
      <c r="N398" s="19">
        <v>314</v>
      </c>
      <c r="O398" s="24">
        <v>7700</v>
      </c>
      <c r="P398" s="24">
        <v>3400</v>
      </c>
      <c r="Q398" t="s">
        <v>1984</v>
      </c>
      <c r="R398" s="19">
        <f>VLOOKUP(A398,[1]Sheet1!$A$2:$Q$1536,15,FALSE)</f>
        <v>5941.00830078125</v>
      </c>
      <c r="S398" s="27">
        <f t="shared" si="18"/>
        <v>0.42770657304873722</v>
      </c>
      <c r="T398" s="19">
        <f>VLOOKUP(A398,[1]Sheet1!$A$2:$Q$1536,16,FALSE)</f>
        <v>10198.114494817941</v>
      </c>
      <c r="U398" s="27">
        <f t="shared" si="19"/>
        <v>0.66660503745788768</v>
      </c>
      <c r="V398" s="19">
        <f>VLOOKUP(A398,[1]Sheet1!$A$2:$Q$1536,17,FALSE)</f>
        <v>5848.7314453125</v>
      </c>
      <c r="W398" s="27">
        <f t="shared" si="20"/>
        <v>0.41867736075915235</v>
      </c>
    </row>
    <row r="399" spans="1:23" x14ac:dyDescent="0.3">
      <c r="A399" s="4" t="s">
        <v>1246</v>
      </c>
      <c r="B399" s="5">
        <v>2017</v>
      </c>
      <c r="C399" s="5" t="s">
        <v>920</v>
      </c>
      <c r="D399" s="15" t="s">
        <v>1241</v>
      </c>
      <c r="E399" s="6">
        <v>73690</v>
      </c>
      <c r="F399" s="5" t="s">
        <v>64</v>
      </c>
      <c r="G399" s="5" t="s">
        <v>28</v>
      </c>
      <c r="H399" s="5" t="s">
        <v>17</v>
      </c>
      <c r="I399" s="5" t="s">
        <v>18</v>
      </c>
      <c r="J399" s="7">
        <v>45384</v>
      </c>
      <c r="K399" s="5" t="s">
        <v>17</v>
      </c>
      <c r="L399" s="8">
        <v>44128</v>
      </c>
      <c r="M399" s="19">
        <v>264</v>
      </c>
      <c r="N399" s="19">
        <v>314</v>
      </c>
      <c r="O399" s="24">
        <v>14100</v>
      </c>
      <c r="P399" s="24">
        <v>11400</v>
      </c>
      <c r="Q399" t="s">
        <v>1984</v>
      </c>
      <c r="R399" s="19">
        <f>VLOOKUP(A399,[1]Sheet1!$A$2:$Q$1536,15,FALSE)</f>
        <v>12755.3505859375</v>
      </c>
      <c r="S399" s="27">
        <f t="shared" si="18"/>
        <v>0.10625741541214437</v>
      </c>
      <c r="T399" s="19">
        <f>VLOOKUP(A399,[1]Sheet1!$A$2:$Q$1536,16,FALSE)</f>
        <v>9618.585684881562</v>
      </c>
      <c r="U399" s="27">
        <f t="shared" si="19"/>
        <v>-0.18520543180464202</v>
      </c>
      <c r="V399" s="19">
        <f>VLOOKUP(A399,[1]Sheet1!$A$2:$Q$1536,17,FALSE)</f>
        <v>13106.5712890625</v>
      </c>
      <c r="W399" s="27">
        <f t="shared" si="20"/>
        <v>0.13020730223217436</v>
      </c>
    </row>
    <row r="400" spans="1:23" x14ac:dyDescent="0.3">
      <c r="A400" s="4" t="s">
        <v>454</v>
      </c>
      <c r="B400" s="5">
        <v>2013</v>
      </c>
      <c r="C400" s="5" t="s">
        <v>391</v>
      </c>
      <c r="D400" s="15" t="s">
        <v>413</v>
      </c>
      <c r="E400" s="6">
        <v>64848</v>
      </c>
      <c r="F400" s="5" t="s">
        <v>61</v>
      </c>
      <c r="G400" s="5" t="s">
        <v>28</v>
      </c>
      <c r="H400" s="5" t="s">
        <v>17</v>
      </c>
      <c r="I400" s="5" t="s">
        <v>18</v>
      </c>
      <c r="J400" s="7">
        <v>45421</v>
      </c>
      <c r="K400" s="5" t="s">
        <v>17</v>
      </c>
      <c r="L400" s="8">
        <v>44135</v>
      </c>
      <c r="M400" s="19">
        <v>235</v>
      </c>
      <c r="N400" s="19">
        <v>285</v>
      </c>
      <c r="O400" s="24">
        <v>3800</v>
      </c>
      <c r="P400" s="24">
        <v>2700</v>
      </c>
      <c r="Q400" t="s">
        <v>1984</v>
      </c>
      <c r="R400" s="19">
        <f>VLOOKUP(A400,[1]Sheet1!$A$2:$Q$1536,15,FALSE)</f>
        <v>4360.2568359375</v>
      </c>
      <c r="S400" s="27">
        <f t="shared" si="18"/>
        <v>0.3807704221121937</v>
      </c>
      <c r="T400" s="19">
        <f>VLOOKUP(A400,[1]Sheet1!$A$2:$Q$1536,16,FALSE)</f>
        <v>11120.18340506918</v>
      </c>
      <c r="U400" s="27">
        <f t="shared" si="19"/>
        <v>0.75719824919711354</v>
      </c>
      <c r="V400" s="19">
        <f>VLOOKUP(A400,[1]Sheet1!$A$2:$Q$1536,17,FALSE)</f>
        <v>4199.728515625</v>
      </c>
      <c r="W400" s="27">
        <f t="shared" si="20"/>
        <v>0.35710130072581886</v>
      </c>
    </row>
    <row r="401" spans="1:23" x14ac:dyDescent="0.3">
      <c r="A401" s="4" t="s">
        <v>1519</v>
      </c>
      <c r="B401" s="5">
        <v>2011</v>
      </c>
      <c r="C401" s="5" t="s">
        <v>1139</v>
      </c>
      <c r="D401" s="15" t="s">
        <v>1140</v>
      </c>
      <c r="E401" s="6">
        <v>105659</v>
      </c>
      <c r="F401" s="5" t="s">
        <v>73</v>
      </c>
      <c r="G401" s="5" t="s">
        <v>28</v>
      </c>
      <c r="H401" s="5" t="s">
        <v>17</v>
      </c>
      <c r="I401" s="5" t="s">
        <v>18</v>
      </c>
      <c r="J401" s="7">
        <v>45496</v>
      </c>
      <c r="K401" s="5" t="s">
        <v>17</v>
      </c>
      <c r="L401" s="8">
        <v>44451</v>
      </c>
      <c r="M401" s="19">
        <v>264</v>
      </c>
      <c r="N401" s="19">
        <v>314</v>
      </c>
      <c r="O401" s="24">
        <v>3700</v>
      </c>
      <c r="P401" s="24">
        <v>2000</v>
      </c>
      <c r="Q401" t="s">
        <v>1984</v>
      </c>
      <c r="R401" s="19">
        <f>VLOOKUP(A401,[1]Sheet1!$A$2:$Q$1536,15,FALSE)</f>
        <v>1904.124267578125</v>
      </c>
      <c r="S401" s="27">
        <f t="shared" si="18"/>
        <v>-5.0351615204096062E-2</v>
      </c>
      <c r="T401" s="19">
        <f>VLOOKUP(A401,[1]Sheet1!$A$2:$Q$1536,16,FALSE)</f>
        <v>9065.1002559585904</v>
      </c>
      <c r="U401" s="27">
        <f t="shared" si="19"/>
        <v>0.77937364799850084</v>
      </c>
      <c r="V401" s="19">
        <f>VLOOKUP(A401,[1]Sheet1!$A$2:$Q$1536,17,FALSE)</f>
        <v>1778.49755859375</v>
      </c>
      <c r="W401" s="27">
        <f t="shared" si="20"/>
        <v>-0.1245446980435503</v>
      </c>
    </row>
    <row r="402" spans="1:23" x14ac:dyDescent="0.3">
      <c r="A402" s="4" t="s">
        <v>1129</v>
      </c>
      <c r="B402" s="5">
        <v>2018</v>
      </c>
      <c r="C402" s="5" t="s">
        <v>633</v>
      </c>
      <c r="D402" s="15" t="s">
        <v>1119</v>
      </c>
      <c r="E402" s="6">
        <v>60433</v>
      </c>
      <c r="F402" s="5" t="s">
        <v>15</v>
      </c>
      <c r="G402" s="5" t="s">
        <v>28</v>
      </c>
      <c r="H402" s="5" t="s">
        <v>17</v>
      </c>
      <c r="I402" s="5" t="s">
        <v>18</v>
      </c>
      <c r="J402" s="7">
        <v>45300</v>
      </c>
      <c r="K402" s="5" t="s">
        <v>17</v>
      </c>
      <c r="L402" s="8">
        <v>43612</v>
      </c>
      <c r="M402" s="19">
        <v>264</v>
      </c>
      <c r="N402" s="19">
        <v>314</v>
      </c>
      <c r="O402" s="24">
        <v>15300</v>
      </c>
      <c r="P402" s="24">
        <v>6800</v>
      </c>
      <c r="Q402" t="s">
        <v>1984</v>
      </c>
      <c r="R402" s="19">
        <f>VLOOKUP(A402,[1]Sheet1!$A$2:$Q$1536,15,FALSE)</f>
        <v>13574.2998046875</v>
      </c>
      <c r="S402" s="27">
        <f t="shared" si="18"/>
        <v>0.49905335097639347</v>
      </c>
      <c r="T402" s="19">
        <f>VLOOKUP(A402,[1]Sheet1!$A$2:$Q$1536,16,FALSE)</f>
        <v>12030.459568265809</v>
      </c>
      <c r="U402" s="27">
        <f t="shared" si="19"/>
        <v>0.4347680600716885</v>
      </c>
      <c r="V402" s="19">
        <f>VLOOKUP(A402,[1]Sheet1!$A$2:$Q$1536,17,FALSE)</f>
        <v>13496.744140625</v>
      </c>
      <c r="W402" s="27">
        <f t="shared" si="20"/>
        <v>0.49617478636702456</v>
      </c>
    </row>
    <row r="403" spans="1:23" x14ac:dyDescent="0.3">
      <c r="A403" s="4" t="s">
        <v>805</v>
      </c>
      <c r="B403" s="5">
        <v>2013</v>
      </c>
      <c r="C403" s="5" t="s">
        <v>535</v>
      </c>
      <c r="D403" s="15" t="s">
        <v>806</v>
      </c>
      <c r="E403" s="6">
        <v>82828</v>
      </c>
      <c r="F403" s="5" t="s">
        <v>59</v>
      </c>
      <c r="G403" s="5" t="s">
        <v>16</v>
      </c>
      <c r="H403" s="5" t="s">
        <v>17</v>
      </c>
      <c r="I403" s="5" t="s">
        <v>18</v>
      </c>
      <c r="J403" s="7">
        <v>45328</v>
      </c>
      <c r="K403" s="5" t="s">
        <v>17</v>
      </c>
      <c r="L403" s="8">
        <v>44028</v>
      </c>
      <c r="M403" s="19">
        <v>235</v>
      </c>
      <c r="N403" s="19">
        <v>285</v>
      </c>
      <c r="O403" s="24">
        <v>11500</v>
      </c>
      <c r="P403" s="24">
        <v>3400</v>
      </c>
      <c r="Q403" t="s">
        <v>1984</v>
      </c>
      <c r="R403" s="19">
        <f>VLOOKUP(A403,[1]Sheet1!$A$2:$Q$1536,15,FALSE)</f>
        <v>7982.53662109375</v>
      </c>
      <c r="S403" s="27">
        <f t="shared" si="18"/>
        <v>0.57407022837633548</v>
      </c>
      <c r="T403" s="19">
        <f>VLOOKUP(A403,[1]Sheet1!$A$2:$Q$1536,16,FALSE)</f>
        <v>10434.745752788451</v>
      </c>
      <c r="U403" s="27">
        <f t="shared" si="19"/>
        <v>0.67416551581130513</v>
      </c>
      <c r="V403" s="19">
        <f>VLOOKUP(A403,[1]Sheet1!$A$2:$Q$1536,17,FALSE)</f>
        <v>7827.77783203125</v>
      </c>
      <c r="W403" s="27">
        <f t="shared" si="20"/>
        <v>0.56564939974570982</v>
      </c>
    </row>
    <row r="404" spans="1:23" x14ac:dyDescent="0.3">
      <c r="A404" s="4" t="s">
        <v>406</v>
      </c>
      <c r="B404" s="5">
        <v>2015</v>
      </c>
      <c r="C404" s="5" t="s">
        <v>391</v>
      </c>
      <c r="D404" s="15" t="s">
        <v>394</v>
      </c>
      <c r="E404" s="6">
        <v>102978</v>
      </c>
      <c r="F404" s="5" t="s">
        <v>36</v>
      </c>
      <c r="G404" s="5" t="s">
        <v>28</v>
      </c>
      <c r="H404" s="5" t="s">
        <v>17</v>
      </c>
      <c r="I404" s="5" t="s">
        <v>18</v>
      </c>
      <c r="J404" s="7">
        <v>45328</v>
      </c>
      <c r="K404" s="5" t="s">
        <v>17</v>
      </c>
      <c r="L404" s="8">
        <v>43612</v>
      </c>
      <c r="M404" s="19">
        <v>264</v>
      </c>
      <c r="N404" s="19">
        <v>314</v>
      </c>
      <c r="O404" s="24">
        <v>0</v>
      </c>
      <c r="P404" s="24">
        <v>3400</v>
      </c>
      <c r="Q404" t="s">
        <v>1983</v>
      </c>
      <c r="R404" s="19">
        <f>VLOOKUP(A404,[1]Sheet1!$A$2:$Q$1536,15,FALSE)</f>
        <v>2232.821044921875</v>
      </c>
      <c r="S404" s="27">
        <f t="shared" si="18"/>
        <v>-0.52273734956621387</v>
      </c>
      <c r="T404" s="19">
        <f>VLOOKUP(A404,[1]Sheet1!$A$2:$Q$1536,16,FALSE)</f>
        <v>9344.2052974458256</v>
      </c>
      <c r="U404" s="27">
        <f t="shared" si="19"/>
        <v>0.63613813141184228</v>
      </c>
      <c r="V404" s="19">
        <f>VLOOKUP(A404,[1]Sheet1!$A$2:$Q$1536,17,FALSE)</f>
        <v>2142.682861328125</v>
      </c>
      <c r="W404" s="27">
        <f t="shared" si="20"/>
        <v>-0.58679572295292315</v>
      </c>
    </row>
    <row r="405" spans="1:23" x14ac:dyDescent="0.3">
      <c r="A405" s="4" t="s">
        <v>1110</v>
      </c>
      <c r="B405" s="5">
        <v>2018</v>
      </c>
      <c r="C405" s="5" t="s">
        <v>1086</v>
      </c>
      <c r="D405" s="15" t="s">
        <v>1093</v>
      </c>
      <c r="E405" s="6">
        <v>38512</v>
      </c>
      <c r="F405" s="5" t="s">
        <v>161</v>
      </c>
      <c r="G405" s="5" t="s">
        <v>16</v>
      </c>
      <c r="H405" s="5" t="s">
        <v>17</v>
      </c>
      <c r="I405" s="5" t="s">
        <v>18</v>
      </c>
      <c r="J405" s="7">
        <v>45664</v>
      </c>
      <c r="K405" s="5" t="s">
        <v>17</v>
      </c>
      <c r="L405" s="8">
        <v>43605</v>
      </c>
      <c r="M405" s="19">
        <v>264</v>
      </c>
      <c r="N405" s="19">
        <v>314</v>
      </c>
      <c r="O405" s="24">
        <v>10150</v>
      </c>
      <c r="P405" s="24">
        <v>5200</v>
      </c>
      <c r="Q405" t="s">
        <v>1984</v>
      </c>
      <c r="R405" s="19">
        <f>VLOOKUP(A405,[1]Sheet1!$A$2:$Q$1536,15,FALSE)</f>
        <v>11055.6337890625</v>
      </c>
      <c r="S405" s="27">
        <f t="shared" si="18"/>
        <v>0.52965156957854054</v>
      </c>
      <c r="T405" s="19">
        <f>VLOOKUP(A405,[1]Sheet1!$A$2:$Q$1536,16,FALSE)</f>
        <v>11836.47881627901</v>
      </c>
      <c r="U405" s="27">
        <f t="shared" si="19"/>
        <v>0.5606801582875891</v>
      </c>
      <c r="V405" s="19">
        <f>VLOOKUP(A405,[1]Sheet1!$A$2:$Q$1536,17,FALSE)</f>
        <v>10897.6533203125</v>
      </c>
      <c r="W405" s="27">
        <f t="shared" si="20"/>
        <v>0.52283304972571054</v>
      </c>
    </row>
    <row r="406" spans="1:23" x14ac:dyDescent="0.3">
      <c r="A406" s="4" t="s">
        <v>1804</v>
      </c>
      <c r="B406" s="5">
        <v>2018</v>
      </c>
      <c r="C406" s="5" t="s">
        <v>1805</v>
      </c>
      <c r="D406" s="15" t="s">
        <v>1806</v>
      </c>
      <c r="E406" s="6">
        <v>99811</v>
      </c>
      <c r="F406" s="5" t="s">
        <v>59</v>
      </c>
      <c r="G406" s="5" t="s">
        <v>16</v>
      </c>
      <c r="H406" s="5" t="s">
        <v>17</v>
      </c>
      <c r="I406" s="5" t="s">
        <v>18</v>
      </c>
      <c r="J406" s="7">
        <v>45468</v>
      </c>
      <c r="K406" s="5" t="s">
        <v>17</v>
      </c>
      <c r="L406" s="8">
        <v>44128</v>
      </c>
      <c r="M406" s="19">
        <v>264</v>
      </c>
      <c r="N406" s="19">
        <v>314</v>
      </c>
      <c r="O406" s="24">
        <v>13000</v>
      </c>
      <c r="P406" s="24">
        <v>5950</v>
      </c>
      <c r="Q406" t="s">
        <v>1984</v>
      </c>
      <c r="R406" s="19">
        <f>VLOOKUP(A406,[1]Sheet1!$A$2:$Q$1536,15,FALSE)</f>
        <v>11735.908203125</v>
      </c>
      <c r="S406" s="27">
        <f t="shared" si="18"/>
        <v>0.49300898600965087</v>
      </c>
      <c r="T406" s="19">
        <f>VLOOKUP(A406,[1]Sheet1!$A$2:$Q$1536,16,FALSE)</f>
        <v>10194.74862138945</v>
      </c>
      <c r="U406" s="27">
        <f t="shared" si="19"/>
        <v>0.4163661880277858</v>
      </c>
      <c r="V406" s="19">
        <f>VLOOKUP(A406,[1]Sheet1!$A$2:$Q$1536,17,FALSE)</f>
        <v>11879.884765625</v>
      </c>
      <c r="W406" s="27">
        <f t="shared" si="20"/>
        <v>0.49915339101465006</v>
      </c>
    </row>
    <row r="407" spans="1:23" x14ac:dyDescent="0.3">
      <c r="A407" s="4" t="s">
        <v>1123</v>
      </c>
      <c r="B407" s="5">
        <v>2016</v>
      </c>
      <c r="C407" s="5" t="s">
        <v>633</v>
      </c>
      <c r="D407" s="15" t="s">
        <v>1124</v>
      </c>
      <c r="E407" s="6">
        <v>190753</v>
      </c>
      <c r="F407" s="5" t="s">
        <v>144</v>
      </c>
      <c r="G407" s="5" t="s">
        <v>25</v>
      </c>
      <c r="H407" s="5" t="s">
        <v>18</v>
      </c>
      <c r="I407" s="5" t="s">
        <v>17</v>
      </c>
      <c r="J407" s="7">
        <v>45664</v>
      </c>
      <c r="K407" s="5" t="s">
        <v>17</v>
      </c>
      <c r="L407" s="8">
        <v>44054</v>
      </c>
      <c r="M407" s="19">
        <v>235</v>
      </c>
      <c r="N407" s="19">
        <v>285</v>
      </c>
      <c r="O407" s="24">
        <v>0</v>
      </c>
      <c r="P407" s="24">
        <v>3600</v>
      </c>
      <c r="Q407" t="s">
        <v>1983</v>
      </c>
      <c r="R407" s="19">
        <f>VLOOKUP(A407,[1]Sheet1!$A$2:$Q$1536,15,FALSE)</f>
        <v>1921.542602539062</v>
      </c>
      <c r="S407" s="27">
        <f t="shared" si="18"/>
        <v>-0.87349476157493489</v>
      </c>
      <c r="T407" s="19">
        <f>VLOOKUP(A407,[1]Sheet1!$A$2:$Q$1536,16,FALSE)</f>
        <v>9188.0755034387184</v>
      </c>
      <c r="U407" s="27">
        <f t="shared" si="19"/>
        <v>0.60818780835522435</v>
      </c>
      <c r="V407" s="19">
        <f>VLOOKUP(A407,[1]Sheet1!$A$2:$Q$1536,17,FALSE)</f>
        <v>1785.74853515625</v>
      </c>
      <c r="W407" s="27">
        <f t="shared" si="20"/>
        <v>-1.0159613344915923</v>
      </c>
    </row>
    <row r="408" spans="1:23" x14ac:dyDescent="0.3">
      <c r="A408" s="4" t="s">
        <v>643</v>
      </c>
      <c r="B408" s="5">
        <v>2018</v>
      </c>
      <c r="C408" s="5" t="s">
        <v>636</v>
      </c>
      <c r="D408" s="15" t="s">
        <v>641</v>
      </c>
      <c r="E408" s="6">
        <v>96938</v>
      </c>
      <c r="F408" s="5" t="s">
        <v>644</v>
      </c>
      <c r="G408" s="5" t="s">
        <v>16</v>
      </c>
      <c r="H408" s="5" t="s">
        <v>17</v>
      </c>
      <c r="I408" s="5" t="s">
        <v>18</v>
      </c>
      <c r="J408" s="7">
        <v>45498</v>
      </c>
      <c r="K408" s="5" t="s">
        <v>17</v>
      </c>
      <c r="L408" s="8">
        <v>44067</v>
      </c>
      <c r="M408" s="19">
        <v>235</v>
      </c>
      <c r="N408" s="19">
        <v>285</v>
      </c>
      <c r="O408" s="24">
        <v>0</v>
      </c>
      <c r="P408" s="24">
        <v>11400</v>
      </c>
      <c r="Q408" t="s">
        <v>1983</v>
      </c>
      <c r="R408" s="19">
        <f>VLOOKUP(A408,[1]Sheet1!$A$2:$Q$1536,15,FALSE)</f>
        <v>9674.337890625</v>
      </c>
      <c r="S408" s="27">
        <f t="shared" si="18"/>
        <v>-0.17837521584265395</v>
      </c>
      <c r="T408" s="19">
        <f>VLOOKUP(A408,[1]Sheet1!$A$2:$Q$1536,16,FALSE)</f>
        <v>9872.6089170548457</v>
      </c>
      <c r="U408" s="27">
        <f t="shared" si="19"/>
        <v>-0.1547099754257053</v>
      </c>
      <c r="V408" s="19">
        <f>VLOOKUP(A408,[1]Sheet1!$A$2:$Q$1536,17,FALSE)</f>
        <v>9731.642578125</v>
      </c>
      <c r="W408" s="27">
        <f t="shared" si="20"/>
        <v>-0.17143636426035316</v>
      </c>
    </row>
    <row r="409" spans="1:23" x14ac:dyDescent="0.3">
      <c r="A409" s="4" t="s">
        <v>1855</v>
      </c>
      <c r="B409" s="5">
        <v>2016</v>
      </c>
      <c r="C409" s="5" t="s">
        <v>1845</v>
      </c>
      <c r="D409" s="15" t="s">
        <v>1856</v>
      </c>
      <c r="E409" s="6">
        <v>82451</v>
      </c>
      <c r="F409" s="5" t="s">
        <v>24</v>
      </c>
      <c r="G409" s="5" t="s">
        <v>25</v>
      </c>
      <c r="H409" s="5" t="s">
        <v>18</v>
      </c>
      <c r="I409" s="5" t="s">
        <v>17</v>
      </c>
      <c r="J409" s="7">
        <v>45510</v>
      </c>
      <c r="K409" s="5" t="s">
        <v>17</v>
      </c>
      <c r="L409" s="8">
        <v>44310</v>
      </c>
      <c r="M409" s="19">
        <v>235</v>
      </c>
      <c r="N409" s="19">
        <v>285</v>
      </c>
      <c r="O409" s="24">
        <v>9600</v>
      </c>
      <c r="P409" s="24">
        <v>3000</v>
      </c>
      <c r="Q409" t="s">
        <v>1984</v>
      </c>
      <c r="R409" s="19">
        <f>VLOOKUP(A409,[1]Sheet1!$A$2:$Q$1536,15,FALSE)</f>
        <v>4755.89306640625</v>
      </c>
      <c r="S409" s="27">
        <f t="shared" si="18"/>
        <v>0.36920364732529104</v>
      </c>
      <c r="T409" s="19">
        <f>VLOOKUP(A409,[1]Sheet1!$A$2:$Q$1536,16,FALSE)</f>
        <v>9439.6045349740816</v>
      </c>
      <c r="U409" s="27">
        <f t="shared" si="19"/>
        <v>0.68219007598412729</v>
      </c>
      <c r="V409" s="19">
        <f>VLOOKUP(A409,[1]Sheet1!$A$2:$Q$1536,17,FALSE)</f>
        <v>4748.45361328125</v>
      </c>
      <c r="W409" s="27">
        <f t="shared" si="20"/>
        <v>0.36821537192463871</v>
      </c>
    </row>
    <row r="410" spans="1:23" x14ac:dyDescent="0.3">
      <c r="A410" s="4" t="s">
        <v>1729</v>
      </c>
      <c r="B410" s="5">
        <v>2016</v>
      </c>
      <c r="C410" s="5" t="s">
        <v>1089</v>
      </c>
      <c r="D410" s="15" t="s">
        <v>1720</v>
      </c>
      <c r="E410" s="6">
        <v>77231</v>
      </c>
      <c r="F410" s="5" t="s">
        <v>57</v>
      </c>
      <c r="G410" s="5" t="s">
        <v>33</v>
      </c>
      <c r="H410" s="5" t="s">
        <v>17</v>
      </c>
      <c r="I410" s="5" t="s">
        <v>18</v>
      </c>
      <c r="J410" s="7">
        <v>45580</v>
      </c>
      <c r="K410" s="5" t="s">
        <v>17</v>
      </c>
      <c r="L410" s="8">
        <v>44310</v>
      </c>
      <c r="M410" s="19">
        <v>235</v>
      </c>
      <c r="N410" s="19">
        <v>285</v>
      </c>
      <c r="O410" s="24">
        <v>5000</v>
      </c>
      <c r="P410" s="24">
        <v>2500</v>
      </c>
      <c r="Q410" t="s">
        <v>1984</v>
      </c>
      <c r="R410" s="19">
        <f>VLOOKUP(A410,[1]Sheet1!$A$2:$Q$1536,15,FALSE)</f>
        <v>3214.324951171875</v>
      </c>
      <c r="S410" s="27">
        <f t="shared" si="18"/>
        <v>0.22223171646396461</v>
      </c>
      <c r="T410" s="19">
        <f>VLOOKUP(A410,[1]Sheet1!$A$2:$Q$1536,16,FALSE)</f>
        <v>8903.5670421179093</v>
      </c>
      <c r="U410" s="27">
        <f t="shared" si="19"/>
        <v>0.71921366030335188</v>
      </c>
      <c r="V410" s="19">
        <f>VLOOKUP(A410,[1]Sheet1!$A$2:$Q$1536,17,FALSE)</f>
        <v>3070.48291015625</v>
      </c>
      <c r="W410" s="27">
        <f t="shared" si="20"/>
        <v>0.18579582653570914</v>
      </c>
    </row>
    <row r="411" spans="1:23" x14ac:dyDescent="0.3">
      <c r="A411" s="4" t="s">
        <v>116</v>
      </c>
      <c r="B411" s="5">
        <v>2016</v>
      </c>
      <c r="C411" s="5" t="s">
        <v>96</v>
      </c>
      <c r="D411" s="15" t="s">
        <v>117</v>
      </c>
      <c r="E411" s="6">
        <v>102267</v>
      </c>
      <c r="F411" s="5" t="s">
        <v>21</v>
      </c>
      <c r="G411" s="5" t="s">
        <v>33</v>
      </c>
      <c r="H411" s="5" t="s">
        <v>17</v>
      </c>
      <c r="I411" s="5" t="s">
        <v>18</v>
      </c>
      <c r="J411" s="7">
        <v>45407</v>
      </c>
      <c r="K411" s="5" t="s">
        <v>17</v>
      </c>
      <c r="L411" s="8">
        <v>44224</v>
      </c>
      <c r="M411" s="19">
        <v>235</v>
      </c>
      <c r="N411" s="19">
        <v>285</v>
      </c>
      <c r="O411" s="24">
        <v>0</v>
      </c>
      <c r="P411" s="24">
        <v>7800</v>
      </c>
      <c r="Q411" t="s">
        <v>1983</v>
      </c>
      <c r="R411" s="19">
        <f>VLOOKUP(A411,[1]Sheet1!$A$2:$Q$1536,15,FALSE)</f>
        <v>3512.014404296875</v>
      </c>
      <c r="S411" s="27">
        <f t="shared" si="18"/>
        <v>-1.2209476107093598</v>
      </c>
      <c r="T411" s="19">
        <f>VLOOKUP(A411,[1]Sheet1!$A$2:$Q$1536,16,FALSE)</f>
        <v>9192.4127958060217</v>
      </c>
      <c r="U411" s="27">
        <f t="shared" si="19"/>
        <v>0.15147413706674498</v>
      </c>
      <c r="V411" s="19">
        <f>VLOOKUP(A411,[1]Sheet1!$A$2:$Q$1536,17,FALSE)</f>
        <v>3454.8212890625</v>
      </c>
      <c r="W411" s="27">
        <f t="shared" si="20"/>
        <v>-1.2577144654902273</v>
      </c>
    </row>
    <row r="412" spans="1:23" x14ac:dyDescent="0.3">
      <c r="A412" s="4" t="s">
        <v>1379</v>
      </c>
      <c r="B412" s="5">
        <v>2016</v>
      </c>
      <c r="C412" s="5" t="s">
        <v>1089</v>
      </c>
      <c r="D412" s="15" t="s">
        <v>1363</v>
      </c>
      <c r="E412" s="6">
        <v>151899</v>
      </c>
      <c r="F412" s="5" t="s">
        <v>81</v>
      </c>
      <c r="G412" s="5" t="s">
        <v>25</v>
      </c>
      <c r="H412" s="5" t="s">
        <v>18</v>
      </c>
      <c r="I412" s="5" t="s">
        <v>17</v>
      </c>
      <c r="J412" s="7">
        <v>45540</v>
      </c>
      <c r="K412" s="5" t="s">
        <v>17</v>
      </c>
      <c r="L412" s="8">
        <v>44081</v>
      </c>
      <c r="M412" s="19">
        <v>325</v>
      </c>
      <c r="N412" s="19">
        <v>375</v>
      </c>
      <c r="O412" s="24">
        <v>3300</v>
      </c>
      <c r="P412" s="24">
        <v>1400</v>
      </c>
      <c r="Q412" t="s">
        <v>1984</v>
      </c>
      <c r="R412" s="19">
        <f>VLOOKUP(A412,[1]Sheet1!$A$2:$Q$1536,15,FALSE)</f>
        <v>1335.941284179688</v>
      </c>
      <c r="S412" s="27">
        <f t="shared" si="18"/>
        <v>-4.7950247947944967E-2</v>
      </c>
      <c r="T412" s="19">
        <f>VLOOKUP(A412,[1]Sheet1!$A$2:$Q$1536,16,FALSE)</f>
        <v>8696.499489647973</v>
      </c>
      <c r="U412" s="27">
        <f t="shared" si="19"/>
        <v>0.83901568652231695</v>
      </c>
      <c r="V412" s="19">
        <f>VLOOKUP(A412,[1]Sheet1!$A$2:$Q$1536,17,FALSE)</f>
        <v>1330.663208007812</v>
      </c>
      <c r="W412" s="27">
        <f t="shared" si="20"/>
        <v>-5.2106943045336605E-2</v>
      </c>
    </row>
    <row r="413" spans="1:23" x14ac:dyDescent="0.3">
      <c r="A413" s="4" t="s">
        <v>271</v>
      </c>
      <c r="B413" s="5">
        <v>2014</v>
      </c>
      <c r="C413" s="5" t="s">
        <v>237</v>
      </c>
      <c r="D413" s="15" t="s">
        <v>250</v>
      </c>
      <c r="E413" s="6">
        <v>78290</v>
      </c>
      <c r="F413" s="5" t="s">
        <v>59</v>
      </c>
      <c r="G413" s="5" t="s">
        <v>16</v>
      </c>
      <c r="H413" s="5" t="s">
        <v>17</v>
      </c>
      <c r="I413" s="5" t="s">
        <v>18</v>
      </c>
      <c r="J413" s="7">
        <v>45566</v>
      </c>
      <c r="K413" s="5" t="s">
        <v>17</v>
      </c>
      <c r="L413" s="8">
        <v>44113</v>
      </c>
      <c r="M413" s="19">
        <v>264</v>
      </c>
      <c r="N413" s="19">
        <v>314</v>
      </c>
      <c r="O413" s="24">
        <v>5500</v>
      </c>
      <c r="P413" s="24">
        <v>3600</v>
      </c>
      <c r="Q413" t="s">
        <v>1984</v>
      </c>
      <c r="R413" s="19">
        <f>VLOOKUP(A413,[1]Sheet1!$A$2:$Q$1536,15,FALSE)</f>
        <v>8947.712890625</v>
      </c>
      <c r="S413" s="27">
        <f t="shared" si="18"/>
        <v>0.59766254863050938</v>
      </c>
      <c r="T413" s="19">
        <f>VLOOKUP(A413,[1]Sheet1!$A$2:$Q$1536,16,FALSE)</f>
        <v>10112.70013591914</v>
      </c>
      <c r="U413" s="27">
        <f t="shared" si="19"/>
        <v>0.64401198971447626</v>
      </c>
      <c r="V413" s="19">
        <f>VLOOKUP(A413,[1]Sheet1!$A$2:$Q$1536,17,FALSE)</f>
        <v>8827.087890625</v>
      </c>
      <c r="W413" s="27">
        <f t="shared" si="20"/>
        <v>0.59216447772957403</v>
      </c>
    </row>
    <row r="414" spans="1:23" x14ac:dyDescent="0.3">
      <c r="A414" s="4" t="s">
        <v>770</v>
      </c>
      <c r="B414" s="5">
        <v>2014</v>
      </c>
      <c r="C414" s="5" t="s">
        <v>237</v>
      </c>
      <c r="D414" s="15" t="s">
        <v>771</v>
      </c>
      <c r="E414" s="6">
        <v>123805</v>
      </c>
      <c r="F414" s="5" t="s">
        <v>64</v>
      </c>
      <c r="G414" s="5" t="s">
        <v>33</v>
      </c>
      <c r="H414" s="5" t="s">
        <v>17</v>
      </c>
      <c r="I414" s="5" t="s">
        <v>18</v>
      </c>
      <c r="J414" s="7">
        <v>45314</v>
      </c>
      <c r="K414" s="5" t="s">
        <v>17</v>
      </c>
      <c r="L414" s="8">
        <v>43950</v>
      </c>
      <c r="M414" s="19">
        <v>264</v>
      </c>
      <c r="N414" s="19">
        <v>314</v>
      </c>
      <c r="O414" s="24">
        <v>7900</v>
      </c>
      <c r="P414" s="24">
        <v>5400</v>
      </c>
      <c r="Q414" t="s">
        <v>1984</v>
      </c>
      <c r="R414" s="19">
        <f>VLOOKUP(A414,[1]Sheet1!$A$2:$Q$1536,15,FALSE)</f>
        <v>5428.11376953125</v>
      </c>
      <c r="S414" s="27">
        <f t="shared" si="18"/>
        <v>5.1792889251983734E-3</v>
      </c>
      <c r="T414" s="19">
        <f>VLOOKUP(A414,[1]Sheet1!$A$2:$Q$1536,16,FALSE)</f>
        <v>9264.9944136759386</v>
      </c>
      <c r="U414" s="27">
        <f t="shared" si="19"/>
        <v>0.41716100853454052</v>
      </c>
      <c r="V414" s="19">
        <f>VLOOKUP(A414,[1]Sheet1!$A$2:$Q$1536,17,FALSE)</f>
        <v>5436.36328125</v>
      </c>
      <c r="W414" s="27">
        <f t="shared" si="20"/>
        <v>6.6888983257275764E-3</v>
      </c>
    </row>
    <row r="415" spans="1:23" x14ac:dyDescent="0.3">
      <c r="A415" s="4" t="s">
        <v>1079</v>
      </c>
      <c r="B415" s="5">
        <v>2010</v>
      </c>
      <c r="C415" s="5" t="s">
        <v>535</v>
      </c>
      <c r="D415" s="15" t="s">
        <v>1076</v>
      </c>
      <c r="E415" s="6">
        <v>129272</v>
      </c>
      <c r="F415" s="5" t="s">
        <v>32</v>
      </c>
      <c r="G415" s="5" t="s">
        <v>25</v>
      </c>
      <c r="H415" s="5" t="s">
        <v>18</v>
      </c>
      <c r="I415" s="5" t="s">
        <v>17</v>
      </c>
      <c r="J415" s="7">
        <v>45608</v>
      </c>
      <c r="K415" s="5" t="s">
        <v>17</v>
      </c>
      <c r="L415" s="8">
        <v>43605</v>
      </c>
      <c r="M415" s="19">
        <v>264</v>
      </c>
      <c r="N415" s="19">
        <v>314</v>
      </c>
      <c r="O415" s="24">
        <v>2400</v>
      </c>
      <c r="P415" s="24">
        <v>1400</v>
      </c>
      <c r="Q415" t="s">
        <v>1984</v>
      </c>
      <c r="R415" s="19">
        <f>VLOOKUP(A415,[1]Sheet1!$A$2:$Q$1536,15,FALSE)</f>
        <v>1464.307983398438</v>
      </c>
      <c r="S415" s="27">
        <f t="shared" si="18"/>
        <v>4.3916979301846612E-2</v>
      </c>
      <c r="T415" s="19">
        <f>VLOOKUP(A415,[1]Sheet1!$A$2:$Q$1536,16,FALSE)</f>
        <v>8872.9559341161203</v>
      </c>
      <c r="U415" s="27">
        <f t="shared" si="19"/>
        <v>0.84221718101663701</v>
      </c>
      <c r="V415" s="19">
        <f>VLOOKUP(A415,[1]Sheet1!$A$2:$Q$1536,17,FALSE)</f>
        <v>1395.367431640625</v>
      </c>
      <c r="W415" s="27">
        <f t="shared" si="20"/>
        <v>-3.3199630823604544E-3</v>
      </c>
    </row>
    <row r="416" spans="1:23" x14ac:dyDescent="0.3">
      <c r="A416" s="4" t="s">
        <v>37</v>
      </c>
      <c r="B416" s="5">
        <v>2016</v>
      </c>
      <c r="C416" s="5" t="s">
        <v>30</v>
      </c>
      <c r="D416" s="15" t="s">
        <v>31</v>
      </c>
      <c r="E416" s="6">
        <v>113733</v>
      </c>
      <c r="F416" s="5" t="s">
        <v>38</v>
      </c>
      <c r="G416" s="5" t="s">
        <v>33</v>
      </c>
      <c r="H416" s="5" t="s">
        <v>17</v>
      </c>
      <c r="I416" s="5" t="s">
        <v>18</v>
      </c>
      <c r="J416" s="7">
        <v>45603</v>
      </c>
      <c r="K416" s="5" t="s">
        <v>17</v>
      </c>
      <c r="L416" s="8">
        <v>44113</v>
      </c>
      <c r="M416" s="19">
        <v>264</v>
      </c>
      <c r="N416" s="19">
        <v>314</v>
      </c>
      <c r="O416" s="24">
        <v>6500</v>
      </c>
      <c r="P416" s="24">
        <v>4800</v>
      </c>
      <c r="Q416" t="s">
        <v>1984</v>
      </c>
      <c r="R416" s="19">
        <f>VLOOKUP(A416,[1]Sheet1!$A$2:$Q$1536,15,FALSE)</f>
        <v>3965.284423828125</v>
      </c>
      <c r="S416" s="27">
        <f t="shared" si="18"/>
        <v>-0.2105058520281459</v>
      </c>
      <c r="T416" s="19">
        <f>VLOOKUP(A416,[1]Sheet1!$A$2:$Q$1536,16,FALSE)</f>
        <v>9104.158231108986</v>
      </c>
      <c r="U416" s="27">
        <f t="shared" si="19"/>
        <v>0.47276839020675637</v>
      </c>
      <c r="V416" s="19">
        <f>VLOOKUP(A416,[1]Sheet1!$A$2:$Q$1536,17,FALSE)</f>
        <v>3881.8876953125</v>
      </c>
      <c r="W416" s="27">
        <f t="shared" si="20"/>
        <v>-0.23651181506259161</v>
      </c>
    </row>
    <row r="417" spans="1:23" x14ac:dyDescent="0.3">
      <c r="A417" s="4" t="s">
        <v>1427</v>
      </c>
      <c r="B417" s="5">
        <v>2019</v>
      </c>
      <c r="C417" s="5" t="s">
        <v>1086</v>
      </c>
      <c r="D417" s="15" t="s">
        <v>1411</v>
      </c>
      <c r="E417" s="6">
        <v>36281</v>
      </c>
      <c r="F417" s="5" t="s">
        <v>158</v>
      </c>
      <c r="G417" s="5" t="s">
        <v>16</v>
      </c>
      <c r="H417" s="5" t="s">
        <v>17</v>
      </c>
      <c r="I417" s="5" t="s">
        <v>18</v>
      </c>
      <c r="J417" s="7">
        <v>45337</v>
      </c>
      <c r="K417" s="5" t="s">
        <v>17</v>
      </c>
      <c r="L417" s="8">
        <v>44113</v>
      </c>
      <c r="M417" s="19">
        <v>264</v>
      </c>
      <c r="N417" s="19">
        <v>314</v>
      </c>
      <c r="O417" s="24">
        <v>13500</v>
      </c>
      <c r="P417" s="24">
        <v>11400</v>
      </c>
      <c r="Q417" t="s">
        <v>1984</v>
      </c>
      <c r="R417" s="19">
        <f>VLOOKUP(A417,[1]Sheet1!$A$2:$Q$1536,15,FALSE)</f>
        <v>10648.65234375</v>
      </c>
      <c r="S417" s="27">
        <f t="shared" si="18"/>
        <v>-7.0558004148852466E-2</v>
      </c>
      <c r="T417" s="19">
        <f>VLOOKUP(A417,[1]Sheet1!$A$2:$Q$1536,16,FALSE)</f>
        <v>12057.889293814689</v>
      </c>
      <c r="U417" s="27">
        <f t="shared" si="19"/>
        <v>5.4560900152911943E-2</v>
      </c>
      <c r="V417" s="19">
        <f>VLOOKUP(A417,[1]Sheet1!$A$2:$Q$1536,17,FALSE)</f>
        <v>10494.6142578125</v>
      </c>
      <c r="W417" s="27">
        <f t="shared" si="20"/>
        <v>-8.6271464576556892E-2</v>
      </c>
    </row>
    <row r="418" spans="1:23" x14ac:dyDescent="0.3">
      <c r="A418" s="4" t="s">
        <v>983</v>
      </c>
      <c r="B418" s="5">
        <v>2017</v>
      </c>
      <c r="C418" s="5" t="s">
        <v>83</v>
      </c>
      <c r="D418" s="15" t="s">
        <v>965</v>
      </c>
      <c r="E418" s="6">
        <v>77603</v>
      </c>
      <c r="F418" s="5" t="s">
        <v>199</v>
      </c>
      <c r="G418" s="5" t="s">
        <v>16</v>
      </c>
      <c r="H418" s="5" t="s">
        <v>17</v>
      </c>
      <c r="I418" s="5" t="s">
        <v>18</v>
      </c>
      <c r="J418" s="7">
        <v>45706</v>
      </c>
      <c r="K418" s="5" t="s">
        <v>17</v>
      </c>
      <c r="L418" s="8">
        <v>44054</v>
      </c>
      <c r="M418" s="19">
        <v>235</v>
      </c>
      <c r="N418" s="19">
        <v>285</v>
      </c>
      <c r="O418" s="24">
        <v>10700</v>
      </c>
      <c r="P418" s="24">
        <v>10500</v>
      </c>
      <c r="Q418" t="s">
        <v>1984</v>
      </c>
      <c r="R418" s="19">
        <f>VLOOKUP(A418,[1]Sheet1!$A$2:$Q$1536,15,FALSE)</f>
        <v>12424.9794921875</v>
      </c>
      <c r="S418" s="27">
        <f t="shared" si="18"/>
        <v>0.15492818264994937</v>
      </c>
      <c r="T418" s="19">
        <f>VLOOKUP(A418,[1]Sheet1!$A$2:$Q$1536,16,FALSE)</f>
        <v>9911.8607829833018</v>
      </c>
      <c r="U418" s="27">
        <f t="shared" si="19"/>
        <v>-5.9336912603374793E-2</v>
      </c>
      <c r="V418" s="19">
        <f>VLOOKUP(A418,[1]Sheet1!$A$2:$Q$1536,17,FALSE)</f>
        <v>12731.189453125</v>
      </c>
      <c r="W418" s="27">
        <f t="shared" si="20"/>
        <v>0.17525380965698628</v>
      </c>
    </row>
    <row r="419" spans="1:23" x14ac:dyDescent="0.3">
      <c r="A419" s="4" t="s">
        <v>712</v>
      </c>
      <c r="B419" s="5">
        <v>2012</v>
      </c>
      <c r="C419" s="5" t="s">
        <v>237</v>
      </c>
      <c r="D419" s="15" t="s">
        <v>245</v>
      </c>
      <c r="E419" s="6">
        <v>51775</v>
      </c>
      <c r="F419" s="5" t="s">
        <v>42</v>
      </c>
      <c r="G419" s="5" t="s">
        <v>22</v>
      </c>
      <c r="H419" s="5" t="s">
        <v>18</v>
      </c>
      <c r="I419" s="5" t="s">
        <v>17</v>
      </c>
      <c r="J419" s="7">
        <v>45608</v>
      </c>
      <c r="K419" s="5" t="s">
        <v>17</v>
      </c>
      <c r="L419" s="8">
        <v>44307</v>
      </c>
      <c r="M419" s="19">
        <v>235</v>
      </c>
      <c r="N419" s="19">
        <v>285</v>
      </c>
      <c r="O419" s="24">
        <v>7500</v>
      </c>
      <c r="P419" s="24">
        <v>3000</v>
      </c>
      <c r="Q419" t="s">
        <v>1984</v>
      </c>
      <c r="R419" s="19">
        <f>VLOOKUP(A419,[1]Sheet1!$A$2:$Q$1536,15,FALSE)</f>
        <v>7188.625</v>
      </c>
      <c r="S419" s="27">
        <f t="shared" si="18"/>
        <v>0.58267401624093618</v>
      </c>
      <c r="T419" s="19">
        <f>VLOOKUP(A419,[1]Sheet1!$A$2:$Q$1536,16,FALSE)</f>
        <v>12393.636090749291</v>
      </c>
      <c r="U419" s="27">
        <f t="shared" si="19"/>
        <v>0.75794028660892954</v>
      </c>
      <c r="V419" s="19">
        <f>VLOOKUP(A419,[1]Sheet1!$A$2:$Q$1536,17,FALSE)</f>
        <v>7513.18701171875</v>
      </c>
      <c r="W419" s="27">
        <f t="shared" si="20"/>
        <v>0.60070207285926369</v>
      </c>
    </row>
    <row r="420" spans="1:23" x14ac:dyDescent="0.3">
      <c r="A420" s="4" t="s">
        <v>1418</v>
      </c>
      <c r="B420" s="5">
        <v>2013</v>
      </c>
      <c r="C420" s="5" t="s">
        <v>1086</v>
      </c>
      <c r="D420" s="15" t="s">
        <v>1411</v>
      </c>
      <c r="E420" s="6">
        <v>133095</v>
      </c>
      <c r="F420" s="5" t="s">
        <v>73</v>
      </c>
      <c r="G420" s="5" t="s">
        <v>25</v>
      </c>
      <c r="H420" s="5" t="s">
        <v>18</v>
      </c>
      <c r="I420" s="5" t="s">
        <v>17</v>
      </c>
      <c r="J420" s="7">
        <v>45645</v>
      </c>
      <c r="K420" s="5" t="s">
        <v>17</v>
      </c>
      <c r="L420" s="8">
        <v>44113</v>
      </c>
      <c r="M420" s="19">
        <v>264</v>
      </c>
      <c r="N420" s="19">
        <v>314</v>
      </c>
      <c r="O420" s="24">
        <v>2600</v>
      </c>
      <c r="P420" s="24">
        <v>2300</v>
      </c>
      <c r="Q420" t="s">
        <v>1984</v>
      </c>
      <c r="R420" s="19">
        <f>VLOOKUP(A420,[1]Sheet1!$A$2:$Q$1536,15,FALSE)</f>
        <v>471.88763427734381</v>
      </c>
      <c r="S420" s="27">
        <f t="shared" si="18"/>
        <v>-3.8740416847800145</v>
      </c>
      <c r="T420" s="19">
        <f>VLOOKUP(A420,[1]Sheet1!$A$2:$Q$1536,16,FALSE)</f>
        <v>8551.3003874688329</v>
      </c>
      <c r="U420" s="27">
        <f t="shared" si="19"/>
        <v>0.73103505948984737</v>
      </c>
      <c r="V420" s="19">
        <f>VLOOKUP(A420,[1]Sheet1!$A$2:$Q$1536,17,FALSE)</f>
        <v>816.079345703125</v>
      </c>
      <c r="W420" s="27">
        <f t="shared" si="20"/>
        <v>-1.8183534016760898</v>
      </c>
    </row>
    <row r="421" spans="1:23" x14ac:dyDescent="0.3">
      <c r="A421" s="4" t="s">
        <v>1539</v>
      </c>
      <c r="B421" s="5">
        <v>2013</v>
      </c>
      <c r="C421" s="5" t="s">
        <v>1139</v>
      </c>
      <c r="D421" s="15" t="s">
        <v>1540</v>
      </c>
      <c r="E421" s="6">
        <v>189659</v>
      </c>
      <c r="F421" s="5" t="s">
        <v>21</v>
      </c>
      <c r="G421" s="5" t="s">
        <v>25</v>
      </c>
      <c r="H421" s="5" t="s">
        <v>18</v>
      </c>
      <c r="I421" s="5" t="s">
        <v>17</v>
      </c>
      <c r="J421" s="7">
        <v>45552</v>
      </c>
      <c r="K421" s="5" t="s">
        <v>17</v>
      </c>
      <c r="L421" s="8">
        <v>44135</v>
      </c>
      <c r="M421" s="19">
        <v>235</v>
      </c>
      <c r="N421" s="19">
        <v>285</v>
      </c>
      <c r="O421" s="24">
        <v>1600</v>
      </c>
      <c r="P421" s="24">
        <v>500</v>
      </c>
      <c r="Q421" t="s">
        <v>1984</v>
      </c>
      <c r="R421" s="19">
        <f>VLOOKUP(A421,[1]Sheet1!$A$2:$Q$1536,15,FALSE)</f>
        <v>872.80828857421875</v>
      </c>
      <c r="S421" s="27">
        <f t="shared" si="18"/>
        <v>0.42713651262778679</v>
      </c>
      <c r="T421" s="19">
        <f>VLOOKUP(A421,[1]Sheet1!$A$2:$Q$1536,16,FALSE)</f>
        <v>8983.1849196634703</v>
      </c>
      <c r="U421" s="27">
        <f t="shared" si="19"/>
        <v>0.94434045336130845</v>
      </c>
      <c r="V421" s="19">
        <f>VLOOKUP(A421,[1]Sheet1!$A$2:$Q$1536,17,FALSE)</f>
        <v>1083.871215820312</v>
      </c>
      <c r="W421" s="27">
        <f t="shared" si="20"/>
        <v>0.53869058177582263</v>
      </c>
    </row>
    <row r="422" spans="1:23" x14ac:dyDescent="0.3">
      <c r="A422" s="4" t="s">
        <v>1450</v>
      </c>
      <c r="B422" s="5">
        <v>2012</v>
      </c>
      <c r="C422" s="5" t="s">
        <v>1086</v>
      </c>
      <c r="D422" s="15" t="s">
        <v>1447</v>
      </c>
      <c r="E422" s="6">
        <v>96078</v>
      </c>
      <c r="F422" s="5" t="s">
        <v>81</v>
      </c>
      <c r="G422" s="5" t="s">
        <v>28</v>
      </c>
      <c r="H422" s="5" t="s">
        <v>17</v>
      </c>
      <c r="I422" s="5" t="s">
        <v>18</v>
      </c>
      <c r="J422" s="7">
        <v>45428</v>
      </c>
      <c r="K422" s="5" t="s">
        <v>17</v>
      </c>
      <c r="L422" s="8">
        <v>44113</v>
      </c>
      <c r="M422" s="19">
        <v>264</v>
      </c>
      <c r="N422" s="19">
        <v>314</v>
      </c>
      <c r="O422" s="24">
        <v>0</v>
      </c>
      <c r="P422" s="24">
        <v>3200</v>
      </c>
      <c r="Q422" t="s">
        <v>1983</v>
      </c>
      <c r="R422" s="19">
        <f>VLOOKUP(A422,[1]Sheet1!$A$2:$Q$1536,15,FALSE)</f>
        <v>1486.618896484375</v>
      </c>
      <c r="S422" s="27">
        <f t="shared" si="18"/>
        <v>-1.1525355338664858</v>
      </c>
      <c r="T422" s="19">
        <f>VLOOKUP(A422,[1]Sheet1!$A$2:$Q$1536,16,FALSE)</f>
        <v>8925.9283572007462</v>
      </c>
      <c r="U422" s="27">
        <f t="shared" si="19"/>
        <v>0.6414938735847584</v>
      </c>
      <c r="V422" s="19">
        <f>VLOOKUP(A422,[1]Sheet1!$A$2:$Q$1536,17,FALSE)</f>
        <v>1395.367431640625</v>
      </c>
      <c r="W422" s="27">
        <f t="shared" si="20"/>
        <v>-1.2933027727596811</v>
      </c>
    </row>
    <row r="423" spans="1:23" x14ac:dyDescent="0.3">
      <c r="A423" s="4" t="s">
        <v>1980</v>
      </c>
      <c r="B423" s="5">
        <v>2017</v>
      </c>
      <c r="C423" s="5" t="s">
        <v>932</v>
      </c>
      <c r="D423" s="15" t="s">
        <v>1979</v>
      </c>
      <c r="E423" s="6">
        <v>87285</v>
      </c>
      <c r="F423" s="5" t="s">
        <v>47</v>
      </c>
      <c r="G423" s="5" t="s">
        <v>28</v>
      </c>
      <c r="H423" s="5" t="s">
        <v>17</v>
      </c>
      <c r="I423" s="5" t="s">
        <v>18</v>
      </c>
      <c r="J423" s="7">
        <v>45398</v>
      </c>
      <c r="K423" s="5" t="s">
        <v>17</v>
      </c>
      <c r="L423" s="8">
        <v>44483</v>
      </c>
      <c r="M423" s="19">
        <v>264</v>
      </c>
      <c r="N423" s="19">
        <v>314</v>
      </c>
      <c r="O423" s="24">
        <v>8000</v>
      </c>
      <c r="P423" s="24">
        <v>3600</v>
      </c>
      <c r="Q423" t="s">
        <v>1984</v>
      </c>
      <c r="R423" s="19">
        <f>VLOOKUP(A423,[1]Sheet1!$A$2:$Q$1536,15,FALSE)</f>
        <v>8611.6162109375</v>
      </c>
      <c r="S423" s="27">
        <f t="shared" si="18"/>
        <v>0.58196000474014531</v>
      </c>
      <c r="T423" s="19">
        <f>VLOOKUP(A423,[1]Sheet1!$A$2:$Q$1536,16,FALSE)</f>
        <v>10006.318969473859</v>
      </c>
      <c r="U423" s="27">
        <f t="shared" si="19"/>
        <v>0.64022733924608333</v>
      </c>
      <c r="V423" s="19">
        <f>VLOOKUP(A423,[1]Sheet1!$A$2:$Q$1536,17,FALSE)</f>
        <v>8592.533203125</v>
      </c>
      <c r="W423" s="27">
        <f t="shared" si="20"/>
        <v>0.58103158697242818</v>
      </c>
    </row>
    <row r="424" spans="1:23" x14ac:dyDescent="0.3">
      <c r="A424" s="4" t="s">
        <v>403</v>
      </c>
      <c r="B424" s="5">
        <v>2016</v>
      </c>
      <c r="C424" s="5" t="s">
        <v>391</v>
      </c>
      <c r="D424" s="15" t="s">
        <v>400</v>
      </c>
      <c r="E424" s="6">
        <v>136577</v>
      </c>
      <c r="F424" s="5" t="s">
        <v>87</v>
      </c>
      <c r="G424" s="5" t="s">
        <v>33</v>
      </c>
      <c r="H424" s="5" t="s">
        <v>17</v>
      </c>
      <c r="I424" s="5" t="s">
        <v>18</v>
      </c>
      <c r="J424" s="7">
        <v>45715</v>
      </c>
      <c r="K424" s="5" t="s">
        <v>17</v>
      </c>
      <c r="L424" s="8">
        <v>44451</v>
      </c>
      <c r="M424" s="19">
        <v>264</v>
      </c>
      <c r="N424" s="19">
        <v>314</v>
      </c>
      <c r="O424" s="24">
        <v>3900</v>
      </c>
      <c r="P424" s="24">
        <v>500</v>
      </c>
      <c r="Q424" t="s">
        <v>1984</v>
      </c>
      <c r="R424" s="19">
        <f>VLOOKUP(A424,[1]Sheet1!$A$2:$Q$1536,15,FALSE)</f>
        <v>2310.936279296875</v>
      </c>
      <c r="S424" s="27">
        <f t="shared" si="18"/>
        <v>0.78363747867936462</v>
      </c>
      <c r="T424" s="19">
        <f>VLOOKUP(A424,[1]Sheet1!$A$2:$Q$1536,16,FALSE)</f>
        <v>9358.3311322248992</v>
      </c>
      <c r="U424" s="27">
        <f t="shared" si="19"/>
        <v>0.94657167042548029</v>
      </c>
      <c r="V424" s="19">
        <f>VLOOKUP(A424,[1]Sheet1!$A$2:$Q$1536,17,FALSE)</f>
        <v>2233.980712890625</v>
      </c>
      <c r="W424" s="27">
        <f t="shared" si="20"/>
        <v>0.77618428077069979</v>
      </c>
    </row>
    <row r="425" spans="1:23" x14ac:dyDescent="0.3">
      <c r="A425" s="4" t="s">
        <v>700</v>
      </c>
      <c r="B425" s="5">
        <v>2013</v>
      </c>
      <c r="C425" s="5" t="s">
        <v>684</v>
      </c>
      <c r="D425" s="15" t="s">
        <v>693</v>
      </c>
      <c r="E425" s="6">
        <v>78994</v>
      </c>
      <c r="F425" s="5" t="s">
        <v>79</v>
      </c>
      <c r="G425" s="5" t="s">
        <v>28</v>
      </c>
      <c r="H425" s="5" t="s">
        <v>17</v>
      </c>
      <c r="I425" s="5" t="s">
        <v>18</v>
      </c>
      <c r="J425" s="7">
        <v>45664</v>
      </c>
      <c r="K425" s="5" t="s">
        <v>17</v>
      </c>
      <c r="L425" s="8">
        <v>44483</v>
      </c>
      <c r="M425" s="19">
        <v>264</v>
      </c>
      <c r="N425" s="19">
        <v>314</v>
      </c>
      <c r="O425" s="24">
        <v>6350</v>
      </c>
      <c r="P425" s="24">
        <v>4200</v>
      </c>
      <c r="Q425" t="s">
        <v>1984</v>
      </c>
      <c r="R425" s="19">
        <f>VLOOKUP(A425,[1]Sheet1!$A$2:$Q$1536,15,FALSE)</f>
        <v>1839.4150390625</v>
      </c>
      <c r="S425" s="27">
        <f t="shared" si="18"/>
        <v>-1.2833345986670992</v>
      </c>
      <c r="T425" s="19">
        <f>VLOOKUP(A425,[1]Sheet1!$A$2:$Q$1536,16,FALSE)</f>
        <v>8826.9002893410689</v>
      </c>
      <c r="U425" s="27">
        <f t="shared" si="19"/>
        <v>0.52418177816376677</v>
      </c>
      <c r="V425" s="19">
        <f>VLOOKUP(A425,[1]Sheet1!$A$2:$Q$1536,17,FALSE)</f>
        <v>1783.572998046875</v>
      </c>
      <c r="W425" s="27">
        <f t="shared" si="20"/>
        <v>-1.3548237187932679</v>
      </c>
    </row>
    <row r="426" spans="1:23" x14ac:dyDescent="0.3">
      <c r="A426" s="4" t="s">
        <v>414</v>
      </c>
      <c r="B426" s="5">
        <v>2017</v>
      </c>
      <c r="C426" s="5" t="s">
        <v>391</v>
      </c>
      <c r="D426" s="15" t="s">
        <v>413</v>
      </c>
      <c r="E426" s="6">
        <v>56690</v>
      </c>
      <c r="F426" s="5" t="s">
        <v>79</v>
      </c>
      <c r="G426" s="5" t="s">
        <v>28</v>
      </c>
      <c r="H426" s="5" t="s">
        <v>17</v>
      </c>
      <c r="I426" s="5" t="s">
        <v>18</v>
      </c>
      <c r="J426" s="7">
        <v>45608</v>
      </c>
      <c r="K426" s="5" t="s">
        <v>17</v>
      </c>
      <c r="L426" s="8">
        <v>44310</v>
      </c>
      <c r="M426" s="19">
        <v>235</v>
      </c>
      <c r="N426" s="19">
        <v>285</v>
      </c>
      <c r="O426" s="24">
        <v>6600</v>
      </c>
      <c r="P426" s="24">
        <v>2400</v>
      </c>
      <c r="Q426" t="s">
        <v>1984</v>
      </c>
      <c r="R426" s="19">
        <f>VLOOKUP(A426,[1]Sheet1!$A$2:$Q$1536,15,FALSE)</f>
        <v>6822.37060546875</v>
      </c>
      <c r="S426" s="27">
        <f t="shared" si="18"/>
        <v>0.64821612035028087</v>
      </c>
      <c r="T426" s="19">
        <f>VLOOKUP(A426,[1]Sheet1!$A$2:$Q$1536,16,FALSE)</f>
        <v>11343.934820071259</v>
      </c>
      <c r="U426" s="27">
        <f t="shared" si="19"/>
        <v>0.78843319905597586</v>
      </c>
      <c r="V426" s="19">
        <f>VLOOKUP(A426,[1]Sheet1!$A$2:$Q$1536,17,FALSE)</f>
        <v>6409.05224609375</v>
      </c>
      <c r="W426" s="27">
        <f t="shared" si="20"/>
        <v>0.62552965589213683</v>
      </c>
    </row>
    <row r="427" spans="1:23" x14ac:dyDescent="0.3">
      <c r="A427" s="4" t="s">
        <v>1218</v>
      </c>
      <c r="B427" s="5">
        <v>2014</v>
      </c>
      <c r="C427" s="5" t="s">
        <v>1219</v>
      </c>
      <c r="D427" s="15" t="s">
        <v>1220</v>
      </c>
      <c r="E427" s="6">
        <v>117075</v>
      </c>
      <c r="F427" s="5" t="s">
        <v>24</v>
      </c>
      <c r="G427" s="5" t="s">
        <v>28</v>
      </c>
      <c r="H427" s="5" t="s">
        <v>17</v>
      </c>
      <c r="I427" s="5" t="s">
        <v>18</v>
      </c>
      <c r="J427" s="7">
        <v>45538</v>
      </c>
      <c r="K427" s="5" t="s">
        <v>17</v>
      </c>
      <c r="L427" s="8">
        <v>44128</v>
      </c>
      <c r="M427" s="19">
        <v>264</v>
      </c>
      <c r="N427" s="19">
        <v>314</v>
      </c>
      <c r="O427" s="24">
        <v>3900</v>
      </c>
      <c r="P427" s="24">
        <v>2400</v>
      </c>
      <c r="Q427" t="s">
        <v>1984</v>
      </c>
      <c r="R427" s="19">
        <f>VLOOKUP(A427,[1]Sheet1!$A$2:$Q$1536,15,FALSE)</f>
        <v>1197.543212890625</v>
      </c>
      <c r="S427" s="27">
        <f t="shared" si="18"/>
        <v>-1.0041030454399134</v>
      </c>
      <c r="T427" s="19">
        <f>VLOOKUP(A427,[1]Sheet1!$A$2:$Q$1536,16,FALSE)</f>
        <v>9120.0015872169479</v>
      </c>
      <c r="U427" s="27">
        <f t="shared" si="19"/>
        <v>0.7368421510623463</v>
      </c>
      <c r="V427" s="19">
        <f>VLOOKUP(A427,[1]Sheet1!$A$2:$Q$1536,17,FALSE)</f>
        <v>1276.312622070312</v>
      </c>
      <c r="W427" s="27">
        <f t="shared" si="20"/>
        <v>-0.88041703772148705</v>
      </c>
    </row>
    <row r="428" spans="1:23" x14ac:dyDescent="0.3">
      <c r="A428" s="4" t="s">
        <v>465</v>
      </c>
      <c r="B428" s="5">
        <v>2014</v>
      </c>
      <c r="C428" s="5" t="s">
        <v>391</v>
      </c>
      <c r="D428" s="15" t="s">
        <v>413</v>
      </c>
      <c r="E428" s="6">
        <v>78945</v>
      </c>
      <c r="F428" s="5" t="s">
        <v>64</v>
      </c>
      <c r="G428" s="5" t="s">
        <v>28</v>
      </c>
      <c r="H428" s="5" t="s">
        <v>17</v>
      </c>
      <c r="I428" s="5" t="s">
        <v>18</v>
      </c>
      <c r="J428" s="7">
        <v>45622</v>
      </c>
      <c r="K428" s="5" t="s">
        <v>17</v>
      </c>
      <c r="L428" s="8">
        <v>43612</v>
      </c>
      <c r="M428" s="19">
        <v>264</v>
      </c>
      <c r="N428" s="19">
        <v>314</v>
      </c>
      <c r="O428" s="24">
        <v>4400</v>
      </c>
      <c r="P428" s="24">
        <v>800</v>
      </c>
      <c r="Q428" t="s">
        <v>1984</v>
      </c>
      <c r="R428" s="19">
        <f>VLOOKUP(A428,[1]Sheet1!$A$2:$Q$1536,15,FALSE)</f>
        <v>7416.6748046875</v>
      </c>
      <c r="S428" s="27">
        <f t="shared" si="18"/>
        <v>0.89213494981681241</v>
      </c>
      <c r="T428" s="19">
        <f>VLOOKUP(A428,[1]Sheet1!$A$2:$Q$1536,16,FALSE)</f>
        <v>9500.8485271811642</v>
      </c>
      <c r="U428" s="27">
        <f t="shared" si="19"/>
        <v>0.91579699458303498</v>
      </c>
      <c r="V428" s="19">
        <f>VLOOKUP(A428,[1]Sheet1!$A$2:$Q$1536,17,FALSE)</f>
        <v>7443.03955078125</v>
      </c>
      <c r="W428" s="27">
        <f t="shared" si="20"/>
        <v>0.89251702956273704</v>
      </c>
    </row>
    <row r="429" spans="1:23" x14ac:dyDescent="0.3">
      <c r="A429" s="4" t="s">
        <v>1327</v>
      </c>
      <c r="B429" s="5">
        <v>2019</v>
      </c>
      <c r="C429" s="5" t="s">
        <v>1089</v>
      </c>
      <c r="D429" s="15" t="s">
        <v>1328</v>
      </c>
      <c r="E429" s="6">
        <v>43718</v>
      </c>
      <c r="F429" s="5" t="s">
        <v>246</v>
      </c>
      <c r="G429" s="5" t="s">
        <v>16</v>
      </c>
      <c r="H429" s="5" t="s">
        <v>17</v>
      </c>
      <c r="I429" s="5" t="s">
        <v>18</v>
      </c>
      <c r="J429" s="7">
        <v>45505</v>
      </c>
      <c r="K429" s="5" t="s">
        <v>17</v>
      </c>
      <c r="L429" s="8">
        <v>43617</v>
      </c>
      <c r="M429" s="19">
        <v>264</v>
      </c>
      <c r="N429" s="19">
        <v>314</v>
      </c>
      <c r="O429" s="24">
        <v>12600</v>
      </c>
      <c r="P429" s="24">
        <v>11000</v>
      </c>
      <c r="Q429" t="s">
        <v>1984</v>
      </c>
      <c r="R429" s="19">
        <f>VLOOKUP(A429,[1]Sheet1!$A$2:$Q$1536,15,FALSE)</f>
        <v>11367.59765625</v>
      </c>
      <c r="S429" s="27">
        <f t="shared" si="18"/>
        <v>3.2337321161951198E-2</v>
      </c>
      <c r="T429" s="19">
        <f>VLOOKUP(A429,[1]Sheet1!$A$2:$Q$1536,16,FALSE)</f>
        <v>11908.022748659831</v>
      </c>
      <c r="U429" s="27">
        <f t="shared" si="19"/>
        <v>7.62530243538561E-2</v>
      </c>
      <c r="V429" s="19">
        <f>VLOOKUP(A429,[1]Sheet1!$A$2:$Q$1536,17,FALSE)</f>
        <v>11245.876953125</v>
      </c>
      <c r="W429" s="27">
        <f t="shared" si="20"/>
        <v>2.1863742076306092E-2</v>
      </c>
    </row>
    <row r="430" spans="1:23" x14ac:dyDescent="0.3">
      <c r="A430" s="4" t="s">
        <v>1429</v>
      </c>
      <c r="B430" s="5">
        <v>2017</v>
      </c>
      <c r="C430" s="5" t="s">
        <v>1086</v>
      </c>
      <c r="D430" s="15" t="s">
        <v>1411</v>
      </c>
      <c r="E430" s="6">
        <v>123582</v>
      </c>
      <c r="F430" s="5" t="s">
        <v>32</v>
      </c>
      <c r="G430" s="5" t="s">
        <v>33</v>
      </c>
      <c r="H430" s="5" t="s">
        <v>17</v>
      </c>
      <c r="I430" s="5" t="s">
        <v>18</v>
      </c>
      <c r="J430" s="7">
        <v>45342</v>
      </c>
      <c r="K430" s="5" t="s">
        <v>17</v>
      </c>
      <c r="L430" s="8">
        <v>44310</v>
      </c>
      <c r="M430" s="19">
        <v>235</v>
      </c>
      <c r="N430" s="19">
        <v>285</v>
      </c>
      <c r="O430" s="24">
        <v>3500</v>
      </c>
      <c r="P430" s="24">
        <v>2300</v>
      </c>
      <c r="Q430" t="s">
        <v>1984</v>
      </c>
      <c r="R430" s="19">
        <f>VLOOKUP(A430,[1]Sheet1!$A$2:$Q$1536,15,FALSE)</f>
        <v>2547.181396484375</v>
      </c>
      <c r="S430" s="27">
        <f t="shared" si="18"/>
        <v>9.7041143919131656E-2</v>
      </c>
      <c r="T430" s="19">
        <f>VLOOKUP(A430,[1]Sheet1!$A$2:$Q$1536,16,FALSE)</f>
        <v>8556.2828503635556</v>
      </c>
      <c r="U430" s="27">
        <f t="shared" si="19"/>
        <v>0.7311916821564316</v>
      </c>
      <c r="V430" s="19">
        <f>VLOOKUP(A430,[1]Sheet1!$A$2:$Q$1536,17,FALSE)</f>
        <v>2410.47705078125</v>
      </c>
      <c r="W430" s="27">
        <f t="shared" si="20"/>
        <v>4.5832027625172259E-2</v>
      </c>
    </row>
    <row r="431" spans="1:23" x14ac:dyDescent="0.3">
      <c r="A431" s="4" t="s">
        <v>1244</v>
      </c>
      <c r="B431" s="5">
        <v>2012</v>
      </c>
      <c r="C431" s="5" t="s">
        <v>920</v>
      </c>
      <c r="D431" s="15" t="s">
        <v>1241</v>
      </c>
      <c r="E431" s="6">
        <v>118958</v>
      </c>
      <c r="F431" s="5" t="s">
        <v>47</v>
      </c>
      <c r="G431" s="5" t="s">
        <v>16</v>
      </c>
      <c r="H431" s="5" t="s">
        <v>17</v>
      </c>
      <c r="I431" s="5" t="s">
        <v>18</v>
      </c>
      <c r="J431" s="7">
        <v>45622</v>
      </c>
      <c r="K431" s="5" t="s">
        <v>17</v>
      </c>
      <c r="L431" s="8">
        <v>44430</v>
      </c>
      <c r="M431" s="19">
        <v>264</v>
      </c>
      <c r="N431" s="19">
        <v>314</v>
      </c>
      <c r="O431" s="24">
        <v>7400</v>
      </c>
      <c r="P431" s="24">
        <v>3800</v>
      </c>
      <c r="Q431" t="s">
        <v>1984</v>
      </c>
      <c r="R431" s="19">
        <f>VLOOKUP(A431,[1]Sheet1!$A$2:$Q$1536,15,FALSE)</f>
        <v>6357.34228515625</v>
      </c>
      <c r="S431" s="27">
        <f t="shared" si="18"/>
        <v>0.40226594234628282</v>
      </c>
      <c r="T431" s="19">
        <f>VLOOKUP(A431,[1]Sheet1!$A$2:$Q$1536,16,FALSE)</f>
        <v>10219.816916269259</v>
      </c>
      <c r="U431" s="27">
        <f t="shared" si="19"/>
        <v>0.62817337814039931</v>
      </c>
      <c r="V431" s="19">
        <f>VLOOKUP(A431,[1]Sheet1!$A$2:$Q$1536,17,FALSE)</f>
        <v>6123.6171875</v>
      </c>
      <c r="W431" s="27">
        <f t="shared" si="20"/>
        <v>0.37945173846646502</v>
      </c>
    </row>
    <row r="432" spans="1:23" x14ac:dyDescent="0.3">
      <c r="A432" s="4" t="s">
        <v>1910</v>
      </c>
      <c r="B432" s="5">
        <v>2018</v>
      </c>
      <c r="C432" s="5" t="s">
        <v>1911</v>
      </c>
      <c r="D432" s="15" t="s">
        <v>1912</v>
      </c>
      <c r="E432" s="6">
        <v>102675</v>
      </c>
      <c r="F432" s="5" t="s">
        <v>59</v>
      </c>
      <c r="G432" s="5" t="s">
        <v>16</v>
      </c>
      <c r="H432" s="5" t="s">
        <v>17</v>
      </c>
      <c r="I432" s="5" t="s">
        <v>18</v>
      </c>
      <c r="J432" s="7">
        <v>45412</v>
      </c>
      <c r="K432" s="5" t="s">
        <v>17</v>
      </c>
      <c r="L432" s="8">
        <v>44444</v>
      </c>
      <c r="M432" s="19">
        <v>264</v>
      </c>
      <c r="N432" s="19">
        <v>314</v>
      </c>
      <c r="O432" s="24">
        <v>0</v>
      </c>
      <c r="P432" s="24">
        <v>920</v>
      </c>
      <c r="Q432" t="s">
        <v>1983</v>
      </c>
      <c r="R432" s="19">
        <f>VLOOKUP(A432,[1]Sheet1!$A$2:$Q$1536,15,FALSE)</f>
        <v>9568.9931640625</v>
      </c>
      <c r="S432" s="27">
        <f t="shared" si="18"/>
        <v>0.90385613363638195</v>
      </c>
      <c r="T432" s="19">
        <f>VLOOKUP(A432,[1]Sheet1!$A$2:$Q$1536,16,FALSE)</f>
        <v>9744.7845199095646</v>
      </c>
      <c r="U432" s="27">
        <f t="shared" si="19"/>
        <v>0.90559052402643192</v>
      </c>
      <c r="V432" s="19">
        <f>VLOOKUP(A432,[1]Sheet1!$A$2:$Q$1536,17,FALSE)</f>
        <v>9592.1640625</v>
      </c>
      <c r="W432" s="27">
        <f t="shared" si="20"/>
        <v>0.90408837943080167</v>
      </c>
    </row>
    <row r="433" spans="1:23" x14ac:dyDescent="0.3">
      <c r="A433" s="4" t="s">
        <v>1592</v>
      </c>
      <c r="B433" s="5">
        <v>2011</v>
      </c>
      <c r="C433" s="5" t="s">
        <v>1590</v>
      </c>
      <c r="D433" s="15" t="s">
        <v>1593</v>
      </c>
      <c r="E433" s="6">
        <v>88424</v>
      </c>
      <c r="F433" s="5" t="s">
        <v>115</v>
      </c>
      <c r="G433" s="5" t="s">
        <v>28</v>
      </c>
      <c r="H433" s="5" t="s">
        <v>17</v>
      </c>
      <c r="I433" s="5" t="s">
        <v>18</v>
      </c>
      <c r="J433" s="7">
        <v>45692</v>
      </c>
      <c r="K433" s="5" t="s">
        <v>17</v>
      </c>
      <c r="L433" s="8">
        <v>44444</v>
      </c>
      <c r="M433" s="19">
        <v>264</v>
      </c>
      <c r="N433" s="19">
        <v>314</v>
      </c>
      <c r="O433" s="24">
        <v>9300</v>
      </c>
      <c r="P433" s="24">
        <v>3300</v>
      </c>
      <c r="Q433" t="s">
        <v>1984</v>
      </c>
      <c r="R433" s="19">
        <f>VLOOKUP(A433,[1]Sheet1!$A$2:$Q$1536,15,FALSE)</f>
        <v>8469.7109375</v>
      </c>
      <c r="S433" s="27">
        <f t="shared" si="18"/>
        <v>0.6103763133887945</v>
      </c>
      <c r="T433" s="19">
        <f>VLOOKUP(A433,[1]Sheet1!$A$2:$Q$1536,16,FALSE)</f>
        <v>10354.819173596659</v>
      </c>
      <c r="U433" s="27">
        <f t="shared" si="19"/>
        <v>0.6813078099505071</v>
      </c>
      <c r="V433" s="19">
        <f>VLOOKUP(A433,[1]Sheet1!$A$2:$Q$1536,17,FALSE)</f>
        <v>8354.6943359375</v>
      </c>
      <c r="W433" s="27">
        <f t="shared" si="20"/>
        <v>0.60501247953439352</v>
      </c>
    </row>
    <row r="434" spans="1:23" x14ac:dyDescent="0.3">
      <c r="A434" s="4" t="s">
        <v>1825</v>
      </c>
      <c r="B434" s="5">
        <v>2016</v>
      </c>
      <c r="C434" s="5" t="s">
        <v>1826</v>
      </c>
      <c r="D434" s="15" t="s">
        <v>1827</v>
      </c>
      <c r="E434" s="6">
        <v>54355</v>
      </c>
      <c r="F434" s="5" t="s">
        <v>644</v>
      </c>
      <c r="G434" s="5" t="s">
        <v>16</v>
      </c>
      <c r="H434" s="5" t="s">
        <v>17</v>
      </c>
      <c r="I434" s="5" t="s">
        <v>18</v>
      </c>
      <c r="J434" s="7">
        <v>45706</v>
      </c>
      <c r="K434" s="5" t="s">
        <v>17</v>
      </c>
      <c r="L434" s="8">
        <v>43950</v>
      </c>
      <c r="M434" s="19">
        <v>264</v>
      </c>
      <c r="N434" s="19">
        <v>314</v>
      </c>
      <c r="O434" s="24">
        <v>10100</v>
      </c>
      <c r="P434" s="24">
        <v>8058.3333333333303</v>
      </c>
      <c r="Q434" t="s">
        <v>1984</v>
      </c>
      <c r="R434" s="19">
        <f>VLOOKUP(A434,[1]Sheet1!$A$2:$Q$1536,15,FALSE)</f>
        <v>14379.7607421875</v>
      </c>
      <c r="S434" s="27">
        <f t="shared" si="18"/>
        <v>0.43960588233629622</v>
      </c>
      <c r="T434" s="19">
        <f>VLOOKUP(A434,[1]Sheet1!$A$2:$Q$1536,16,FALSE)</f>
        <v>12311.65240147811</v>
      </c>
      <c r="U434" s="27">
        <f t="shared" si="19"/>
        <v>0.34547101635472877</v>
      </c>
      <c r="V434" s="19">
        <f>VLOOKUP(A434,[1]Sheet1!$A$2:$Q$1536,17,FALSE)</f>
        <v>14464.45703125</v>
      </c>
      <c r="W434" s="27">
        <f t="shared" si="20"/>
        <v>0.44288725695520009</v>
      </c>
    </row>
    <row r="435" spans="1:23" x14ac:dyDescent="0.3">
      <c r="A435" s="4" t="s">
        <v>1395</v>
      </c>
      <c r="B435" s="5">
        <v>2013</v>
      </c>
      <c r="C435" s="5" t="s">
        <v>1089</v>
      </c>
      <c r="D435" s="15" t="s">
        <v>1363</v>
      </c>
      <c r="E435" s="6">
        <v>127417</v>
      </c>
      <c r="F435" s="5" t="s">
        <v>219</v>
      </c>
      <c r="G435" s="5" t="s">
        <v>22</v>
      </c>
      <c r="H435" s="5" t="s">
        <v>18</v>
      </c>
      <c r="I435" s="5" t="s">
        <v>17</v>
      </c>
      <c r="J435" s="7">
        <v>45356</v>
      </c>
      <c r="K435" s="5" t="s">
        <v>17</v>
      </c>
      <c r="L435" s="8">
        <v>44028</v>
      </c>
      <c r="M435" s="19">
        <v>235</v>
      </c>
      <c r="N435" s="19">
        <v>285</v>
      </c>
      <c r="O435" s="24">
        <v>1200</v>
      </c>
      <c r="P435" s="24">
        <v>800</v>
      </c>
      <c r="Q435" t="s">
        <v>1984</v>
      </c>
      <c r="R435" s="19">
        <f>VLOOKUP(A435,[1]Sheet1!$A$2:$Q$1536,15,FALSE)</f>
        <v>1068.800659179688</v>
      </c>
      <c r="S435" s="27">
        <f t="shared" si="18"/>
        <v>0.25149746762506148</v>
      </c>
      <c r="T435" s="19">
        <f>VLOOKUP(A435,[1]Sheet1!$A$2:$Q$1536,16,FALSE)</f>
        <v>8504.8990988454261</v>
      </c>
      <c r="U435" s="27">
        <f t="shared" si="19"/>
        <v>0.90593656777085063</v>
      </c>
      <c r="V435" s="19">
        <f>VLOOKUP(A435,[1]Sheet1!$A$2:$Q$1536,17,FALSE)</f>
        <v>1179.263427734375</v>
      </c>
      <c r="W435" s="27">
        <f t="shared" si="20"/>
        <v>0.3216104381893905</v>
      </c>
    </row>
    <row r="436" spans="1:23" x14ac:dyDescent="0.3">
      <c r="A436" s="4" t="s">
        <v>1057</v>
      </c>
      <c r="B436" s="5">
        <v>2017</v>
      </c>
      <c r="C436" s="5" t="s">
        <v>391</v>
      </c>
      <c r="D436" s="15" t="s">
        <v>1056</v>
      </c>
      <c r="E436" s="6">
        <v>83570</v>
      </c>
      <c r="F436" s="5" t="s">
        <v>103</v>
      </c>
      <c r="G436" s="5" t="s">
        <v>28</v>
      </c>
      <c r="H436" s="5" t="s">
        <v>17</v>
      </c>
      <c r="I436" s="5" t="s">
        <v>18</v>
      </c>
      <c r="J436" s="7">
        <v>45594</v>
      </c>
      <c r="K436" s="5" t="s">
        <v>17</v>
      </c>
      <c r="L436" s="8">
        <v>44827</v>
      </c>
      <c r="M436" s="19">
        <v>128</v>
      </c>
      <c r="N436" s="19">
        <v>158</v>
      </c>
      <c r="O436" s="24">
        <v>8900</v>
      </c>
      <c r="P436" s="24">
        <v>7700</v>
      </c>
      <c r="Q436" t="s">
        <v>1984</v>
      </c>
      <c r="R436" s="19">
        <f>VLOOKUP(A436,[1]Sheet1!$A$2:$Q$1536,15,FALSE)</f>
        <v>7864.1123046875</v>
      </c>
      <c r="S436" s="27">
        <f t="shared" si="18"/>
        <v>2.0868509798579411E-2</v>
      </c>
      <c r="T436" s="19">
        <f>VLOOKUP(A436,[1]Sheet1!$A$2:$Q$1536,16,FALSE)</f>
        <v>9580.8043685638295</v>
      </c>
      <c r="U436" s="27">
        <f t="shared" si="19"/>
        <v>0.19630965169637041</v>
      </c>
      <c r="V436" s="19">
        <f>VLOOKUP(A436,[1]Sheet1!$A$2:$Q$1536,17,FALSE)</f>
        <v>8028.48779296875</v>
      </c>
      <c r="W436" s="27">
        <f t="shared" si="20"/>
        <v>4.0915275882518691E-2</v>
      </c>
    </row>
    <row r="437" spans="1:23" x14ac:dyDescent="0.3">
      <c r="A437" s="4" t="s">
        <v>1040</v>
      </c>
      <c r="B437" s="5">
        <v>2018</v>
      </c>
      <c r="C437" s="5" t="s">
        <v>559</v>
      </c>
      <c r="D437" s="15" t="s">
        <v>760</v>
      </c>
      <c r="E437" s="6">
        <v>88587</v>
      </c>
      <c r="F437" s="5" t="s">
        <v>158</v>
      </c>
      <c r="G437" s="5" t="s">
        <v>16</v>
      </c>
      <c r="H437" s="5" t="s">
        <v>17</v>
      </c>
      <c r="I437" s="5" t="s">
        <v>18</v>
      </c>
      <c r="J437" s="7">
        <v>45356</v>
      </c>
      <c r="K437" s="5" t="s">
        <v>17</v>
      </c>
      <c r="L437" s="8">
        <v>44113</v>
      </c>
      <c r="M437" s="19">
        <v>264</v>
      </c>
      <c r="N437" s="19">
        <v>314</v>
      </c>
      <c r="O437" s="24">
        <v>18300</v>
      </c>
      <c r="P437" s="24">
        <v>17000</v>
      </c>
      <c r="Q437" t="s">
        <v>1984</v>
      </c>
      <c r="R437" s="19">
        <f>VLOOKUP(A437,[1]Sheet1!$A$2:$Q$1536,15,FALSE)</f>
        <v>15487.0048828125</v>
      </c>
      <c r="S437" s="27">
        <f t="shared" si="18"/>
        <v>-9.7694494748085475E-2</v>
      </c>
      <c r="T437" s="19">
        <f>VLOOKUP(A437,[1]Sheet1!$A$2:$Q$1536,16,FALSE)</f>
        <v>11215.82202486144</v>
      </c>
      <c r="U437" s="27">
        <f t="shared" si="19"/>
        <v>-0.51571592009191303</v>
      </c>
      <c r="V437" s="19">
        <f>VLOOKUP(A437,[1]Sheet1!$A$2:$Q$1536,17,FALSE)</f>
        <v>15584.6455078125</v>
      </c>
      <c r="W437" s="27">
        <f t="shared" si="20"/>
        <v>-9.0817240050663342E-2</v>
      </c>
    </row>
    <row r="438" spans="1:23" x14ac:dyDescent="0.3">
      <c r="A438" s="4" t="s">
        <v>871</v>
      </c>
      <c r="B438" s="5">
        <v>2018</v>
      </c>
      <c r="C438" s="5" t="s">
        <v>391</v>
      </c>
      <c r="D438" s="15" t="s">
        <v>580</v>
      </c>
      <c r="E438" s="6">
        <v>103684</v>
      </c>
      <c r="F438" s="5" t="s">
        <v>32</v>
      </c>
      <c r="G438" s="5" t="s">
        <v>25</v>
      </c>
      <c r="H438" s="5" t="s">
        <v>18</v>
      </c>
      <c r="I438" s="5" t="s">
        <v>17</v>
      </c>
      <c r="J438" s="7">
        <v>45463</v>
      </c>
      <c r="K438" s="5" t="s">
        <v>17</v>
      </c>
      <c r="L438" s="8">
        <v>43608</v>
      </c>
      <c r="M438" s="19">
        <v>264</v>
      </c>
      <c r="N438" s="19">
        <v>314</v>
      </c>
      <c r="O438" s="24">
        <v>0</v>
      </c>
      <c r="P438" s="24">
        <v>13600</v>
      </c>
      <c r="Q438" t="s">
        <v>1983</v>
      </c>
      <c r="R438" s="19">
        <f>VLOOKUP(A438,[1]Sheet1!$A$2:$Q$1536,15,FALSE)</f>
        <v>3962.38037109375</v>
      </c>
      <c r="S438" s="27">
        <f t="shared" si="18"/>
        <v>-2.4322802775862589</v>
      </c>
      <c r="T438" s="19">
        <f>VLOOKUP(A438,[1]Sheet1!$A$2:$Q$1536,16,FALSE)</f>
        <v>9442.7790999893696</v>
      </c>
      <c r="U438" s="27">
        <f t="shared" si="19"/>
        <v>-0.44025396082974244</v>
      </c>
      <c r="V438" s="19">
        <f>VLOOKUP(A438,[1]Sheet1!$A$2:$Q$1536,17,FALSE)</f>
        <v>4058.1806640625</v>
      </c>
      <c r="W438" s="27">
        <f t="shared" si="20"/>
        <v>-2.3512554333609992</v>
      </c>
    </row>
    <row r="439" spans="1:23" x14ac:dyDescent="0.3">
      <c r="A439" s="4" t="s">
        <v>387</v>
      </c>
      <c r="B439" s="5">
        <v>2016</v>
      </c>
      <c r="C439" s="5" t="s">
        <v>237</v>
      </c>
      <c r="D439" s="15" t="s">
        <v>376</v>
      </c>
      <c r="E439" s="6">
        <v>80832</v>
      </c>
      <c r="F439" s="5" t="s">
        <v>101</v>
      </c>
      <c r="G439" s="5" t="s">
        <v>16</v>
      </c>
      <c r="H439" s="5" t="s">
        <v>17</v>
      </c>
      <c r="I439" s="5" t="s">
        <v>18</v>
      </c>
      <c r="J439" s="7">
        <v>45692</v>
      </c>
      <c r="K439" s="5" t="s">
        <v>17</v>
      </c>
      <c r="L439" s="8">
        <v>44128</v>
      </c>
      <c r="M439" s="19">
        <v>264</v>
      </c>
      <c r="N439" s="19">
        <v>314</v>
      </c>
      <c r="O439" s="24">
        <v>0</v>
      </c>
      <c r="P439" s="24">
        <v>11600</v>
      </c>
      <c r="Q439" t="s">
        <v>1983</v>
      </c>
      <c r="R439" s="19">
        <f>VLOOKUP(A439,[1]Sheet1!$A$2:$Q$1536,15,FALSE)</f>
        <v>17428.685546875</v>
      </c>
      <c r="S439" s="27">
        <f t="shared" si="18"/>
        <v>0.33443058750463805</v>
      </c>
      <c r="T439" s="19">
        <f>VLOOKUP(A439,[1]Sheet1!$A$2:$Q$1536,16,FALSE)</f>
        <v>10771.483260799299</v>
      </c>
      <c r="U439" s="27">
        <f t="shared" si="19"/>
        <v>-7.691760912964743E-2</v>
      </c>
      <c r="V439" s="19">
        <f>VLOOKUP(A439,[1]Sheet1!$A$2:$Q$1536,17,FALSE)</f>
        <v>18070.1328125</v>
      </c>
      <c r="W439" s="27">
        <f t="shared" si="20"/>
        <v>0.35805673813444749</v>
      </c>
    </row>
    <row r="440" spans="1:23" x14ac:dyDescent="0.3">
      <c r="A440" s="4" t="s">
        <v>774</v>
      </c>
      <c r="B440" s="5">
        <v>2013</v>
      </c>
      <c r="C440" s="5" t="s">
        <v>237</v>
      </c>
      <c r="D440" s="15" t="s">
        <v>771</v>
      </c>
      <c r="E440" s="6">
        <v>159234</v>
      </c>
      <c r="F440" s="5" t="s">
        <v>21</v>
      </c>
      <c r="G440" s="5" t="s">
        <v>33</v>
      </c>
      <c r="H440" s="5" t="s">
        <v>17</v>
      </c>
      <c r="I440" s="5" t="s">
        <v>18</v>
      </c>
      <c r="J440" s="7">
        <v>45622</v>
      </c>
      <c r="K440" s="5" t="s">
        <v>17</v>
      </c>
      <c r="L440" s="8">
        <v>43612</v>
      </c>
      <c r="M440" s="19">
        <v>264</v>
      </c>
      <c r="N440" s="19">
        <v>314</v>
      </c>
      <c r="O440" s="24">
        <v>3800</v>
      </c>
      <c r="P440" s="24">
        <v>2100</v>
      </c>
      <c r="Q440" t="s">
        <v>1984</v>
      </c>
      <c r="R440" s="19">
        <f>VLOOKUP(A440,[1]Sheet1!$A$2:$Q$1536,15,FALSE)</f>
        <v>1419.934448242188</v>
      </c>
      <c r="S440" s="27">
        <f t="shared" si="18"/>
        <v>-0.47894151212381753</v>
      </c>
      <c r="T440" s="19">
        <f>VLOOKUP(A440,[1]Sheet1!$A$2:$Q$1536,16,FALSE)</f>
        <v>9151.2188304827596</v>
      </c>
      <c r="U440" s="27">
        <f t="shared" si="19"/>
        <v>0.77052237096495946</v>
      </c>
      <c r="V440" s="19">
        <f>VLOOKUP(A440,[1]Sheet1!$A$2:$Q$1536,17,FALSE)</f>
        <v>1380.25</v>
      </c>
      <c r="W440" s="27">
        <f t="shared" si="20"/>
        <v>-0.52146350298858901</v>
      </c>
    </row>
    <row r="441" spans="1:23" x14ac:dyDescent="0.3">
      <c r="A441" s="4" t="s">
        <v>253</v>
      </c>
      <c r="B441" s="5">
        <v>2017</v>
      </c>
      <c r="C441" s="5" t="s">
        <v>237</v>
      </c>
      <c r="D441" s="15" t="s">
        <v>250</v>
      </c>
      <c r="E441" s="6">
        <v>75684</v>
      </c>
      <c r="F441" s="5" t="s">
        <v>101</v>
      </c>
      <c r="G441" s="5" t="s">
        <v>16</v>
      </c>
      <c r="H441" s="5" t="s">
        <v>17</v>
      </c>
      <c r="I441" s="5" t="s">
        <v>18</v>
      </c>
      <c r="J441" s="7">
        <v>45328</v>
      </c>
      <c r="K441" s="5" t="s">
        <v>17</v>
      </c>
      <c r="L441" s="8">
        <v>43612</v>
      </c>
      <c r="M441" s="19">
        <v>264</v>
      </c>
      <c r="N441" s="19">
        <v>314</v>
      </c>
      <c r="O441" s="24">
        <v>8100</v>
      </c>
      <c r="P441" s="24">
        <v>7800</v>
      </c>
      <c r="Q441" t="s">
        <v>1984</v>
      </c>
      <c r="R441" s="19">
        <f>VLOOKUP(A441,[1]Sheet1!$A$2:$Q$1536,15,FALSE)</f>
        <v>13018.119140625</v>
      </c>
      <c r="S441" s="27">
        <f t="shared" si="18"/>
        <v>0.40083510407744494</v>
      </c>
      <c r="T441" s="19">
        <f>VLOOKUP(A441,[1]Sheet1!$A$2:$Q$1536,16,FALSE)</f>
        <v>10163.58098538408</v>
      </c>
      <c r="U441" s="27">
        <f t="shared" si="19"/>
        <v>0.23255395797830214</v>
      </c>
      <c r="V441" s="19">
        <f>VLOOKUP(A441,[1]Sheet1!$A$2:$Q$1536,17,FALSE)</f>
        <v>13180.0380859375</v>
      </c>
      <c r="W441" s="27">
        <f t="shared" si="20"/>
        <v>0.40819594380973417</v>
      </c>
    </row>
    <row r="442" spans="1:23" x14ac:dyDescent="0.3">
      <c r="A442" s="4" t="s">
        <v>1361</v>
      </c>
      <c r="B442" s="5">
        <v>2015</v>
      </c>
      <c r="C442" s="5" t="s">
        <v>1089</v>
      </c>
      <c r="D442" s="15" t="s">
        <v>1328</v>
      </c>
      <c r="E442" s="6">
        <v>71458</v>
      </c>
      <c r="F442" s="5" t="s">
        <v>164</v>
      </c>
      <c r="G442" s="5" t="s">
        <v>28</v>
      </c>
      <c r="H442" s="5" t="s">
        <v>17</v>
      </c>
      <c r="I442" s="5" t="s">
        <v>18</v>
      </c>
      <c r="J442" s="7">
        <v>45372</v>
      </c>
      <c r="K442" s="5" t="s">
        <v>17</v>
      </c>
      <c r="L442" s="8">
        <v>44310</v>
      </c>
      <c r="M442" s="19">
        <v>235</v>
      </c>
      <c r="N442" s="19">
        <v>285</v>
      </c>
      <c r="O442" s="24">
        <v>6600</v>
      </c>
      <c r="P442" s="24">
        <v>2100</v>
      </c>
      <c r="Q442" t="s">
        <v>1984</v>
      </c>
      <c r="R442" s="19">
        <f>VLOOKUP(A442,[1]Sheet1!$A$2:$Q$1536,15,FALSE)</f>
        <v>7571.72265625</v>
      </c>
      <c r="S442" s="27">
        <f t="shared" si="18"/>
        <v>0.7226522820052611</v>
      </c>
      <c r="T442" s="19">
        <f>VLOOKUP(A442,[1]Sheet1!$A$2:$Q$1536,16,FALSE)</f>
        <v>8999.2110727023337</v>
      </c>
      <c r="U442" s="27">
        <f t="shared" si="19"/>
        <v>0.76664621120288934</v>
      </c>
      <c r="V442" s="19">
        <f>VLOOKUP(A442,[1]Sheet1!$A$2:$Q$1536,17,FALSE)</f>
        <v>7685.2373046875</v>
      </c>
      <c r="W442" s="27">
        <f t="shared" si="20"/>
        <v>0.7267488410905496</v>
      </c>
    </row>
    <row r="443" spans="1:23" x14ac:dyDescent="0.3">
      <c r="A443" s="4" t="s">
        <v>820</v>
      </c>
      <c r="B443" s="5">
        <v>2017</v>
      </c>
      <c r="C443" s="5" t="s">
        <v>559</v>
      </c>
      <c r="D443" s="15" t="s">
        <v>760</v>
      </c>
      <c r="E443" s="6">
        <v>31580</v>
      </c>
      <c r="F443" s="5" t="s">
        <v>15</v>
      </c>
      <c r="G443" s="5" t="s">
        <v>28</v>
      </c>
      <c r="H443" s="5" t="s">
        <v>17</v>
      </c>
      <c r="I443" s="5" t="s">
        <v>18</v>
      </c>
      <c r="J443" s="7">
        <v>45664</v>
      </c>
      <c r="K443" s="5" t="s">
        <v>17</v>
      </c>
      <c r="L443" s="8">
        <v>44451</v>
      </c>
      <c r="M443" s="19">
        <v>264</v>
      </c>
      <c r="N443" s="19">
        <v>314</v>
      </c>
      <c r="O443" s="24">
        <v>12750</v>
      </c>
      <c r="P443" s="24">
        <v>5000</v>
      </c>
      <c r="Q443" t="s">
        <v>1984</v>
      </c>
      <c r="R443" s="19">
        <f>VLOOKUP(A443,[1]Sheet1!$A$2:$Q$1536,15,FALSE)</f>
        <v>18826.64453125</v>
      </c>
      <c r="S443" s="27">
        <f t="shared" si="18"/>
        <v>0.73441895119968981</v>
      </c>
      <c r="T443" s="19">
        <f>VLOOKUP(A443,[1]Sheet1!$A$2:$Q$1536,16,FALSE)</f>
        <v>13406.603333310581</v>
      </c>
      <c r="U443" s="27">
        <f t="shared" si="19"/>
        <v>0.6270494564736766</v>
      </c>
      <c r="V443" s="19">
        <f>VLOOKUP(A443,[1]Sheet1!$A$2:$Q$1536,17,FALSE)</f>
        <v>19317.044921875</v>
      </c>
      <c r="W443" s="27">
        <f t="shared" si="20"/>
        <v>0.74116123764158659</v>
      </c>
    </row>
    <row r="444" spans="1:23" x14ac:dyDescent="0.3">
      <c r="A444" s="4" t="s">
        <v>534</v>
      </c>
      <c r="B444" s="5">
        <v>2018</v>
      </c>
      <c r="C444" s="5" t="s">
        <v>535</v>
      </c>
      <c r="D444" s="15" t="s">
        <v>536</v>
      </c>
      <c r="E444" s="6">
        <v>29421</v>
      </c>
      <c r="F444" s="5" t="s">
        <v>125</v>
      </c>
      <c r="G444" s="5" t="s">
        <v>16</v>
      </c>
      <c r="H444" s="5" t="s">
        <v>17</v>
      </c>
      <c r="I444" s="5" t="s">
        <v>18</v>
      </c>
      <c r="J444" s="7">
        <v>45580</v>
      </c>
      <c r="K444" s="5" t="s">
        <v>17</v>
      </c>
      <c r="L444" s="8">
        <v>44113</v>
      </c>
      <c r="M444" s="19">
        <v>264</v>
      </c>
      <c r="N444" s="19">
        <v>314</v>
      </c>
      <c r="O444" s="24">
        <v>17700</v>
      </c>
      <c r="P444" s="24">
        <v>9000</v>
      </c>
      <c r="Q444" t="s">
        <v>1984</v>
      </c>
      <c r="R444" s="19">
        <f>VLOOKUP(A444,[1]Sheet1!$A$2:$Q$1536,15,FALSE)</f>
        <v>15346.1923828125</v>
      </c>
      <c r="S444" s="27">
        <f t="shared" si="18"/>
        <v>0.4135353072935628</v>
      </c>
      <c r="T444" s="19">
        <f>VLOOKUP(A444,[1]Sheet1!$A$2:$Q$1536,16,FALSE)</f>
        <v>12488.035132921919</v>
      </c>
      <c r="U444" s="27">
        <f t="shared" si="19"/>
        <v>0.27931016335199865</v>
      </c>
      <c r="V444" s="19">
        <f>VLOOKUP(A444,[1]Sheet1!$A$2:$Q$1536,17,FALSE)</f>
        <v>15338.923828125</v>
      </c>
      <c r="W444" s="27">
        <f t="shared" si="20"/>
        <v>0.41325740313685733</v>
      </c>
    </row>
    <row r="445" spans="1:23" x14ac:dyDescent="0.3">
      <c r="A445" s="4" t="s">
        <v>1609</v>
      </c>
      <c r="B445" s="5">
        <v>2017</v>
      </c>
      <c r="C445" s="5" t="s">
        <v>519</v>
      </c>
      <c r="D445" s="15" t="s">
        <v>1607</v>
      </c>
      <c r="E445" s="6">
        <v>64307</v>
      </c>
      <c r="F445" s="5" t="s">
        <v>125</v>
      </c>
      <c r="G445" s="5" t="s">
        <v>16</v>
      </c>
      <c r="H445" s="5" t="s">
        <v>17</v>
      </c>
      <c r="I445" s="5" t="s">
        <v>18</v>
      </c>
      <c r="J445" s="7">
        <v>45356</v>
      </c>
      <c r="K445" s="5" t="s">
        <v>17</v>
      </c>
      <c r="L445" s="8">
        <v>44444</v>
      </c>
      <c r="M445" s="19">
        <v>264</v>
      </c>
      <c r="N445" s="19">
        <v>314</v>
      </c>
      <c r="O445" s="24">
        <v>13250</v>
      </c>
      <c r="P445" s="24">
        <v>9900</v>
      </c>
      <c r="Q445" t="s">
        <v>1984</v>
      </c>
      <c r="R445" s="19">
        <f>VLOOKUP(A445,[1]Sheet1!$A$2:$Q$1536,15,FALSE)</f>
        <v>11977.5078125</v>
      </c>
      <c r="S445" s="27">
        <f t="shared" si="18"/>
        <v>0.17345075828978926</v>
      </c>
      <c r="T445" s="19">
        <f>VLOOKUP(A445,[1]Sheet1!$A$2:$Q$1536,16,FALSE)</f>
        <v>11726.932951437801</v>
      </c>
      <c r="U445" s="27">
        <f t="shared" si="19"/>
        <v>0.15578949406492568</v>
      </c>
      <c r="V445" s="19">
        <f>VLOOKUP(A445,[1]Sheet1!$A$2:$Q$1536,17,FALSE)</f>
        <v>11604.8349609375</v>
      </c>
      <c r="W445" s="27">
        <f t="shared" si="20"/>
        <v>0.14690729912799849</v>
      </c>
    </row>
    <row r="446" spans="1:23" x14ac:dyDescent="0.3">
      <c r="A446" s="4" t="s">
        <v>1162</v>
      </c>
      <c r="B446" s="5">
        <v>2016</v>
      </c>
      <c r="C446" s="5" t="s">
        <v>636</v>
      </c>
      <c r="D446" s="15" t="s">
        <v>1161</v>
      </c>
      <c r="E446" s="6">
        <v>101076</v>
      </c>
      <c r="F446" s="5" t="s">
        <v>36</v>
      </c>
      <c r="G446" s="5" t="s">
        <v>25</v>
      </c>
      <c r="H446" s="5" t="s">
        <v>18</v>
      </c>
      <c r="I446" s="5" t="s">
        <v>17</v>
      </c>
      <c r="J446" s="7">
        <v>45398</v>
      </c>
      <c r="K446" s="5" t="s">
        <v>17</v>
      </c>
      <c r="L446" s="8">
        <v>44128</v>
      </c>
      <c r="M446" s="19">
        <v>264</v>
      </c>
      <c r="N446" s="19">
        <v>314</v>
      </c>
      <c r="O446" s="24">
        <v>3800</v>
      </c>
      <c r="P446" s="24">
        <v>2100</v>
      </c>
      <c r="Q446" t="s">
        <v>1984</v>
      </c>
      <c r="R446" s="19">
        <f>VLOOKUP(A446,[1]Sheet1!$A$2:$Q$1536,15,FALSE)</f>
        <v>3009.044677734375</v>
      </c>
      <c r="S446" s="27">
        <f t="shared" si="18"/>
        <v>0.302104081225816</v>
      </c>
      <c r="T446" s="19">
        <f>VLOOKUP(A446,[1]Sheet1!$A$2:$Q$1536,16,FALSE)</f>
        <v>8806.4284826736512</v>
      </c>
      <c r="U446" s="27">
        <f t="shared" si="19"/>
        <v>0.76153783521529994</v>
      </c>
      <c r="V446" s="19">
        <f>VLOOKUP(A446,[1]Sheet1!$A$2:$Q$1536,17,FALSE)</f>
        <v>2868.453125</v>
      </c>
      <c r="W446" s="27">
        <f t="shared" si="20"/>
        <v>0.26789809402933856</v>
      </c>
    </row>
    <row r="447" spans="1:23" x14ac:dyDescent="0.3">
      <c r="A447" s="4" t="s">
        <v>48</v>
      </c>
      <c r="B447" s="5">
        <v>2012</v>
      </c>
      <c r="C447" s="5" t="s">
        <v>46</v>
      </c>
      <c r="D447" s="15" t="s">
        <v>49</v>
      </c>
      <c r="E447" s="6">
        <v>200134</v>
      </c>
      <c r="F447" s="5" t="s">
        <v>27</v>
      </c>
      <c r="G447" s="5" t="s">
        <v>25</v>
      </c>
      <c r="H447" s="5" t="s">
        <v>18</v>
      </c>
      <c r="I447" s="5" t="s">
        <v>17</v>
      </c>
      <c r="J447" s="7">
        <v>45540</v>
      </c>
      <c r="K447" s="5" t="s">
        <v>17</v>
      </c>
      <c r="L447" s="8">
        <v>44307</v>
      </c>
      <c r="M447" s="19">
        <v>235</v>
      </c>
      <c r="N447" s="19">
        <v>285</v>
      </c>
      <c r="O447" s="24">
        <v>0</v>
      </c>
      <c r="P447" s="24">
        <v>1200</v>
      </c>
      <c r="Q447" t="s">
        <v>1983</v>
      </c>
      <c r="R447" s="19">
        <f>VLOOKUP(A447,[1]Sheet1!$A$2:$Q$1536,15,FALSE)</f>
        <v>372.917724609375</v>
      </c>
      <c r="S447" s="27">
        <f t="shared" si="18"/>
        <v>-2.217867966069405</v>
      </c>
      <c r="T447" s="19">
        <f>VLOOKUP(A447,[1]Sheet1!$A$2:$Q$1536,16,FALSE)</f>
        <v>8783.611835868991</v>
      </c>
      <c r="U447" s="27">
        <f t="shared" si="19"/>
        <v>0.86338194100294274</v>
      </c>
      <c r="V447" s="19">
        <f>VLOOKUP(A447,[1]Sheet1!$A$2:$Q$1536,17,FALSE)</f>
        <v>815.262451171875</v>
      </c>
      <c r="W447" s="27">
        <f t="shared" si="20"/>
        <v>-0.47191864199693651</v>
      </c>
    </row>
    <row r="448" spans="1:23" x14ac:dyDescent="0.3">
      <c r="A448" s="4" t="s">
        <v>359</v>
      </c>
      <c r="B448" s="5">
        <v>2015</v>
      </c>
      <c r="C448" s="5" t="s">
        <v>237</v>
      </c>
      <c r="D448" s="15" t="s">
        <v>339</v>
      </c>
      <c r="E448" s="6">
        <v>86286</v>
      </c>
      <c r="F448" s="5" t="s">
        <v>125</v>
      </c>
      <c r="G448" s="5" t="s">
        <v>25</v>
      </c>
      <c r="H448" s="5" t="s">
        <v>18</v>
      </c>
      <c r="I448" s="5" t="s">
        <v>17</v>
      </c>
      <c r="J448" s="7">
        <v>45323</v>
      </c>
      <c r="K448" s="5" t="s">
        <v>17</v>
      </c>
      <c r="L448" s="8">
        <v>43605</v>
      </c>
      <c r="M448" s="19">
        <v>264</v>
      </c>
      <c r="N448" s="19">
        <v>314</v>
      </c>
      <c r="O448" s="24">
        <v>0</v>
      </c>
      <c r="P448" s="24">
        <v>9900</v>
      </c>
      <c r="Q448" t="s">
        <v>1983</v>
      </c>
      <c r="R448" s="19">
        <f>VLOOKUP(A448,[1]Sheet1!$A$2:$Q$1536,15,FALSE)</f>
        <v>9307.341796875</v>
      </c>
      <c r="S448" s="27">
        <f t="shared" si="18"/>
        <v>-6.3676419761868941E-2</v>
      </c>
      <c r="T448" s="19">
        <f>VLOOKUP(A448,[1]Sheet1!$A$2:$Q$1536,16,FALSE)</f>
        <v>10216.592608083971</v>
      </c>
      <c r="U448" s="27">
        <f t="shared" si="19"/>
        <v>3.0988081861408872E-2</v>
      </c>
      <c r="V448" s="19">
        <f>VLOOKUP(A448,[1]Sheet1!$A$2:$Q$1536,17,FALSE)</f>
        <v>9504.462890625</v>
      </c>
      <c r="W448" s="27">
        <f t="shared" si="20"/>
        <v>-4.1615934948323004E-2</v>
      </c>
    </row>
    <row r="449" spans="1:23" x14ac:dyDescent="0.3">
      <c r="A449" s="4" t="s">
        <v>1675</v>
      </c>
      <c r="B449" s="5">
        <v>2012</v>
      </c>
      <c r="C449" s="5" t="s">
        <v>1089</v>
      </c>
      <c r="D449" s="15" t="s">
        <v>1663</v>
      </c>
      <c r="E449" s="6">
        <v>108025</v>
      </c>
      <c r="F449" s="5" t="s">
        <v>64</v>
      </c>
      <c r="G449" s="5" t="s">
        <v>33</v>
      </c>
      <c r="H449" s="5" t="s">
        <v>17</v>
      </c>
      <c r="I449" s="5" t="s">
        <v>18</v>
      </c>
      <c r="J449" s="7">
        <v>45701</v>
      </c>
      <c r="K449" s="5" t="s">
        <v>17</v>
      </c>
      <c r="L449" s="8">
        <v>44113</v>
      </c>
      <c r="M449" s="19">
        <v>264</v>
      </c>
      <c r="N449" s="19">
        <v>314</v>
      </c>
      <c r="O449" s="24">
        <v>0</v>
      </c>
      <c r="P449" s="24">
        <v>10176.1188811189</v>
      </c>
      <c r="Q449" t="s">
        <v>1983</v>
      </c>
      <c r="R449" s="19">
        <f>VLOOKUP(A449,[1]Sheet1!$A$2:$Q$1536,15,FALSE)</f>
        <v>3331.923828125</v>
      </c>
      <c r="S449" s="27">
        <f t="shared" si="18"/>
        <v>-2.054127106754835</v>
      </c>
      <c r="T449" s="19">
        <f>VLOOKUP(A449,[1]Sheet1!$A$2:$Q$1536,16,FALSE)</f>
        <v>8793.9779702409051</v>
      </c>
      <c r="U449" s="27">
        <f t="shared" si="19"/>
        <v>-0.1571690212956188</v>
      </c>
      <c r="V449" s="19">
        <f>VLOOKUP(A449,[1]Sheet1!$A$2:$Q$1536,17,FALSE)</f>
        <v>3239.19140625</v>
      </c>
      <c r="W449" s="27">
        <f t="shared" si="20"/>
        <v>-2.1415614592839871</v>
      </c>
    </row>
    <row r="450" spans="1:23" x14ac:dyDescent="0.3">
      <c r="A450" s="4" t="s">
        <v>389</v>
      </c>
      <c r="B450" s="5">
        <v>2014</v>
      </c>
      <c r="C450" s="5" t="s">
        <v>237</v>
      </c>
      <c r="D450" s="15" t="s">
        <v>383</v>
      </c>
      <c r="E450" s="6">
        <v>102646</v>
      </c>
      <c r="F450" s="5" t="s">
        <v>92</v>
      </c>
      <c r="G450" s="5" t="s">
        <v>16</v>
      </c>
      <c r="H450" s="5" t="s">
        <v>17</v>
      </c>
      <c r="I450" s="5" t="s">
        <v>18</v>
      </c>
      <c r="J450" s="7">
        <v>45421</v>
      </c>
      <c r="K450" s="5" t="s">
        <v>17</v>
      </c>
      <c r="L450" s="8">
        <v>43605</v>
      </c>
      <c r="M450" s="19">
        <v>264</v>
      </c>
      <c r="N450" s="19">
        <v>314</v>
      </c>
      <c r="O450" s="24">
        <v>0</v>
      </c>
      <c r="P450" s="24">
        <v>22600</v>
      </c>
      <c r="Q450" t="s">
        <v>1983</v>
      </c>
      <c r="R450" s="19">
        <f>VLOOKUP(A450,[1]Sheet1!$A$2:$Q$1536,15,FALSE)</f>
        <v>6480.85986328125</v>
      </c>
      <c r="S450" s="27">
        <f t="shared" si="18"/>
        <v>-2.4871915882713829</v>
      </c>
      <c r="T450" s="19">
        <f>VLOOKUP(A450,[1]Sheet1!$A$2:$Q$1536,16,FALSE)</f>
        <v>10027.559620042241</v>
      </c>
      <c r="U450" s="27">
        <f t="shared" si="19"/>
        <v>-1.2537886441312227</v>
      </c>
      <c r="V450" s="19">
        <f>VLOOKUP(A450,[1]Sheet1!$A$2:$Q$1536,17,FALSE)</f>
        <v>6490.0556640625</v>
      </c>
      <c r="W450" s="27">
        <f t="shared" si="20"/>
        <v>-2.4822505645280333</v>
      </c>
    </row>
    <row r="451" spans="1:23" x14ac:dyDescent="0.3">
      <c r="A451" s="4" t="s">
        <v>1309</v>
      </c>
      <c r="B451" s="5">
        <v>2019</v>
      </c>
      <c r="C451" s="5" t="s">
        <v>1177</v>
      </c>
      <c r="D451" s="15" t="s">
        <v>1310</v>
      </c>
      <c r="E451" s="6">
        <v>43357</v>
      </c>
      <c r="F451" s="5" t="s">
        <v>170</v>
      </c>
      <c r="G451" s="5" t="s">
        <v>25</v>
      </c>
      <c r="H451" s="5" t="s">
        <v>18</v>
      </c>
      <c r="I451" s="5" t="s">
        <v>17</v>
      </c>
      <c r="J451" s="7">
        <v>45568</v>
      </c>
      <c r="K451" s="5" t="s">
        <v>17</v>
      </c>
      <c r="L451" s="8">
        <v>44128</v>
      </c>
      <c r="M451" s="19">
        <v>264</v>
      </c>
      <c r="N451" s="19">
        <v>314</v>
      </c>
      <c r="O451" s="24">
        <v>0</v>
      </c>
      <c r="P451" s="24">
        <v>26250</v>
      </c>
      <c r="Q451" t="s">
        <v>1983</v>
      </c>
      <c r="R451" s="19">
        <f>VLOOKUP(A451,[1]Sheet1!$A$2:$Q$1536,15,FALSE)</f>
        <v>15962.8505859375</v>
      </c>
      <c r="S451" s="27">
        <f t="shared" ref="S451:S514" si="21">(R451-$P451)/R451</f>
        <v>-0.6444431311738883</v>
      </c>
      <c r="T451" s="19">
        <f>VLOOKUP(A451,[1]Sheet1!$A$2:$Q$1536,16,FALSE)</f>
        <v>11498.291127718991</v>
      </c>
      <c r="U451" s="27">
        <f t="shared" ref="U451:U514" si="22">(T451-$P451)/T451</f>
        <v>-1.2829479362127985</v>
      </c>
      <c r="V451" s="19">
        <f>VLOOKUP(A451,[1]Sheet1!$A$2:$Q$1536,17,FALSE)</f>
        <v>15992.1650390625</v>
      </c>
      <c r="W451" s="27">
        <f t="shared" ref="W451:W514" si="23">(V451-$P451)/V451</f>
        <v>-0.64142878314985419</v>
      </c>
    </row>
    <row r="452" spans="1:23" x14ac:dyDescent="0.3">
      <c r="A452" s="4" t="s">
        <v>1403</v>
      </c>
      <c r="B452" s="5">
        <v>2017</v>
      </c>
      <c r="C452" s="5" t="s">
        <v>1401</v>
      </c>
      <c r="D452" s="15" t="s">
        <v>1402</v>
      </c>
      <c r="E452" s="6">
        <v>68171</v>
      </c>
      <c r="F452" s="5" t="s">
        <v>64</v>
      </c>
      <c r="G452" s="5" t="s">
        <v>28</v>
      </c>
      <c r="H452" s="5" t="s">
        <v>17</v>
      </c>
      <c r="I452" s="5" t="s">
        <v>18</v>
      </c>
      <c r="J452" s="7">
        <v>45370</v>
      </c>
      <c r="K452" s="5" t="s">
        <v>17</v>
      </c>
      <c r="L452" s="8">
        <v>43612</v>
      </c>
      <c r="M452" s="19">
        <v>264</v>
      </c>
      <c r="N452" s="19">
        <v>314</v>
      </c>
      <c r="O452" s="24">
        <v>17000</v>
      </c>
      <c r="P452" s="24">
        <v>13900</v>
      </c>
      <c r="Q452" t="s">
        <v>1984</v>
      </c>
      <c r="R452" s="19">
        <f>VLOOKUP(A452,[1]Sheet1!$A$2:$Q$1536,15,FALSE)</f>
        <v>13165.09765625</v>
      </c>
      <c r="S452" s="27">
        <f t="shared" si="21"/>
        <v>-5.5822019930183535E-2</v>
      </c>
      <c r="T452" s="19">
        <f>VLOOKUP(A452,[1]Sheet1!$A$2:$Q$1536,16,FALSE)</f>
        <v>10028.69286488706</v>
      </c>
      <c r="U452" s="27">
        <f t="shared" si="22"/>
        <v>-0.38602310263856482</v>
      </c>
      <c r="V452" s="19">
        <f>VLOOKUP(A452,[1]Sheet1!$A$2:$Q$1536,17,FALSE)</f>
        <v>13464.205078125</v>
      </c>
      <c r="W452" s="27">
        <f t="shared" si="23"/>
        <v>-3.236692544018261E-2</v>
      </c>
    </row>
    <row r="453" spans="1:23" x14ac:dyDescent="0.3">
      <c r="A453" s="4" t="s">
        <v>1417</v>
      </c>
      <c r="B453" s="5">
        <v>2013</v>
      </c>
      <c r="C453" s="5" t="s">
        <v>1086</v>
      </c>
      <c r="D453" s="15" t="s">
        <v>1411</v>
      </c>
      <c r="E453" s="6">
        <v>99178</v>
      </c>
      <c r="F453" s="5" t="s">
        <v>40</v>
      </c>
      <c r="G453" s="5" t="s">
        <v>28</v>
      </c>
      <c r="H453" s="5" t="s">
        <v>17</v>
      </c>
      <c r="I453" s="5" t="s">
        <v>18</v>
      </c>
      <c r="J453" s="7">
        <v>45484</v>
      </c>
      <c r="K453" s="5" t="s">
        <v>17</v>
      </c>
      <c r="L453" s="8">
        <v>44067</v>
      </c>
      <c r="M453" s="19">
        <v>235</v>
      </c>
      <c r="N453" s="19">
        <v>285</v>
      </c>
      <c r="O453" s="24">
        <v>4600</v>
      </c>
      <c r="P453" s="24">
        <v>3600</v>
      </c>
      <c r="Q453" t="s">
        <v>1984</v>
      </c>
      <c r="R453" s="19">
        <f>VLOOKUP(A453,[1]Sheet1!$A$2:$Q$1536,15,FALSE)</f>
        <v>1386.6513671875</v>
      </c>
      <c r="S453" s="27">
        <f t="shared" si="21"/>
        <v>-1.5961824905576398</v>
      </c>
      <c r="T453" s="19">
        <f>VLOOKUP(A453,[1]Sheet1!$A$2:$Q$1536,16,FALSE)</f>
        <v>8849.4301978718086</v>
      </c>
      <c r="U453" s="27">
        <f t="shared" si="22"/>
        <v>0.59319414702363993</v>
      </c>
      <c r="V453" s="19">
        <f>VLOOKUP(A453,[1]Sheet1!$A$2:$Q$1536,17,FALSE)</f>
        <v>1380.25</v>
      </c>
      <c r="W453" s="27">
        <f t="shared" si="23"/>
        <v>-1.6082231479804383</v>
      </c>
    </row>
    <row r="454" spans="1:23" x14ac:dyDescent="0.3">
      <c r="A454" s="4" t="s">
        <v>819</v>
      </c>
      <c r="B454" s="5">
        <v>2017</v>
      </c>
      <c r="C454" s="5" t="s">
        <v>559</v>
      </c>
      <c r="D454" s="15" t="s">
        <v>760</v>
      </c>
      <c r="E454" s="6">
        <v>102601</v>
      </c>
      <c r="F454" s="5" t="s">
        <v>73</v>
      </c>
      <c r="G454" s="5" t="s">
        <v>25</v>
      </c>
      <c r="H454" s="5" t="s">
        <v>18</v>
      </c>
      <c r="I454" s="5" t="s">
        <v>17</v>
      </c>
      <c r="J454" s="7">
        <v>45692</v>
      </c>
      <c r="K454" s="5" t="s">
        <v>17</v>
      </c>
      <c r="L454" s="8">
        <v>44224</v>
      </c>
      <c r="M454" s="19">
        <v>235</v>
      </c>
      <c r="N454" s="19">
        <v>285</v>
      </c>
      <c r="O454" s="24">
        <v>3000</v>
      </c>
      <c r="P454" s="24">
        <v>1000</v>
      </c>
      <c r="Q454" t="s">
        <v>1984</v>
      </c>
      <c r="R454" s="19">
        <f>VLOOKUP(A454,[1]Sheet1!$A$2:$Q$1536,15,FALSE)</f>
        <v>6136.62060546875</v>
      </c>
      <c r="S454" s="27">
        <f t="shared" si="21"/>
        <v>0.83704386106111339</v>
      </c>
      <c r="T454" s="19">
        <f>VLOOKUP(A454,[1]Sheet1!$A$2:$Q$1536,16,FALSE)</f>
        <v>10079.91298365327</v>
      </c>
      <c r="U454" s="27">
        <f t="shared" si="22"/>
        <v>0.90079279438009896</v>
      </c>
      <c r="V454" s="19">
        <f>VLOOKUP(A454,[1]Sheet1!$A$2:$Q$1536,17,FALSE)</f>
        <v>6094.12841796875</v>
      </c>
      <c r="W454" s="27">
        <f t="shared" si="23"/>
        <v>0.83590762592867829</v>
      </c>
    </row>
    <row r="455" spans="1:23" x14ac:dyDescent="0.3">
      <c r="A455" s="4" t="s">
        <v>778</v>
      </c>
      <c r="B455" s="5">
        <v>2020</v>
      </c>
      <c r="C455" s="5" t="s">
        <v>237</v>
      </c>
      <c r="D455" s="15" t="s">
        <v>766</v>
      </c>
      <c r="E455" s="6">
        <v>73797</v>
      </c>
      <c r="F455" s="5" t="s">
        <v>24</v>
      </c>
      <c r="G455" s="5" t="s">
        <v>25</v>
      </c>
      <c r="H455" s="5" t="s">
        <v>18</v>
      </c>
      <c r="I455" s="5" t="s">
        <v>17</v>
      </c>
      <c r="J455" s="7">
        <v>45673</v>
      </c>
      <c r="K455" s="5" t="s">
        <v>17</v>
      </c>
      <c r="L455" s="8">
        <v>43612</v>
      </c>
      <c r="M455" s="19">
        <v>264</v>
      </c>
      <c r="N455" s="19">
        <v>314</v>
      </c>
      <c r="O455" s="24">
        <v>0</v>
      </c>
      <c r="P455" s="24">
        <v>12500</v>
      </c>
      <c r="Q455" t="s">
        <v>1983</v>
      </c>
      <c r="R455" s="19">
        <f>VLOOKUP(A455,[1]Sheet1!$A$2:$Q$1536,15,FALSE)</f>
        <v>7547.64306640625</v>
      </c>
      <c r="S455" s="27">
        <f t="shared" si="21"/>
        <v>-0.65614614920466496</v>
      </c>
      <c r="T455" s="19">
        <f>VLOOKUP(A455,[1]Sheet1!$A$2:$Q$1536,16,FALSE)</f>
        <v>10885.43524687635</v>
      </c>
      <c r="U455" s="27">
        <f t="shared" si="22"/>
        <v>-0.14832339878986101</v>
      </c>
      <c r="V455" s="19">
        <f>VLOOKUP(A455,[1]Sheet1!$A$2:$Q$1536,17,FALSE)</f>
        <v>7330.1552734375</v>
      </c>
      <c r="W455" s="27">
        <f t="shared" si="23"/>
        <v>-0.70528447675544048</v>
      </c>
    </row>
    <row r="456" spans="1:23" x14ac:dyDescent="0.3">
      <c r="A456" s="4" t="s">
        <v>989</v>
      </c>
      <c r="B456" s="5">
        <v>2018</v>
      </c>
      <c r="C456" s="5" t="s">
        <v>237</v>
      </c>
      <c r="D456" s="15" t="s">
        <v>990</v>
      </c>
      <c r="E456" s="6">
        <v>91890</v>
      </c>
      <c r="F456" s="5" t="s">
        <v>125</v>
      </c>
      <c r="G456" s="5" t="s">
        <v>28</v>
      </c>
      <c r="H456" s="5" t="s">
        <v>17</v>
      </c>
      <c r="I456" s="5" t="s">
        <v>18</v>
      </c>
      <c r="J456" s="7">
        <v>45505</v>
      </c>
      <c r="K456" s="5" t="s">
        <v>17</v>
      </c>
      <c r="L456" s="8">
        <v>43612</v>
      </c>
      <c r="M456" s="19">
        <v>264</v>
      </c>
      <c r="N456" s="19">
        <v>314</v>
      </c>
      <c r="O456" s="24">
        <v>0</v>
      </c>
      <c r="P456" s="24">
        <v>9400</v>
      </c>
      <c r="Q456" t="s">
        <v>1983</v>
      </c>
      <c r="R456" s="19">
        <f>VLOOKUP(A456,[1]Sheet1!$A$2:$Q$1536,15,FALSE)</f>
        <v>12458.724609375</v>
      </c>
      <c r="S456" s="27">
        <f t="shared" si="21"/>
        <v>0.24550864597114189</v>
      </c>
      <c r="T456" s="19">
        <f>VLOOKUP(A456,[1]Sheet1!$A$2:$Q$1536,16,FALSE)</f>
        <v>10280.592767932991</v>
      </c>
      <c r="U456" s="27">
        <f t="shared" si="22"/>
        <v>8.565583598250455E-2</v>
      </c>
      <c r="V456" s="19">
        <f>VLOOKUP(A456,[1]Sheet1!$A$2:$Q$1536,17,FALSE)</f>
        <v>12625.42578125</v>
      </c>
      <c r="W456" s="27">
        <f t="shared" si="23"/>
        <v>0.25547065399093905</v>
      </c>
    </row>
    <row r="457" spans="1:23" x14ac:dyDescent="0.3">
      <c r="A457" s="4" t="s">
        <v>816</v>
      </c>
      <c r="B457" s="5">
        <v>2017</v>
      </c>
      <c r="C457" s="5" t="s">
        <v>559</v>
      </c>
      <c r="D457" s="15" t="s">
        <v>760</v>
      </c>
      <c r="E457" s="6">
        <v>72363</v>
      </c>
      <c r="F457" s="5" t="s">
        <v>199</v>
      </c>
      <c r="G457" s="5" t="s">
        <v>16</v>
      </c>
      <c r="H457" s="5" t="s">
        <v>17</v>
      </c>
      <c r="I457" s="5" t="s">
        <v>18</v>
      </c>
      <c r="J457" s="7">
        <v>45454</v>
      </c>
      <c r="K457" s="5" t="s">
        <v>17</v>
      </c>
      <c r="L457" s="8">
        <v>44113</v>
      </c>
      <c r="M457" s="19">
        <v>264</v>
      </c>
      <c r="N457" s="19">
        <v>314</v>
      </c>
      <c r="O457" s="24">
        <v>13300</v>
      </c>
      <c r="P457" s="24">
        <v>7400</v>
      </c>
      <c r="Q457" t="s">
        <v>1984</v>
      </c>
      <c r="R457" s="19">
        <f>VLOOKUP(A457,[1]Sheet1!$A$2:$Q$1536,15,FALSE)</f>
        <v>14389.69140625</v>
      </c>
      <c r="S457" s="27">
        <f t="shared" si="21"/>
        <v>0.48574296758123015</v>
      </c>
      <c r="T457" s="19">
        <f>VLOOKUP(A457,[1]Sheet1!$A$2:$Q$1536,16,FALSE)</f>
        <v>11284.31958529298</v>
      </c>
      <c r="U457" s="27">
        <f t="shared" si="22"/>
        <v>0.34422275582796069</v>
      </c>
      <c r="V457" s="19">
        <f>VLOOKUP(A457,[1]Sheet1!$A$2:$Q$1536,17,FALSE)</f>
        <v>14574.2236328125</v>
      </c>
      <c r="W457" s="27">
        <f t="shared" si="23"/>
        <v>0.49225425748651253</v>
      </c>
    </row>
    <row r="458" spans="1:23" x14ac:dyDescent="0.3">
      <c r="A458" s="4" t="s">
        <v>1633</v>
      </c>
      <c r="B458" s="5">
        <v>2016</v>
      </c>
      <c r="C458" s="5" t="s">
        <v>519</v>
      </c>
      <c r="D458" s="15" t="s">
        <v>1607</v>
      </c>
      <c r="E458" s="6">
        <v>77501</v>
      </c>
      <c r="F458" s="5" t="s">
        <v>66</v>
      </c>
      <c r="G458" s="5" t="s">
        <v>33</v>
      </c>
      <c r="H458" s="5" t="s">
        <v>17</v>
      </c>
      <c r="I458" s="5" t="s">
        <v>18</v>
      </c>
      <c r="J458" s="7">
        <v>45608</v>
      </c>
      <c r="K458" s="5" t="s">
        <v>17</v>
      </c>
      <c r="L458" s="8">
        <v>44310</v>
      </c>
      <c r="M458" s="19">
        <v>235</v>
      </c>
      <c r="N458" s="19">
        <v>285</v>
      </c>
      <c r="O458" s="24">
        <v>6400</v>
      </c>
      <c r="P458" s="24">
        <v>600</v>
      </c>
      <c r="Q458" t="s">
        <v>1984</v>
      </c>
      <c r="R458" s="19">
        <f>VLOOKUP(A458,[1]Sheet1!$A$2:$Q$1536,15,FALSE)</f>
        <v>3294.74658203125</v>
      </c>
      <c r="S458" s="27">
        <f t="shared" si="21"/>
        <v>0.81789191215122437</v>
      </c>
      <c r="T458" s="19">
        <f>VLOOKUP(A458,[1]Sheet1!$A$2:$Q$1536,16,FALSE)</f>
        <v>9237.2303653788022</v>
      </c>
      <c r="U458" s="27">
        <f t="shared" si="22"/>
        <v>0.93504546533246546</v>
      </c>
      <c r="V458" s="19">
        <f>VLOOKUP(A458,[1]Sheet1!$A$2:$Q$1536,17,FALSE)</f>
        <v>3241.23095703125</v>
      </c>
      <c r="W458" s="27">
        <f t="shared" si="23"/>
        <v>0.81488514457804639</v>
      </c>
    </row>
    <row r="459" spans="1:23" x14ac:dyDescent="0.3">
      <c r="A459" s="4" t="s">
        <v>1258</v>
      </c>
      <c r="B459" s="5">
        <v>2016</v>
      </c>
      <c r="C459" s="5" t="s">
        <v>30</v>
      </c>
      <c r="D459" s="15" t="s">
        <v>1256</v>
      </c>
      <c r="E459" s="6">
        <v>143720</v>
      </c>
      <c r="F459" s="5" t="s">
        <v>66</v>
      </c>
      <c r="G459" s="5" t="s">
        <v>25</v>
      </c>
      <c r="H459" s="5" t="s">
        <v>18</v>
      </c>
      <c r="I459" s="5" t="s">
        <v>17</v>
      </c>
      <c r="J459" s="7">
        <v>45580</v>
      </c>
      <c r="K459" s="5" t="s">
        <v>17</v>
      </c>
      <c r="L459" s="8">
        <v>44135</v>
      </c>
      <c r="M459" s="19">
        <v>235</v>
      </c>
      <c r="N459" s="19">
        <v>285</v>
      </c>
      <c r="O459" s="24">
        <v>7400</v>
      </c>
      <c r="P459" s="24">
        <v>5500</v>
      </c>
      <c r="Q459" t="s">
        <v>1984</v>
      </c>
      <c r="R459" s="19">
        <f>VLOOKUP(A459,[1]Sheet1!$A$2:$Q$1536,15,FALSE)</f>
        <v>3150.934814453125</v>
      </c>
      <c r="S459" s="27">
        <f t="shared" si="21"/>
        <v>-0.74551373604172066</v>
      </c>
      <c r="T459" s="19">
        <f>VLOOKUP(A459,[1]Sheet1!$A$2:$Q$1536,16,FALSE)</f>
        <v>9109.7599729371323</v>
      </c>
      <c r="U459" s="27">
        <f t="shared" si="22"/>
        <v>0.39625193020022986</v>
      </c>
      <c r="V459" s="19">
        <f>VLOOKUP(A459,[1]Sheet1!$A$2:$Q$1536,17,FALSE)</f>
        <v>3011.75048828125</v>
      </c>
      <c r="W459" s="27">
        <f t="shared" si="23"/>
        <v>-0.82618049582810815</v>
      </c>
    </row>
    <row r="460" spans="1:23" x14ac:dyDescent="0.3">
      <c r="A460" s="4" t="s">
        <v>347</v>
      </c>
      <c r="B460" s="5">
        <v>2018</v>
      </c>
      <c r="C460" s="5" t="s">
        <v>237</v>
      </c>
      <c r="D460" s="15" t="s">
        <v>339</v>
      </c>
      <c r="E460" s="6">
        <v>106994</v>
      </c>
      <c r="F460" s="5" t="s">
        <v>79</v>
      </c>
      <c r="G460" s="5" t="s">
        <v>22</v>
      </c>
      <c r="H460" s="5" t="s">
        <v>18</v>
      </c>
      <c r="I460" s="5" t="s">
        <v>17</v>
      </c>
      <c r="J460" s="7">
        <v>45547</v>
      </c>
      <c r="K460" s="5" t="s">
        <v>17</v>
      </c>
      <c r="L460" s="8">
        <v>44128</v>
      </c>
      <c r="M460" s="19">
        <v>264</v>
      </c>
      <c r="N460" s="19">
        <v>314</v>
      </c>
      <c r="O460" s="24">
        <v>0</v>
      </c>
      <c r="P460" s="24">
        <v>10900</v>
      </c>
      <c r="Q460" t="s">
        <v>1983</v>
      </c>
      <c r="R460" s="19">
        <f>VLOOKUP(A460,[1]Sheet1!$A$2:$Q$1536,15,FALSE)</f>
        <v>5128.39306640625</v>
      </c>
      <c r="S460" s="27">
        <f t="shared" si="21"/>
        <v>-1.1254221076385309</v>
      </c>
      <c r="T460" s="19">
        <f>VLOOKUP(A460,[1]Sheet1!$A$2:$Q$1536,16,FALSE)</f>
        <v>9293.6796064764876</v>
      </c>
      <c r="U460" s="27">
        <f t="shared" si="22"/>
        <v>-0.17284008719260299</v>
      </c>
      <c r="V460" s="19">
        <f>VLOOKUP(A460,[1]Sheet1!$A$2:$Q$1536,17,FALSE)</f>
        <v>4984.4052734375</v>
      </c>
      <c r="W460" s="27">
        <f t="shared" si="23"/>
        <v>-1.186820573777863</v>
      </c>
    </row>
    <row r="461" spans="1:23" x14ac:dyDescent="0.3">
      <c r="A461" s="4" t="s">
        <v>988</v>
      </c>
      <c r="B461" s="5">
        <v>2019</v>
      </c>
      <c r="C461" s="5" t="s">
        <v>237</v>
      </c>
      <c r="D461" s="15" t="s">
        <v>241</v>
      </c>
      <c r="E461" s="6">
        <v>66413</v>
      </c>
      <c r="F461" s="5" t="s">
        <v>125</v>
      </c>
      <c r="G461" s="5" t="s">
        <v>16</v>
      </c>
      <c r="H461" s="5" t="s">
        <v>17</v>
      </c>
      <c r="I461" s="5" t="s">
        <v>18</v>
      </c>
      <c r="J461" s="7">
        <v>45482</v>
      </c>
      <c r="K461" s="5" t="s">
        <v>17</v>
      </c>
      <c r="L461" s="8">
        <v>44135</v>
      </c>
      <c r="M461" s="19">
        <v>235</v>
      </c>
      <c r="N461" s="19">
        <v>285</v>
      </c>
      <c r="O461" s="24">
        <v>13750</v>
      </c>
      <c r="P461" s="24">
        <v>12200</v>
      </c>
      <c r="Q461" t="s">
        <v>1984</v>
      </c>
      <c r="R461" s="19">
        <f>VLOOKUP(A461,[1]Sheet1!$A$2:$Q$1536,15,FALSE)</f>
        <v>14119.6396484375</v>
      </c>
      <c r="S461" s="27">
        <f t="shared" si="21"/>
        <v>0.13595528612870303</v>
      </c>
      <c r="T461" s="19">
        <f>VLOOKUP(A461,[1]Sheet1!$A$2:$Q$1536,16,FALSE)</f>
        <v>11222.790004411931</v>
      </c>
      <c r="U461" s="27">
        <f t="shared" si="22"/>
        <v>-8.7073712971899697E-2</v>
      </c>
      <c r="V461" s="19">
        <f>VLOOKUP(A461,[1]Sheet1!$A$2:$Q$1536,17,FALSE)</f>
        <v>14224.16015625</v>
      </c>
      <c r="W461" s="27">
        <f t="shared" si="23"/>
        <v>0.14230437045245148</v>
      </c>
    </row>
    <row r="462" spans="1:23" x14ac:dyDescent="0.3">
      <c r="A462" s="4" t="s">
        <v>1878</v>
      </c>
      <c r="B462" s="5">
        <v>2019</v>
      </c>
      <c r="C462" s="5" t="s">
        <v>1401</v>
      </c>
      <c r="D462" s="15" t="s">
        <v>1877</v>
      </c>
      <c r="E462" s="6">
        <v>72122</v>
      </c>
      <c r="F462" s="5" t="s">
        <v>125</v>
      </c>
      <c r="G462" s="5" t="s">
        <v>16</v>
      </c>
      <c r="H462" s="5" t="s">
        <v>17</v>
      </c>
      <c r="I462" s="5" t="s">
        <v>18</v>
      </c>
      <c r="J462" s="7">
        <v>45496</v>
      </c>
      <c r="K462" s="5" t="s">
        <v>17</v>
      </c>
      <c r="L462" s="8">
        <v>44128</v>
      </c>
      <c r="M462" s="19">
        <v>264</v>
      </c>
      <c r="N462" s="19">
        <v>314</v>
      </c>
      <c r="O462" s="24">
        <v>16000</v>
      </c>
      <c r="P462" s="24">
        <v>9753.125</v>
      </c>
      <c r="Q462" t="s">
        <v>1984</v>
      </c>
      <c r="R462" s="19">
        <f>VLOOKUP(A462,[1]Sheet1!$A$2:$Q$1536,15,FALSE)</f>
        <v>13793.291015625</v>
      </c>
      <c r="S462" s="27">
        <f t="shared" si="21"/>
        <v>0.29290805298375217</v>
      </c>
      <c r="T462" s="19">
        <f>VLOOKUP(A462,[1]Sheet1!$A$2:$Q$1536,16,FALSE)</f>
        <v>10453.27607917812</v>
      </c>
      <c r="U462" s="27">
        <f t="shared" si="22"/>
        <v>6.6979105294344143E-2</v>
      </c>
      <c r="V462" s="19">
        <f>VLOOKUP(A462,[1]Sheet1!$A$2:$Q$1536,17,FALSE)</f>
        <v>13906.603515625</v>
      </c>
      <c r="W462" s="27">
        <f t="shared" si="23"/>
        <v>0.29866951415982262</v>
      </c>
    </row>
    <row r="463" spans="1:23" x14ac:dyDescent="0.3">
      <c r="A463" s="4" t="s">
        <v>1017</v>
      </c>
      <c r="B463" s="5">
        <v>2014</v>
      </c>
      <c r="C463" s="5" t="s">
        <v>237</v>
      </c>
      <c r="D463" s="15" t="s">
        <v>241</v>
      </c>
      <c r="E463" s="6">
        <v>140920</v>
      </c>
      <c r="F463" s="5" t="s">
        <v>144</v>
      </c>
      <c r="G463" s="5" t="s">
        <v>25</v>
      </c>
      <c r="H463" s="5" t="s">
        <v>18</v>
      </c>
      <c r="I463" s="5" t="s">
        <v>17</v>
      </c>
      <c r="J463" s="7">
        <v>45510</v>
      </c>
      <c r="K463" s="5" t="s">
        <v>17</v>
      </c>
      <c r="L463" s="8">
        <v>44054</v>
      </c>
      <c r="M463" s="19">
        <v>235</v>
      </c>
      <c r="N463" s="19">
        <v>285</v>
      </c>
      <c r="O463" s="24">
        <v>3000</v>
      </c>
      <c r="P463" s="24">
        <v>1900</v>
      </c>
      <c r="Q463" t="s">
        <v>1984</v>
      </c>
      <c r="R463" s="19">
        <f>VLOOKUP(A463,[1]Sheet1!$A$2:$Q$1536,15,FALSE)</f>
        <v>2007.865112304688</v>
      </c>
      <c r="S463" s="27">
        <f t="shared" si="21"/>
        <v>5.3721294146536133E-2</v>
      </c>
      <c r="T463" s="19">
        <f>VLOOKUP(A463,[1]Sheet1!$A$2:$Q$1536,16,FALSE)</f>
        <v>9066.2040941438045</v>
      </c>
      <c r="U463" s="27">
        <f t="shared" si="22"/>
        <v>0.79043048443755193</v>
      </c>
      <c r="V463" s="19">
        <f>VLOOKUP(A463,[1]Sheet1!$A$2:$Q$1536,17,FALSE)</f>
        <v>1926.197143554688</v>
      </c>
      <c r="W463" s="27">
        <f t="shared" si="23"/>
        <v>1.3600447722782211E-2</v>
      </c>
    </row>
    <row r="464" spans="1:23" x14ac:dyDescent="0.3">
      <c r="A464" s="4" t="s">
        <v>1664</v>
      </c>
      <c r="B464" s="5">
        <v>2017</v>
      </c>
      <c r="C464" s="5" t="s">
        <v>1089</v>
      </c>
      <c r="D464" s="15" t="s">
        <v>1663</v>
      </c>
      <c r="E464" s="6">
        <v>115379</v>
      </c>
      <c r="F464" s="5" t="s">
        <v>79</v>
      </c>
      <c r="G464" s="5" t="s">
        <v>22</v>
      </c>
      <c r="H464" s="5" t="s">
        <v>18</v>
      </c>
      <c r="I464" s="5" t="s">
        <v>17</v>
      </c>
      <c r="J464" s="7">
        <v>45449</v>
      </c>
      <c r="K464" s="5" t="s">
        <v>17</v>
      </c>
      <c r="L464" s="8">
        <v>44203</v>
      </c>
      <c r="M464" s="19">
        <v>235</v>
      </c>
      <c r="N464" s="19">
        <v>285</v>
      </c>
      <c r="O464" s="24">
        <v>0</v>
      </c>
      <c r="P464" s="24">
        <v>4300</v>
      </c>
      <c r="Q464" t="s">
        <v>1983</v>
      </c>
      <c r="R464" s="19">
        <f>VLOOKUP(A464,[1]Sheet1!$A$2:$Q$1536,15,FALSE)</f>
        <v>2672.151123046875</v>
      </c>
      <c r="S464" s="27">
        <f t="shared" si="21"/>
        <v>-0.60919042449103622</v>
      </c>
      <c r="T464" s="19">
        <f>VLOOKUP(A464,[1]Sheet1!$A$2:$Q$1536,16,FALSE)</f>
        <v>8689.7940827222192</v>
      </c>
      <c r="U464" s="27">
        <f t="shared" si="22"/>
        <v>0.5051666404213625</v>
      </c>
      <c r="V464" s="19">
        <f>VLOOKUP(A464,[1]Sheet1!$A$2:$Q$1536,17,FALSE)</f>
        <v>2503.20458984375</v>
      </c>
      <c r="W464" s="27">
        <f t="shared" si="23"/>
        <v>-0.71779806470729024</v>
      </c>
    </row>
    <row r="465" spans="1:23" x14ac:dyDescent="0.3">
      <c r="A465" s="4" t="s">
        <v>360</v>
      </c>
      <c r="B465" s="5">
        <v>2015</v>
      </c>
      <c r="C465" s="5" t="s">
        <v>237</v>
      </c>
      <c r="D465" s="15" t="s">
        <v>339</v>
      </c>
      <c r="E465" s="6">
        <v>162188</v>
      </c>
      <c r="F465" s="5" t="s">
        <v>112</v>
      </c>
      <c r="G465" s="5" t="s">
        <v>22</v>
      </c>
      <c r="H465" s="5" t="s">
        <v>18</v>
      </c>
      <c r="I465" s="5" t="s">
        <v>17</v>
      </c>
      <c r="J465" s="7">
        <v>45337</v>
      </c>
      <c r="K465" s="5" t="s">
        <v>17</v>
      </c>
      <c r="L465" s="8">
        <v>44113</v>
      </c>
      <c r="M465" s="19">
        <v>264</v>
      </c>
      <c r="N465" s="19">
        <v>314</v>
      </c>
      <c r="O465" s="24">
        <v>0</v>
      </c>
      <c r="P465" s="24">
        <v>8500</v>
      </c>
      <c r="Q465" t="s">
        <v>1983</v>
      </c>
      <c r="R465" s="19">
        <f>VLOOKUP(A465,[1]Sheet1!$A$2:$Q$1536,15,FALSE)</f>
        <v>2248.52734375</v>
      </c>
      <c r="S465" s="27">
        <f t="shared" si="21"/>
        <v>-2.7802520052186934</v>
      </c>
      <c r="T465" s="19">
        <f>VLOOKUP(A465,[1]Sheet1!$A$2:$Q$1536,16,FALSE)</f>
        <v>9180.5923096289971</v>
      </c>
      <c r="U465" s="27">
        <f t="shared" si="22"/>
        <v>7.4133812577121289E-2</v>
      </c>
      <c r="V465" s="19">
        <f>VLOOKUP(A465,[1]Sheet1!$A$2:$Q$1536,17,FALSE)</f>
        <v>2178.560791015625</v>
      </c>
      <c r="W465" s="27">
        <f t="shared" si="23"/>
        <v>-2.9016583953286785</v>
      </c>
    </row>
    <row r="466" spans="1:23" x14ac:dyDescent="0.3">
      <c r="A466" s="4" t="s">
        <v>1596</v>
      </c>
      <c r="B466" s="5">
        <v>2012</v>
      </c>
      <c r="C466" s="5" t="s">
        <v>1136</v>
      </c>
      <c r="D466" s="15" t="s">
        <v>1597</v>
      </c>
      <c r="E466" s="6">
        <v>50160</v>
      </c>
      <c r="F466" s="5" t="s">
        <v>246</v>
      </c>
      <c r="G466" s="5" t="s">
        <v>16</v>
      </c>
      <c r="H466" s="5" t="s">
        <v>17</v>
      </c>
      <c r="I466" s="5" t="s">
        <v>18</v>
      </c>
      <c r="J466" s="7">
        <v>45454</v>
      </c>
      <c r="K466" s="5" t="s">
        <v>17</v>
      </c>
      <c r="L466" s="8">
        <v>44662</v>
      </c>
      <c r="M466" s="19">
        <v>235</v>
      </c>
      <c r="N466" s="19">
        <v>285</v>
      </c>
      <c r="O466" s="24">
        <v>10300</v>
      </c>
      <c r="P466" s="24">
        <v>2733.3333333333298</v>
      </c>
      <c r="Q466" t="s">
        <v>1984</v>
      </c>
      <c r="R466" s="19">
        <f>VLOOKUP(A466,[1]Sheet1!$A$2:$Q$1536,15,FALSE)</f>
        <v>9374.6796875</v>
      </c>
      <c r="S466" s="27">
        <f t="shared" si="21"/>
        <v>0.708434482622601</v>
      </c>
      <c r="T466" s="19">
        <f>VLOOKUP(A466,[1]Sheet1!$A$2:$Q$1536,16,FALSE)</f>
        <v>11841.679014433979</v>
      </c>
      <c r="U466" s="27">
        <f t="shared" si="22"/>
        <v>0.76917687685997616</v>
      </c>
      <c r="V466" s="19">
        <f>VLOOKUP(A466,[1]Sheet1!$A$2:$Q$1536,17,FALSE)</f>
        <v>9198.5556640625</v>
      </c>
      <c r="W466" s="27">
        <f t="shared" si="23"/>
        <v>0.70285190054215896</v>
      </c>
    </row>
    <row r="467" spans="1:23" x14ac:dyDescent="0.3">
      <c r="A467" s="4" t="s">
        <v>1510</v>
      </c>
      <c r="B467" s="5">
        <v>2012</v>
      </c>
      <c r="C467" s="5" t="s">
        <v>1228</v>
      </c>
      <c r="D467" s="15" t="s">
        <v>1511</v>
      </c>
      <c r="E467" s="6">
        <v>104632</v>
      </c>
      <c r="F467" s="5" t="s">
        <v>59</v>
      </c>
      <c r="G467" s="5" t="s">
        <v>28</v>
      </c>
      <c r="H467" s="5" t="s">
        <v>17</v>
      </c>
      <c r="I467" s="5" t="s">
        <v>18</v>
      </c>
      <c r="J467" s="7">
        <v>45344</v>
      </c>
      <c r="K467" s="5" t="s">
        <v>17</v>
      </c>
      <c r="L467" s="8">
        <v>44113</v>
      </c>
      <c r="M467" s="19">
        <v>264</v>
      </c>
      <c r="N467" s="19">
        <v>314</v>
      </c>
      <c r="O467" s="24">
        <v>7700</v>
      </c>
      <c r="P467" s="24">
        <v>3600</v>
      </c>
      <c r="Q467" t="s">
        <v>1984</v>
      </c>
      <c r="R467" s="19">
        <f>VLOOKUP(A467,[1]Sheet1!$A$2:$Q$1536,15,FALSE)</f>
        <v>6369.19140625</v>
      </c>
      <c r="S467" s="27">
        <f t="shared" si="21"/>
        <v>0.43477911552989762</v>
      </c>
      <c r="T467" s="19">
        <f>VLOOKUP(A467,[1]Sheet1!$A$2:$Q$1536,16,FALSE)</f>
        <v>9918.2355129347325</v>
      </c>
      <c r="U467" s="27">
        <f t="shared" si="22"/>
        <v>0.63703221250341269</v>
      </c>
      <c r="V467" s="19">
        <f>VLOOKUP(A467,[1]Sheet1!$A$2:$Q$1536,17,FALSE)</f>
        <v>6315.2724609375</v>
      </c>
      <c r="W467" s="27">
        <f t="shared" si="23"/>
        <v>0.42995333577965988</v>
      </c>
    </row>
    <row r="468" spans="1:23" x14ac:dyDescent="0.3">
      <c r="A468" s="4" t="s">
        <v>1105</v>
      </c>
      <c r="B468" s="5">
        <v>2021</v>
      </c>
      <c r="C468" s="5" t="s">
        <v>1086</v>
      </c>
      <c r="D468" s="15" t="s">
        <v>1093</v>
      </c>
      <c r="E468" s="6">
        <v>63474</v>
      </c>
      <c r="F468" s="5" t="s">
        <v>64</v>
      </c>
      <c r="G468" s="5" t="s">
        <v>28</v>
      </c>
      <c r="H468" s="5" t="s">
        <v>17</v>
      </c>
      <c r="I468" s="5" t="s">
        <v>18</v>
      </c>
      <c r="J468" s="7">
        <v>45314</v>
      </c>
      <c r="K468" s="5" t="s">
        <v>17</v>
      </c>
      <c r="L468" s="8">
        <v>44054</v>
      </c>
      <c r="M468" s="19">
        <v>235</v>
      </c>
      <c r="N468" s="19">
        <v>285</v>
      </c>
      <c r="O468" s="24">
        <v>12800</v>
      </c>
      <c r="P468" s="24">
        <v>12000</v>
      </c>
      <c r="Q468" t="s">
        <v>1984</v>
      </c>
      <c r="R468" s="19">
        <f>VLOOKUP(A468,[1]Sheet1!$A$2:$Q$1536,15,FALSE)</f>
        <v>12340.041015625</v>
      </c>
      <c r="S468" s="27">
        <f t="shared" si="21"/>
        <v>2.7555906434544176E-2</v>
      </c>
      <c r="T468" s="19">
        <f>VLOOKUP(A468,[1]Sheet1!$A$2:$Q$1536,16,FALSE)</f>
        <v>13264.431905900799</v>
      </c>
      <c r="U468" s="27">
        <f t="shared" si="22"/>
        <v>9.5324995059781314E-2</v>
      </c>
      <c r="V468" s="19">
        <f>VLOOKUP(A468,[1]Sheet1!$A$2:$Q$1536,17,FALSE)</f>
        <v>12301.90625</v>
      </c>
      <c r="W468" s="27">
        <f t="shared" si="23"/>
        <v>2.4541420155920958E-2</v>
      </c>
    </row>
    <row r="469" spans="1:23" x14ac:dyDescent="0.3">
      <c r="A469" s="4" t="s">
        <v>1844</v>
      </c>
      <c r="B469" s="5">
        <v>2015</v>
      </c>
      <c r="C469" s="5" t="s">
        <v>1845</v>
      </c>
      <c r="D469" s="15" t="s">
        <v>1846</v>
      </c>
      <c r="E469" s="6">
        <v>67755</v>
      </c>
      <c r="F469" s="5" t="s">
        <v>40</v>
      </c>
      <c r="G469" s="5" t="s">
        <v>28</v>
      </c>
      <c r="H469" s="5" t="s">
        <v>17</v>
      </c>
      <c r="I469" s="5" t="s">
        <v>18</v>
      </c>
      <c r="J469" s="7">
        <v>45636</v>
      </c>
      <c r="K469" s="5" t="s">
        <v>17</v>
      </c>
      <c r="L469" s="8">
        <v>44310</v>
      </c>
      <c r="M469" s="19">
        <v>235</v>
      </c>
      <c r="N469" s="19">
        <v>285</v>
      </c>
      <c r="O469" s="24">
        <v>11200</v>
      </c>
      <c r="P469" s="24">
        <v>5200</v>
      </c>
      <c r="Q469" t="s">
        <v>1984</v>
      </c>
      <c r="R469" s="19">
        <f>VLOOKUP(A469,[1]Sheet1!$A$2:$Q$1536,15,FALSE)</f>
        <v>5145.58642578125</v>
      </c>
      <c r="S469" s="27">
        <f t="shared" si="21"/>
        <v>-1.0574805224554834E-2</v>
      </c>
      <c r="T469" s="19">
        <f>VLOOKUP(A469,[1]Sheet1!$A$2:$Q$1536,16,FALSE)</f>
        <v>9984.4441832262874</v>
      </c>
      <c r="U469" s="27">
        <f t="shared" si="22"/>
        <v>0.47918983725344272</v>
      </c>
      <c r="V469" s="19">
        <f>VLOOKUP(A469,[1]Sheet1!$A$2:$Q$1536,17,FALSE)</f>
        <v>5025.76025390625</v>
      </c>
      <c r="W469" s="27">
        <f t="shared" si="23"/>
        <v>-3.4669331064553451E-2</v>
      </c>
    </row>
    <row r="470" spans="1:23" x14ac:dyDescent="0.3">
      <c r="A470" s="4" t="s">
        <v>133</v>
      </c>
      <c r="B470" s="5">
        <v>2017</v>
      </c>
      <c r="C470" s="5" t="s">
        <v>96</v>
      </c>
      <c r="D470" s="15" t="s">
        <v>127</v>
      </c>
      <c r="E470" s="6">
        <v>46550</v>
      </c>
      <c r="F470" s="5" t="s">
        <v>112</v>
      </c>
      <c r="G470" s="5" t="s">
        <v>134</v>
      </c>
      <c r="H470" s="5" t="s">
        <v>18</v>
      </c>
      <c r="I470" s="5" t="s">
        <v>17</v>
      </c>
      <c r="J470" s="7">
        <v>45645</v>
      </c>
      <c r="K470" s="5" t="s">
        <v>17</v>
      </c>
      <c r="L470" s="8">
        <v>44307</v>
      </c>
      <c r="M470" s="19">
        <v>235</v>
      </c>
      <c r="N470" s="19">
        <v>285</v>
      </c>
      <c r="O470" s="24">
        <v>0</v>
      </c>
      <c r="P470" s="24">
        <v>3700</v>
      </c>
      <c r="Q470" t="s">
        <v>1983</v>
      </c>
      <c r="R470" s="19">
        <f>VLOOKUP(A470,[1]Sheet1!$A$2:$Q$1536,15,FALSE)</f>
        <v>6559.24755859375</v>
      </c>
      <c r="S470" s="27">
        <f t="shared" si="21"/>
        <v>0.43591090792840115</v>
      </c>
      <c r="T470" s="19">
        <f>VLOOKUP(A470,[1]Sheet1!$A$2:$Q$1536,16,FALSE)</f>
        <v>11419.08992560228</v>
      </c>
      <c r="U470" s="27">
        <f t="shared" si="22"/>
        <v>0.67598118378029592</v>
      </c>
      <c r="V470" s="19">
        <f>VLOOKUP(A470,[1]Sheet1!$A$2:$Q$1536,17,FALSE)</f>
        <v>6216.98486328125</v>
      </c>
      <c r="W470" s="27">
        <f t="shared" si="23"/>
        <v>0.40485619936877498</v>
      </c>
    </row>
    <row r="471" spans="1:23" x14ac:dyDescent="0.3">
      <c r="A471" s="4" t="s">
        <v>1115</v>
      </c>
      <c r="B471" s="5">
        <v>2018</v>
      </c>
      <c r="C471" s="5" t="s">
        <v>1086</v>
      </c>
      <c r="D471" s="15" t="s">
        <v>1093</v>
      </c>
      <c r="E471" s="6">
        <v>97581</v>
      </c>
      <c r="F471" s="5" t="s">
        <v>81</v>
      </c>
      <c r="G471" s="5" t="s">
        <v>28</v>
      </c>
      <c r="H471" s="5" t="s">
        <v>17</v>
      </c>
      <c r="I471" s="5" t="s">
        <v>18</v>
      </c>
      <c r="J471" s="7">
        <v>45302</v>
      </c>
      <c r="K471" s="5" t="s">
        <v>17</v>
      </c>
      <c r="L471" s="8">
        <v>44707</v>
      </c>
      <c r="M471" s="19">
        <v>222</v>
      </c>
      <c r="N471" s="19">
        <v>272</v>
      </c>
      <c r="O471" s="24">
        <v>5700</v>
      </c>
      <c r="P471" s="24">
        <v>1100</v>
      </c>
      <c r="Q471" t="s">
        <v>1984</v>
      </c>
      <c r="R471" s="19">
        <f>VLOOKUP(A471,[1]Sheet1!$A$2:$Q$1536,15,FALSE)</f>
        <v>3990.859130859375</v>
      </c>
      <c r="S471" s="27">
        <f t="shared" si="21"/>
        <v>0.72437012584728078</v>
      </c>
      <c r="T471" s="19">
        <f>VLOOKUP(A471,[1]Sheet1!$A$2:$Q$1536,16,FALSE)</f>
        <v>9024.6820490650625</v>
      </c>
      <c r="U471" s="27">
        <f t="shared" si="22"/>
        <v>0.87811204937530651</v>
      </c>
      <c r="V471" s="19">
        <f>VLOOKUP(A471,[1]Sheet1!$A$2:$Q$1536,17,FALSE)</f>
        <v>3881.8876953125</v>
      </c>
      <c r="W471" s="27">
        <f t="shared" si="23"/>
        <v>0.71663270904815612</v>
      </c>
    </row>
    <row r="472" spans="1:23" x14ac:dyDescent="0.3">
      <c r="A472" s="4" t="s">
        <v>1518</v>
      </c>
      <c r="B472" s="5">
        <v>2010</v>
      </c>
      <c r="C472" s="5" t="s">
        <v>1139</v>
      </c>
      <c r="D472" s="15" t="s">
        <v>1140</v>
      </c>
      <c r="E472" s="6">
        <v>126711</v>
      </c>
      <c r="F472" s="5" t="s">
        <v>115</v>
      </c>
      <c r="G472" s="5" t="s">
        <v>25</v>
      </c>
      <c r="H472" s="5" t="s">
        <v>18</v>
      </c>
      <c r="I472" s="5" t="s">
        <v>17</v>
      </c>
      <c r="J472" s="7">
        <v>45706</v>
      </c>
      <c r="K472" s="5" t="s">
        <v>17</v>
      </c>
      <c r="L472" s="8">
        <v>43777</v>
      </c>
      <c r="M472" s="19">
        <v>90</v>
      </c>
      <c r="N472" s="19">
        <v>120</v>
      </c>
      <c r="O472" s="24">
        <v>3300</v>
      </c>
      <c r="P472" s="24">
        <v>2700</v>
      </c>
      <c r="Q472" t="s">
        <v>1984</v>
      </c>
      <c r="R472" s="19">
        <f>VLOOKUP(A472,[1]Sheet1!$A$2:$Q$1536,15,FALSE)</f>
        <v>3441.100830078125</v>
      </c>
      <c r="S472" s="27">
        <f t="shared" si="21"/>
        <v>0.21536736837243431</v>
      </c>
      <c r="T472" s="19">
        <f>VLOOKUP(A472,[1]Sheet1!$A$2:$Q$1536,16,FALSE)</f>
        <v>9831.9471429163441</v>
      </c>
      <c r="U472" s="27">
        <f t="shared" si="22"/>
        <v>0.72538501674662903</v>
      </c>
      <c r="V472" s="19">
        <f>VLOOKUP(A472,[1]Sheet1!$A$2:$Q$1536,17,FALSE)</f>
        <v>3493.63818359375</v>
      </c>
      <c r="W472" s="27">
        <f t="shared" si="23"/>
        <v>0.22716667894251424</v>
      </c>
    </row>
    <row r="473" spans="1:23" x14ac:dyDescent="0.3">
      <c r="A473" s="4" t="s">
        <v>830</v>
      </c>
      <c r="B473" s="5">
        <v>2015</v>
      </c>
      <c r="C473" s="5" t="s">
        <v>559</v>
      </c>
      <c r="D473" s="15" t="s">
        <v>760</v>
      </c>
      <c r="E473" s="6">
        <v>114381</v>
      </c>
      <c r="F473" s="5" t="s">
        <v>87</v>
      </c>
      <c r="G473" s="5" t="s">
        <v>25</v>
      </c>
      <c r="H473" s="5" t="s">
        <v>18</v>
      </c>
      <c r="I473" s="5" t="s">
        <v>17</v>
      </c>
      <c r="J473" s="7">
        <v>45412</v>
      </c>
      <c r="K473" s="5" t="s">
        <v>17</v>
      </c>
      <c r="L473" s="8">
        <v>44905</v>
      </c>
      <c r="M473" s="19">
        <v>128</v>
      </c>
      <c r="N473" s="19">
        <v>158</v>
      </c>
      <c r="O473" s="24">
        <v>4900</v>
      </c>
      <c r="P473" s="24">
        <v>3900</v>
      </c>
      <c r="Q473" t="s">
        <v>1984</v>
      </c>
      <c r="R473" s="19">
        <f>VLOOKUP(A473,[1]Sheet1!$A$2:$Q$1536,15,FALSE)</f>
        <v>4475.68994140625</v>
      </c>
      <c r="S473" s="27">
        <f t="shared" si="21"/>
        <v>0.12862596581598093</v>
      </c>
      <c r="T473" s="19">
        <f>VLOOKUP(A473,[1]Sheet1!$A$2:$Q$1536,16,FALSE)</f>
        <v>10010.47040408714</v>
      </c>
      <c r="U473" s="27">
        <f t="shared" si="22"/>
        <v>0.61040791865208621</v>
      </c>
      <c r="V473" s="19">
        <f>VLOOKUP(A473,[1]Sheet1!$A$2:$Q$1536,17,FALSE)</f>
        <v>4340.9296875</v>
      </c>
      <c r="W473" s="27">
        <f t="shared" si="23"/>
        <v>0.10157494344349478</v>
      </c>
    </row>
    <row r="474" spans="1:23" x14ac:dyDescent="0.3">
      <c r="A474" s="4" t="s">
        <v>1543</v>
      </c>
      <c r="B474" s="5">
        <v>2016</v>
      </c>
      <c r="C474" s="5" t="s">
        <v>636</v>
      </c>
      <c r="D474" s="15" t="s">
        <v>1544</v>
      </c>
      <c r="E474" s="6">
        <v>76367</v>
      </c>
      <c r="F474" s="5" t="s">
        <v>199</v>
      </c>
      <c r="G474" s="5" t="s">
        <v>16</v>
      </c>
      <c r="H474" s="5" t="s">
        <v>17</v>
      </c>
      <c r="I474" s="5" t="s">
        <v>18</v>
      </c>
      <c r="J474" s="7">
        <v>45538</v>
      </c>
      <c r="K474" s="5" t="s">
        <v>17</v>
      </c>
      <c r="L474" s="8">
        <v>44224</v>
      </c>
      <c r="M474" s="19">
        <v>235</v>
      </c>
      <c r="N474" s="19">
        <v>285</v>
      </c>
      <c r="O474" s="24">
        <v>22000</v>
      </c>
      <c r="P474" s="24">
        <v>13078.5714285714</v>
      </c>
      <c r="Q474" t="s">
        <v>1984</v>
      </c>
      <c r="R474" s="19">
        <f>VLOOKUP(A474,[1]Sheet1!$A$2:$Q$1536,15,FALSE)</f>
        <v>9059.9013671875</v>
      </c>
      <c r="S474" s="27">
        <f t="shared" si="21"/>
        <v>-0.44356664587303685</v>
      </c>
      <c r="T474" s="19">
        <f>VLOOKUP(A474,[1]Sheet1!$A$2:$Q$1536,16,FALSE)</f>
        <v>9914.2298147014135</v>
      </c>
      <c r="U474" s="27">
        <f t="shared" si="22"/>
        <v>-0.3191717029978175</v>
      </c>
      <c r="V474" s="19">
        <f>VLOOKUP(A474,[1]Sheet1!$A$2:$Q$1536,17,FALSE)</f>
        <v>9232.58203125</v>
      </c>
      <c r="W474" s="27">
        <f t="shared" si="23"/>
        <v>-0.41656704314174303</v>
      </c>
    </row>
    <row r="475" spans="1:23" x14ac:dyDescent="0.3">
      <c r="A475" s="4" t="s">
        <v>401</v>
      </c>
      <c r="B475" s="5">
        <v>2013</v>
      </c>
      <c r="C475" s="5" t="s">
        <v>391</v>
      </c>
      <c r="D475" s="15" t="s">
        <v>394</v>
      </c>
      <c r="E475" s="6">
        <v>147314</v>
      </c>
      <c r="F475" s="5" t="s">
        <v>27</v>
      </c>
      <c r="G475" s="5" t="s">
        <v>25</v>
      </c>
      <c r="H475" s="5" t="s">
        <v>18</v>
      </c>
      <c r="I475" s="5" t="s">
        <v>17</v>
      </c>
      <c r="J475" s="7">
        <v>45435</v>
      </c>
      <c r="K475" s="5" t="s">
        <v>17</v>
      </c>
      <c r="L475" s="8">
        <v>44310</v>
      </c>
      <c r="M475" s="19">
        <v>235</v>
      </c>
      <c r="N475" s="19">
        <v>285</v>
      </c>
      <c r="O475" s="24">
        <v>2500</v>
      </c>
      <c r="P475" s="24">
        <v>1500</v>
      </c>
      <c r="Q475" t="s">
        <v>1984</v>
      </c>
      <c r="R475" s="19">
        <f>VLOOKUP(A475,[1]Sheet1!$A$2:$Q$1536,15,FALSE)</f>
        <v>458.72860717773438</v>
      </c>
      <c r="S475" s="27">
        <f t="shared" si="21"/>
        <v>-2.2699072535034315</v>
      </c>
      <c r="T475" s="19">
        <f>VLOOKUP(A475,[1]Sheet1!$A$2:$Q$1536,16,FALSE)</f>
        <v>9233.5593235868528</v>
      </c>
      <c r="U475" s="27">
        <f t="shared" si="22"/>
        <v>0.83754910241727754</v>
      </c>
      <c r="V475" s="19">
        <f>VLOOKUP(A475,[1]Sheet1!$A$2:$Q$1536,17,FALSE)</f>
        <v>835.9281005859375</v>
      </c>
      <c r="W475" s="27">
        <f t="shared" si="23"/>
        <v>-0.79441270002597864</v>
      </c>
    </row>
    <row r="476" spans="1:23" x14ac:dyDescent="0.3">
      <c r="A476" s="4" t="s">
        <v>937</v>
      </c>
      <c r="B476" s="5">
        <v>2013</v>
      </c>
      <c r="C476" s="5" t="s">
        <v>932</v>
      </c>
      <c r="D476" s="15">
        <v>500</v>
      </c>
      <c r="E476" s="6">
        <v>72398</v>
      </c>
      <c r="F476" s="5" t="s">
        <v>77</v>
      </c>
      <c r="G476" s="5" t="s">
        <v>28</v>
      </c>
      <c r="H476" s="5" t="s">
        <v>17</v>
      </c>
      <c r="I476" s="5" t="s">
        <v>18</v>
      </c>
      <c r="J476" s="7">
        <v>45412</v>
      </c>
      <c r="K476" s="5" t="s">
        <v>17</v>
      </c>
      <c r="L476" s="8">
        <v>44081</v>
      </c>
      <c r="M476" s="19">
        <v>325</v>
      </c>
      <c r="N476" s="19">
        <v>375</v>
      </c>
      <c r="O476" s="24">
        <v>5100</v>
      </c>
      <c r="P476" s="24">
        <v>2975</v>
      </c>
      <c r="Q476" t="s">
        <v>1984</v>
      </c>
      <c r="R476" s="19">
        <f>VLOOKUP(A476,[1]Sheet1!$A$2:$Q$1536,15,FALSE)</f>
        <v>6109.42626953125</v>
      </c>
      <c r="S476" s="27">
        <f t="shared" si="21"/>
        <v>0.51304756473830737</v>
      </c>
      <c r="T476" s="19">
        <f>VLOOKUP(A476,[1]Sheet1!$A$2:$Q$1536,16,FALSE)</f>
        <v>9249.021754773401</v>
      </c>
      <c r="U476" s="27">
        <f t="shared" si="22"/>
        <v>0.67834436128722386</v>
      </c>
      <c r="V476" s="19">
        <f>VLOOKUP(A476,[1]Sheet1!$A$2:$Q$1536,17,FALSE)</f>
        <v>6084.98291015625</v>
      </c>
      <c r="W476" s="27">
        <f t="shared" si="23"/>
        <v>0.51109147816429812</v>
      </c>
    </row>
    <row r="477" spans="1:23" x14ac:dyDescent="0.3">
      <c r="A477" s="4" t="s">
        <v>1567</v>
      </c>
      <c r="B477" s="5">
        <v>2012</v>
      </c>
      <c r="C477" s="5" t="s">
        <v>636</v>
      </c>
      <c r="D477" s="15" t="s">
        <v>1294</v>
      </c>
      <c r="E477" s="6">
        <v>130185</v>
      </c>
      <c r="F477" s="5" t="s">
        <v>40</v>
      </c>
      <c r="G477" s="5" t="s">
        <v>25</v>
      </c>
      <c r="H477" s="5" t="s">
        <v>18</v>
      </c>
      <c r="I477" s="5" t="s">
        <v>17</v>
      </c>
      <c r="J477" s="7">
        <v>45393</v>
      </c>
      <c r="K477" s="5" t="s">
        <v>17</v>
      </c>
      <c r="L477" s="8">
        <v>44113</v>
      </c>
      <c r="M477" s="19">
        <v>264</v>
      </c>
      <c r="N477" s="19">
        <v>314</v>
      </c>
      <c r="O477" s="24">
        <v>0</v>
      </c>
      <c r="P477" s="24">
        <v>5800</v>
      </c>
      <c r="Q477" t="s">
        <v>1983</v>
      </c>
      <c r="R477" s="19">
        <f>VLOOKUP(A477,[1]Sheet1!$A$2:$Q$1536,15,FALSE)</f>
        <v>1264.311401367188</v>
      </c>
      <c r="S477" s="27">
        <f t="shared" si="21"/>
        <v>-3.5874774155544724</v>
      </c>
      <c r="T477" s="19">
        <f>VLOOKUP(A477,[1]Sheet1!$A$2:$Q$1536,16,FALSE)</f>
        <v>8888.6411987201682</v>
      </c>
      <c r="U477" s="27">
        <f t="shared" si="22"/>
        <v>0.347481817486894</v>
      </c>
      <c r="V477" s="19">
        <f>VLOOKUP(A477,[1]Sheet1!$A$2:$Q$1536,17,FALSE)</f>
        <v>1325.587768554688</v>
      </c>
      <c r="W477" s="27">
        <f t="shared" si="23"/>
        <v>-3.3754175601090859</v>
      </c>
    </row>
    <row r="478" spans="1:23" x14ac:dyDescent="0.3">
      <c r="A478" s="4" t="s">
        <v>668</v>
      </c>
      <c r="B478" s="5">
        <v>2013</v>
      </c>
      <c r="C478" s="5" t="s">
        <v>636</v>
      </c>
      <c r="D478" s="15" t="s">
        <v>641</v>
      </c>
      <c r="E478" s="6">
        <v>117243</v>
      </c>
      <c r="F478" s="5" t="s">
        <v>38</v>
      </c>
      <c r="G478" s="5" t="s">
        <v>25</v>
      </c>
      <c r="H478" s="5" t="s">
        <v>18</v>
      </c>
      <c r="I478" s="5" t="s">
        <v>17</v>
      </c>
      <c r="J478" s="7">
        <v>45645</v>
      </c>
      <c r="K478" s="5" t="s">
        <v>17</v>
      </c>
      <c r="L478" s="8">
        <v>44224</v>
      </c>
      <c r="M478" s="19">
        <v>235</v>
      </c>
      <c r="N478" s="19">
        <v>285</v>
      </c>
      <c r="O478" s="24">
        <v>0</v>
      </c>
      <c r="P478" s="24">
        <v>2900</v>
      </c>
      <c r="Q478" t="s">
        <v>1983</v>
      </c>
      <c r="R478" s="19">
        <f>VLOOKUP(A478,[1]Sheet1!$A$2:$Q$1536,15,FALSE)</f>
        <v>992.8856201171875</v>
      </c>
      <c r="S478" s="27">
        <f t="shared" si="21"/>
        <v>-1.9207795351671235</v>
      </c>
      <c r="T478" s="19">
        <f>VLOOKUP(A478,[1]Sheet1!$A$2:$Q$1536,16,FALSE)</f>
        <v>8797.2022542207396</v>
      </c>
      <c r="U478" s="27">
        <f t="shared" si="22"/>
        <v>0.6703497411795174</v>
      </c>
      <c r="V478" s="19">
        <f>VLOOKUP(A478,[1]Sheet1!$A$2:$Q$1536,17,FALSE)</f>
        <v>1174.935546875</v>
      </c>
      <c r="W478" s="27">
        <f t="shared" si="23"/>
        <v>-1.4682204974674475</v>
      </c>
    </row>
    <row r="479" spans="1:23" x14ac:dyDescent="0.3">
      <c r="A479" s="4" t="s">
        <v>1068</v>
      </c>
      <c r="B479" s="5">
        <v>2017</v>
      </c>
      <c r="C479" s="5" t="s">
        <v>391</v>
      </c>
      <c r="D479" s="15" t="s">
        <v>1056</v>
      </c>
      <c r="E479" s="6">
        <v>84615</v>
      </c>
      <c r="F479" s="5" t="s">
        <v>64</v>
      </c>
      <c r="G479" s="5" t="s">
        <v>16</v>
      </c>
      <c r="H479" s="5" t="s">
        <v>17</v>
      </c>
      <c r="I479" s="5" t="s">
        <v>18</v>
      </c>
      <c r="J479" s="7">
        <v>45580</v>
      </c>
      <c r="K479" s="5" t="s">
        <v>17</v>
      </c>
      <c r="L479" s="8">
        <v>43612</v>
      </c>
      <c r="M479" s="19">
        <v>264</v>
      </c>
      <c r="N479" s="19">
        <v>314</v>
      </c>
      <c r="O479" s="24">
        <v>6750</v>
      </c>
      <c r="P479" s="24">
        <v>3300</v>
      </c>
      <c r="Q479" t="s">
        <v>1984</v>
      </c>
      <c r="R479" s="19">
        <f>VLOOKUP(A479,[1]Sheet1!$A$2:$Q$1536,15,FALSE)</f>
        <v>7973.7587890625</v>
      </c>
      <c r="S479" s="27">
        <f t="shared" si="21"/>
        <v>0.58614248470538555</v>
      </c>
      <c r="T479" s="19">
        <f>VLOOKUP(A479,[1]Sheet1!$A$2:$Q$1536,16,FALSE)</f>
        <v>9580.8043685638295</v>
      </c>
      <c r="U479" s="27">
        <f t="shared" si="22"/>
        <v>0.65556127929844443</v>
      </c>
      <c r="V479" s="19">
        <f>VLOOKUP(A479,[1]Sheet1!$A$2:$Q$1536,17,FALSE)</f>
        <v>8028.48779296875</v>
      </c>
      <c r="W479" s="27">
        <f t="shared" si="23"/>
        <v>0.58896368966393653</v>
      </c>
    </row>
    <row r="480" spans="1:23" x14ac:dyDescent="0.3">
      <c r="A480" s="4" t="s">
        <v>1598</v>
      </c>
      <c r="B480" s="5">
        <v>2014</v>
      </c>
      <c r="C480" s="5" t="s">
        <v>1136</v>
      </c>
      <c r="D480" s="15" t="s">
        <v>1597</v>
      </c>
      <c r="E480" s="6">
        <v>105473</v>
      </c>
      <c r="F480" s="5" t="s">
        <v>32</v>
      </c>
      <c r="G480" s="5" t="s">
        <v>33</v>
      </c>
      <c r="H480" s="5" t="s">
        <v>17</v>
      </c>
      <c r="I480" s="5" t="s">
        <v>18</v>
      </c>
      <c r="J480" s="7">
        <v>45594</v>
      </c>
      <c r="K480" s="5" t="s">
        <v>17</v>
      </c>
      <c r="L480" s="8">
        <v>43935</v>
      </c>
      <c r="M480" s="19">
        <v>222</v>
      </c>
      <c r="N480" s="19">
        <v>272</v>
      </c>
      <c r="O480" s="24">
        <v>4900</v>
      </c>
      <c r="P480" s="24">
        <v>2733.3333333333298</v>
      </c>
      <c r="Q480" t="s">
        <v>1984</v>
      </c>
      <c r="R480" s="19">
        <f>VLOOKUP(A480,[1]Sheet1!$A$2:$Q$1536,15,FALSE)</f>
        <v>2521.322998046875</v>
      </c>
      <c r="S480" s="27">
        <f t="shared" si="21"/>
        <v>-8.4086939852881668E-2</v>
      </c>
      <c r="T480" s="19">
        <f>VLOOKUP(A480,[1]Sheet1!$A$2:$Q$1536,16,FALSE)</f>
        <v>8826.2532926442764</v>
      </c>
      <c r="U480" s="27">
        <f t="shared" si="22"/>
        <v>0.690317823123061</v>
      </c>
      <c r="V480" s="19">
        <f>VLOOKUP(A480,[1]Sheet1!$A$2:$Q$1536,17,FALSE)</f>
        <v>2343.41650390625</v>
      </c>
      <c r="W480" s="27">
        <f t="shared" si="23"/>
        <v>-0.16638818954169093</v>
      </c>
    </row>
    <row r="481" spans="1:23" x14ac:dyDescent="0.3">
      <c r="A481" s="4" t="s">
        <v>1271</v>
      </c>
      <c r="B481" s="5">
        <v>2012</v>
      </c>
      <c r="C481" s="5" t="s">
        <v>30</v>
      </c>
      <c r="D481" s="15" t="s">
        <v>1272</v>
      </c>
      <c r="E481" s="6">
        <v>90451</v>
      </c>
      <c r="F481" s="5" t="s">
        <v>24</v>
      </c>
      <c r="G481" s="5" t="s">
        <v>25</v>
      </c>
      <c r="H481" s="5" t="s">
        <v>18</v>
      </c>
      <c r="I481" s="5" t="s">
        <v>17</v>
      </c>
      <c r="J481" s="7">
        <v>45400</v>
      </c>
      <c r="K481" s="5" t="s">
        <v>17</v>
      </c>
      <c r="L481" s="8">
        <v>44662</v>
      </c>
      <c r="M481" s="19">
        <v>235</v>
      </c>
      <c r="N481" s="19">
        <v>285</v>
      </c>
      <c r="O481" s="24">
        <v>0</v>
      </c>
      <c r="P481" s="24">
        <v>11729.8876404494</v>
      </c>
      <c r="Q481" t="s">
        <v>1983</v>
      </c>
      <c r="R481" s="19">
        <f>VLOOKUP(A481,[1]Sheet1!$A$2:$Q$1536,15,FALSE)</f>
        <v>3783.1083984375</v>
      </c>
      <c r="S481" s="27">
        <f t="shared" si="21"/>
        <v>-2.1005951733484771</v>
      </c>
      <c r="T481" s="19">
        <f>VLOOKUP(A481,[1]Sheet1!$A$2:$Q$1536,16,FALSE)</f>
        <v>9251.5624272609075</v>
      </c>
      <c r="U481" s="27">
        <f t="shared" si="22"/>
        <v>-0.26788180187659888</v>
      </c>
      <c r="V481" s="19">
        <f>VLOOKUP(A481,[1]Sheet1!$A$2:$Q$1536,17,FALSE)</f>
        <v>3673.54638671875</v>
      </c>
      <c r="W481" s="27">
        <f t="shared" si="23"/>
        <v>-2.1930691505236872</v>
      </c>
    </row>
    <row r="482" spans="1:23" x14ac:dyDescent="0.3">
      <c r="A482" s="4" t="s">
        <v>1233</v>
      </c>
      <c r="B482" s="5">
        <v>2017</v>
      </c>
      <c r="C482" s="5" t="s">
        <v>1228</v>
      </c>
      <c r="D482" s="15" t="s">
        <v>1232</v>
      </c>
      <c r="E482" s="6">
        <v>30571</v>
      </c>
      <c r="F482" s="5" t="s">
        <v>246</v>
      </c>
      <c r="G482" s="5" t="s">
        <v>16</v>
      </c>
      <c r="H482" s="5" t="s">
        <v>17</v>
      </c>
      <c r="I482" s="5" t="s">
        <v>18</v>
      </c>
      <c r="J482" s="7">
        <v>45510</v>
      </c>
      <c r="K482" s="5" t="s">
        <v>17</v>
      </c>
      <c r="L482" s="8">
        <v>44307</v>
      </c>
      <c r="M482" s="19">
        <v>235</v>
      </c>
      <c r="N482" s="19">
        <v>285</v>
      </c>
      <c r="O482" s="24">
        <v>16250</v>
      </c>
      <c r="P482" s="24">
        <v>13200</v>
      </c>
      <c r="Q482" t="s">
        <v>1984</v>
      </c>
      <c r="R482" s="19">
        <f>VLOOKUP(A482,[1]Sheet1!$A$2:$Q$1536,15,FALSE)</f>
        <v>15938.22265625</v>
      </c>
      <c r="S482" s="27">
        <f t="shared" si="21"/>
        <v>0.17180225896619883</v>
      </c>
      <c r="T482" s="19">
        <f>VLOOKUP(A482,[1]Sheet1!$A$2:$Q$1536,16,FALSE)</f>
        <v>12410.74331262845</v>
      </c>
      <c r="U482" s="27">
        <f t="shared" si="22"/>
        <v>-6.3594634703986491E-2</v>
      </c>
      <c r="V482" s="19">
        <f>VLOOKUP(A482,[1]Sheet1!$A$2:$Q$1536,17,FALSE)</f>
        <v>16009.3681640625</v>
      </c>
      <c r="W482" s="27">
        <f t="shared" si="23"/>
        <v>0.17548276329661228</v>
      </c>
    </row>
    <row r="483" spans="1:23" x14ac:dyDescent="0.3">
      <c r="A483" s="4" t="s">
        <v>1956</v>
      </c>
      <c r="B483" s="5">
        <v>2016</v>
      </c>
      <c r="C483" s="5" t="s">
        <v>96</v>
      </c>
      <c r="D483" s="15" t="s">
        <v>1951</v>
      </c>
      <c r="E483" s="6">
        <v>114770</v>
      </c>
      <c r="F483" s="5" t="s">
        <v>42</v>
      </c>
      <c r="G483" s="5" t="s">
        <v>28</v>
      </c>
      <c r="H483" s="5" t="s">
        <v>17</v>
      </c>
      <c r="I483" s="5" t="s">
        <v>18</v>
      </c>
      <c r="J483" s="7">
        <v>45538</v>
      </c>
      <c r="K483" s="5" t="s">
        <v>17</v>
      </c>
      <c r="L483" s="8">
        <v>44113</v>
      </c>
      <c r="M483" s="19">
        <v>264</v>
      </c>
      <c r="N483" s="19">
        <v>314</v>
      </c>
      <c r="O483" s="24">
        <v>7300</v>
      </c>
      <c r="P483" s="24">
        <v>6400</v>
      </c>
      <c r="Q483" t="s">
        <v>1984</v>
      </c>
      <c r="R483" s="19">
        <f>VLOOKUP(A483,[1]Sheet1!$A$2:$Q$1536,15,FALSE)</f>
        <v>3200.8115234375</v>
      </c>
      <c r="S483" s="27">
        <f t="shared" si="21"/>
        <v>-0.99949292644596055</v>
      </c>
      <c r="T483" s="19">
        <f>VLOOKUP(A483,[1]Sheet1!$A$2:$Q$1536,16,FALSE)</f>
        <v>9220.5063952831515</v>
      </c>
      <c r="U483" s="27">
        <f t="shared" si="22"/>
        <v>0.30589495569636083</v>
      </c>
      <c r="V483" s="19">
        <f>VLOOKUP(A483,[1]Sheet1!$A$2:$Q$1536,17,FALSE)</f>
        <v>3077.73388671875</v>
      </c>
      <c r="W483" s="27">
        <f t="shared" si="23"/>
        <v>-1.0794520369736065</v>
      </c>
    </row>
    <row r="484" spans="1:23" x14ac:dyDescent="0.3">
      <c r="A484" s="4" t="s">
        <v>1077</v>
      </c>
      <c r="B484" s="5">
        <v>2013</v>
      </c>
      <c r="C484" s="5" t="s">
        <v>535</v>
      </c>
      <c r="D484" s="15" t="s">
        <v>1076</v>
      </c>
      <c r="E484" s="6">
        <v>94100</v>
      </c>
      <c r="F484" s="5" t="s">
        <v>36</v>
      </c>
      <c r="G484" s="5" t="s">
        <v>28</v>
      </c>
      <c r="H484" s="5" t="s">
        <v>17</v>
      </c>
      <c r="I484" s="5" t="s">
        <v>18</v>
      </c>
      <c r="J484" s="7">
        <v>45342</v>
      </c>
      <c r="K484" s="5" t="s">
        <v>17</v>
      </c>
      <c r="L484" s="8">
        <v>44430</v>
      </c>
      <c r="M484" s="19">
        <v>264</v>
      </c>
      <c r="N484" s="19">
        <v>314</v>
      </c>
      <c r="O484" s="24">
        <v>8000</v>
      </c>
      <c r="P484" s="24">
        <v>2400</v>
      </c>
      <c r="Q484" t="s">
        <v>1984</v>
      </c>
      <c r="R484" s="19">
        <f>VLOOKUP(A484,[1]Sheet1!$A$2:$Q$1536,15,FALSE)</f>
        <v>3293.351318359375</v>
      </c>
      <c r="S484" s="27">
        <f t="shared" si="21"/>
        <v>0.2712590404124906</v>
      </c>
      <c r="T484" s="19">
        <f>VLOOKUP(A484,[1]Sheet1!$A$2:$Q$1536,16,FALSE)</f>
        <v>9264.5864382824875</v>
      </c>
      <c r="U484" s="27">
        <f t="shared" si="22"/>
        <v>0.74094904117005322</v>
      </c>
      <c r="V484" s="19">
        <f>VLOOKUP(A484,[1]Sheet1!$A$2:$Q$1536,17,FALSE)</f>
        <v>3250.00439453125</v>
      </c>
      <c r="W484" s="27">
        <f t="shared" si="23"/>
        <v>0.26153946005782142</v>
      </c>
    </row>
    <row r="485" spans="1:23" x14ac:dyDescent="0.3">
      <c r="A485" s="4" t="s">
        <v>795</v>
      </c>
      <c r="B485" s="5">
        <v>2013</v>
      </c>
      <c r="C485" s="5" t="s">
        <v>391</v>
      </c>
      <c r="D485" s="15" t="s">
        <v>429</v>
      </c>
      <c r="E485" s="6">
        <v>25553</v>
      </c>
      <c r="F485" s="5" t="s">
        <v>158</v>
      </c>
      <c r="G485" s="5" t="s">
        <v>16</v>
      </c>
      <c r="H485" s="5" t="s">
        <v>17</v>
      </c>
      <c r="I485" s="5" t="s">
        <v>18</v>
      </c>
      <c r="J485" s="7">
        <v>45678</v>
      </c>
      <c r="K485" s="5" t="s">
        <v>17</v>
      </c>
      <c r="L485" s="8">
        <v>44035</v>
      </c>
      <c r="M485" s="19">
        <v>222</v>
      </c>
      <c r="N485" s="19">
        <v>272</v>
      </c>
      <c r="O485" s="24">
        <v>21500</v>
      </c>
      <c r="P485" s="24">
        <v>16800</v>
      </c>
      <c r="Q485" t="s">
        <v>1984</v>
      </c>
      <c r="R485" s="19">
        <f>VLOOKUP(A485,[1]Sheet1!$A$2:$Q$1536,15,FALSE)</f>
        <v>12230.298828125</v>
      </c>
      <c r="S485" s="27">
        <f t="shared" si="21"/>
        <v>-0.37363773658305377</v>
      </c>
      <c r="T485" s="19">
        <f>VLOOKUP(A485,[1]Sheet1!$A$2:$Q$1536,16,FALSE)</f>
        <v>13237.368313658841</v>
      </c>
      <c r="U485" s="27">
        <f t="shared" si="22"/>
        <v>-0.26913443835094436</v>
      </c>
      <c r="V485" s="19">
        <f>VLOOKUP(A485,[1]Sheet1!$A$2:$Q$1536,17,FALSE)</f>
        <v>12301.90625</v>
      </c>
      <c r="W485" s="27">
        <f t="shared" si="23"/>
        <v>-0.36564201178171069</v>
      </c>
    </row>
    <row r="486" spans="1:23" x14ac:dyDescent="0.3">
      <c r="A486" s="4" t="s">
        <v>341</v>
      </c>
      <c r="B486" s="5">
        <v>2017</v>
      </c>
      <c r="C486" s="5" t="s">
        <v>237</v>
      </c>
      <c r="D486" s="15" t="s">
        <v>339</v>
      </c>
      <c r="E486" s="6">
        <v>109352</v>
      </c>
      <c r="F486" s="5" t="s">
        <v>79</v>
      </c>
      <c r="G486" s="5" t="s">
        <v>22</v>
      </c>
      <c r="H486" s="5" t="s">
        <v>18</v>
      </c>
      <c r="I486" s="5" t="s">
        <v>17</v>
      </c>
      <c r="J486" s="7">
        <v>45393</v>
      </c>
      <c r="K486" s="5" t="s">
        <v>17</v>
      </c>
      <c r="L486" s="8">
        <v>44067</v>
      </c>
      <c r="M486" s="19">
        <v>235</v>
      </c>
      <c r="N486" s="19">
        <v>285</v>
      </c>
      <c r="O486" s="24">
        <v>0</v>
      </c>
      <c r="P486" s="24">
        <v>11800</v>
      </c>
      <c r="Q486" t="s">
        <v>1983</v>
      </c>
      <c r="R486" s="19">
        <f>VLOOKUP(A486,[1]Sheet1!$A$2:$Q$1536,15,FALSE)</f>
        <v>4537.77978515625</v>
      </c>
      <c r="S486" s="27">
        <f t="shared" si="21"/>
        <v>-1.6003906224360089</v>
      </c>
      <c r="T486" s="19">
        <f>VLOOKUP(A486,[1]Sheet1!$A$2:$Q$1536,16,FALSE)</f>
        <v>9214.7914438281314</v>
      </c>
      <c r="U486" s="27">
        <f t="shared" si="22"/>
        <v>-0.28054987157667965</v>
      </c>
      <c r="V486" s="19">
        <f>VLOOKUP(A486,[1]Sheet1!$A$2:$Q$1536,17,FALSE)</f>
        <v>4455.71044921875</v>
      </c>
      <c r="W486" s="27">
        <f t="shared" si="23"/>
        <v>-1.6482869868864514</v>
      </c>
    </row>
    <row r="487" spans="1:23" x14ac:dyDescent="0.3">
      <c r="A487" s="4" t="s">
        <v>349</v>
      </c>
      <c r="B487" s="5">
        <v>2018</v>
      </c>
      <c r="C487" s="5" t="s">
        <v>237</v>
      </c>
      <c r="D487" s="15" t="s">
        <v>310</v>
      </c>
      <c r="E487" s="6">
        <v>63965</v>
      </c>
      <c r="F487" s="5" t="s">
        <v>59</v>
      </c>
      <c r="G487" s="5" t="s">
        <v>16</v>
      </c>
      <c r="H487" s="5" t="s">
        <v>17</v>
      </c>
      <c r="I487" s="5" t="s">
        <v>18</v>
      </c>
      <c r="J487" s="7">
        <v>45664</v>
      </c>
      <c r="K487" s="5" t="s">
        <v>17</v>
      </c>
      <c r="L487" s="8">
        <v>44113</v>
      </c>
      <c r="M487" s="19">
        <v>264</v>
      </c>
      <c r="N487" s="19">
        <v>314</v>
      </c>
      <c r="O487" s="24">
        <v>10500</v>
      </c>
      <c r="P487" s="24">
        <v>8500</v>
      </c>
      <c r="Q487" t="s">
        <v>1984</v>
      </c>
      <c r="R487" s="19">
        <f>VLOOKUP(A487,[1]Sheet1!$A$2:$Q$1536,15,FALSE)</f>
        <v>11237.4345703125</v>
      </c>
      <c r="S487" s="27">
        <f t="shared" si="21"/>
        <v>0.24359960035223369</v>
      </c>
      <c r="T487" s="19">
        <f>VLOOKUP(A487,[1]Sheet1!$A$2:$Q$1536,16,FALSE)</f>
        <v>12094.07457763092</v>
      </c>
      <c r="U487" s="27">
        <f t="shared" si="22"/>
        <v>0.29717648544010833</v>
      </c>
      <c r="V487" s="19">
        <f>VLOOKUP(A487,[1]Sheet1!$A$2:$Q$1536,17,FALSE)</f>
        <v>11216.5859375</v>
      </c>
      <c r="W487" s="27">
        <f t="shared" si="23"/>
        <v>0.24219365434697362</v>
      </c>
    </row>
    <row r="488" spans="1:23" x14ac:dyDescent="0.3">
      <c r="A488" s="4" t="s">
        <v>198</v>
      </c>
      <c r="B488" s="5">
        <v>2019</v>
      </c>
      <c r="C488" s="5" t="s">
        <v>96</v>
      </c>
      <c r="D488" s="15" t="s">
        <v>190</v>
      </c>
      <c r="E488" s="6">
        <v>51847</v>
      </c>
      <c r="F488" s="5" t="s">
        <v>199</v>
      </c>
      <c r="G488" s="5" t="s">
        <v>16</v>
      </c>
      <c r="H488" s="5" t="s">
        <v>17</v>
      </c>
      <c r="I488" s="5" t="s">
        <v>18</v>
      </c>
      <c r="J488" s="7">
        <v>45666</v>
      </c>
      <c r="K488" s="5" t="s">
        <v>17</v>
      </c>
      <c r="L488" s="8">
        <v>44113</v>
      </c>
      <c r="M488" s="19">
        <v>264</v>
      </c>
      <c r="N488" s="19">
        <v>314</v>
      </c>
      <c r="O488" s="24">
        <v>0</v>
      </c>
      <c r="P488" s="24">
        <v>16200</v>
      </c>
      <c r="Q488" t="s">
        <v>1983</v>
      </c>
      <c r="R488" s="19">
        <f>VLOOKUP(A488,[1]Sheet1!$A$2:$Q$1536,15,FALSE)</f>
        <v>15223.052734375</v>
      </c>
      <c r="S488" s="27">
        <f t="shared" si="21"/>
        <v>-6.4175516085480458E-2</v>
      </c>
      <c r="T488" s="19">
        <f>VLOOKUP(A488,[1]Sheet1!$A$2:$Q$1536,16,FALSE)</f>
        <v>12428.07075977676</v>
      </c>
      <c r="U488" s="27">
        <f t="shared" si="22"/>
        <v>-0.30350078569161559</v>
      </c>
      <c r="V488" s="19">
        <f>VLOOKUP(A488,[1]Sheet1!$A$2:$Q$1536,17,FALSE)</f>
        <v>15338.923828125</v>
      </c>
      <c r="W488" s="27">
        <f t="shared" si="23"/>
        <v>-5.613667435365681E-2</v>
      </c>
    </row>
    <row r="489" spans="1:23" x14ac:dyDescent="0.3">
      <c r="A489" s="4" t="s">
        <v>1932</v>
      </c>
      <c r="B489" s="5">
        <v>2013</v>
      </c>
      <c r="C489" s="5" t="s">
        <v>684</v>
      </c>
      <c r="D489" s="15" t="s">
        <v>1182</v>
      </c>
      <c r="E489" s="6">
        <v>109542</v>
      </c>
      <c r="F489" s="5" t="s">
        <v>81</v>
      </c>
      <c r="G489" s="5" t="s">
        <v>28</v>
      </c>
      <c r="H489" s="5" t="s">
        <v>17</v>
      </c>
      <c r="I489" s="5" t="s">
        <v>18</v>
      </c>
      <c r="J489" s="7">
        <v>45384</v>
      </c>
      <c r="K489" s="5" t="s">
        <v>17</v>
      </c>
      <c r="L489" s="8">
        <v>44307</v>
      </c>
      <c r="M489" s="19">
        <v>235</v>
      </c>
      <c r="N489" s="19">
        <v>285</v>
      </c>
      <c r="O489" s="24">
        <v>5500</v>
      </c>
      <c r="P489" s="24">
        <v>1500</v>
      </c>
      <c r="Q489" t="s">
        <v>1984</v>
      </c>
      <c r="R489" s="19">
        <f>VLOOKUP(A489,[1]Sheet1!$A$2:$Q$1536,15,FALSE)</f>
        <v>1445.913696289062</v>
      </c>
      <c r="S489" s="27">
        <f t="shared" si="21"/>
        <v>-3.7406315362908914E-2</v>
      </c>
      <c r="T489" s="19">
        <f>VLOOKUP(A489,[1]Sheet1!$A$2:$Q$1536,16,FALSE)</f>
        <v>8915.4553461324485</v>
      </c>
      <c r="U489" s="27">
        <f t="shared" si="22"/>
        <v>0.83175284472141908</v>
      </c>
      <c r="V489" s="19">
        <f>VLOOKUP(A489,[1]Sheet1!$A$2:$Q$1536,17,FALSE)</f>
        <v>1395.367431640625</v>
      </c>
      <c r="W489" s="27">
        <f t="shared" si="23"/>
        <v>-7.4985674731100488E-2</v>
      </c>
    </row>
    <row r="490" spans="1:23" x14ac:dyDescent="0.3">
      <c r="A490" s="4" t="s">
        <v>397</v>
      </c>
      <c r="B490" s="5">
        <v>2014</v>
      </c>
      <c r="C490" s="5" t="s">
        <v>391</v>
      </c>
      <c r="D490" s="15" t="s">
        <v>394</v>
      </c>
      <c r="E490" s="6">
        <v>128094</v>
      </c>
      <c r="F490" s="5" t="s">
        <v>57</v>
      </c>
      <c r="G490" s="5" t="s">
        <v>28</v>
      </c>
      <c r="H490" s="5" t="s">
        <v>17</v>
      </c>
      <c r="I490" s="5" t="s">
        <v>18</v>
      </c>
      <c r="J490" s="7">
        <v>45512</v>
      </c>
      <c r="K490" s="5" t="s">
        <v>17</v>
      </c>
      <c r="L490" s="8">
        <v>44310</v>
      </c>
      <c r="M490" s="19">
        <v>235</v>
      </c>
      <c r="N490" s="19">
        <v>285</v>
      </c>
      <c r="O490" s="24">
        <v>4500</v>
      </c>
      <c r="P490" s="24">
        <v>1900</v>
      </c>
      <c r="Q490" t="s">
        <v>1984</v>
      </c>
      <c r="R490" s="19">
        <f>VLOOKUP(A490,[1]Sheet1!$A$2:$Q$1536,15,FALSE)</f>
        <v>907.92803955078125</v>
      </c>
      <c r="S490" s="27">
        <f t="shared" si="21"/>
        <v>-1.0926768611971382</v>
      </c>
      <c r="T490" s="19">
        <f>VLOOKUP(A490,[1]Sheet1!$A$2:$Q$1536,16,FALSE)</f>
        <v>9243.8207252760349</v>
      </c>
      <c r="U490" s="27">
        <f t="shared" si="22"/>
        <v>0.79445728595701826</v>
      </c>
      <c r="V490" s="19">
        <f>VLOOKUP(A490,[1]Sheet1!$A$2:$Q$1536,17,FALSE)</f>
        <v>1109.6123046875</v>
      </c>
      <c r="W490" s="27">
        <f t="shared" si="23"/>
        <v>-0.71230977880611801</v>
      </c>
    </row>
    <row r="491" spans="1:23" x14ac:dyDescent="0.3">
      <c r="A491" s="4" t="s">
        <v>843</v>
      </c>
      <c r="B491" s="5">
        <v>2013</v>
      </c>
      <c r="C491" s="5" t="s">
        <v>391</v>
      </c>
      <c r="D491" s="15" t="s">
        <v>582</v>
      </c>
      <c r="E491" s="6">
        <v>82534</v>
      </c>
      <c r="F491" s="5" t="s">
        <v>44</v>
      </c>
      <c r="G491" s="5" t="s">
        <v>22</v>
      </c>
      <c r="H491" s="5" t="s">
        <v>18</v>
      </c>
      <c r="I491" s="5" t="s">
        <v>17</v>
      </c>
      <c r="J491" s="7">
        <v>45426</v>
      </c>
      <c r="K491" s="5" t="s">
        <v>17</v>
      </c>
      <c r="L491" s="8">
        <v>43950</v>
      </c>
      <c r="M491" s="19">
        <v>264</v>
      </c>
      <c r="N491" s="19">
        <v>314</v>
      </c>
      <c r="O491" s="24">
        <v>3800</v>
      </c>
      <c r="P491" s="24">
        <v>2200</v>
      </c>
      <c r="Q491" t="s">
        <v>1984</v>
      </c>
      <c r="R491" s="19">
        <f>VLOOKUP(A491,[1]Sheet1!$A$2:$Q$1536,15,FALSE)</f>
        <v>6457.5361328125</v>
      </c>
      <c r="S491" s="27">
        <f t="shared" si="21"/>
        <v>0.65931278513159208</v>
      </c>
      <c r="T491" s="19">
        <f>VLOOKUP(A491,[1]Sheet1!$A$2:$Q$1536,16,FALSE)</f>
        <v>9498.8374922316325</v>
      </c>
      <c r="U491" s="27">
        <f t="shared" si="22"/>
        <v>0.76839271102393203</v>
      </c>
      <c r="V491" s="19">
        <f>VLOOKUP(A491,[1]Sheet1!$A$2:$Q$1536,17,FALSE)</f>
        <v>6522.1337890625</v>
      </c>
      <c r="W491" s="27">
        <f t="shared" si="23"/>
        <v>0.66268707892969625</v>
      </c>
    </row>
    <row r="492" spans="1:23" x14ac:dyDescent="0.3">
      <c r="A492" s="4" t="s">
        <v>418</v>
      </c>
      <c r="B492" s="5">
        <v>2018</v>
      </c>
      <c r="C492" s="5" t="s">
        <v>391</v>
      </c>
      <c r="D492" s="15" t="s">
        <v>413</v>
      </c>
      <c r="E492" s="6">
        <v>57905</v>
      </c>
      <c r="F492" s="5" t="s">
        <v>115</v>
      </c>
      <c r="G492" s="5" t="s">
        <v>28</v>
      </c>
      <c r="H492" s="5" t="s">
        <v>17</v>
      </c>
      <c r="I492" s="5" t="s">
        <v>18</v>
      </c>
      <c r="J492" s="7">
        <v>45608</v>
      </c>
      <c r="K492" s="5" t="s">
        <v>17</v>
      </c>
      <c r="L492" s="8">
        <v>44451</v>
      </c>
      <c r="M492" s="19">
        <v>264</v>
      </c>
      <c r="N492" s="19">
        <v>314</v>
      </c>
      <c r="O492" s="24">
        <v>10900</v>
      </c>
      <c r="P492" s="24">
        <v>10600</v>
      </c>
      <c r="Q492" t="s">
        <v>1984</v>
      </c>
      <c r="R492" s="19">
        <f>VLOOKUP(A492,[1]Sheet1!$A$2:$Q$1536,15,FALSE)</f>
        <v>14077.7646484375</v>
      </c>
      <c r="S492" s="27">
        <f t="shared" si="21"/>
        <v>0.2470395503325522</v>
      </c>
      <c r="T492" s="19">
        <f>VLOOKUP(A492,[1]Sheet1!$A$2:$Q$1536,16,FALSE)</f>
        <v>12415.842686678739</v>
      </c>
      <c r="U492" s="27">
        <f t="shared" si="22"/>
        <v>0.1462520694327902</v>
      </c>
      <c r="V492" s="19">
        <f>VLOOKUP(A492,[1]Sheet1!$A$2:$Q$1536,17,FALSE)</f>
        <v>14068.7763671875</v>
      </c>
      <c r="W492" s="27">
        <f t="shared" si="23"/>
        <v>0.24655849781489886</v>
      </c>
    </row>
    <row r="493" spans="1:23" x14ac:dyDescent="0.3">
      <c r="A493" s="4" t="s">
        <v>1864</v>
      </c>
      <c r="B493" s="5">
        <v>2013</v>
      </c>
      <c r="C493" s="5" t="s">
        <v>1401</v>
      </c>
      <c r="D493" s="15" t="s">
        <v>1863</v>
      </c>
      <c r="E493" s="6">
        <v>74713</v>
      </c>
      <c r="F493" s="5" t="s">
        <v>61</v>
      </c>
      <c r="G493" s="5" t="s">
        <v>33</v>
      </c>
      <c r="H493" s="5" t="s">
        <v>17</v>
      </c>
      <c r="I493" s="5" t="s">
        <v>18</v>
      </c>
      <c r="J493" s="7">
        <v>45664</v>
      </c>
      <c r="K493" s="5" t="s">
        <v>17</v>
      </c>
      <c r="L493" s="8">
        <v>44444</v>
      </c>
      <c r="M493" s="19">
        <v>264</v>
      </c>
      <c r="N493" s="19">
        <v>314</v>
      </c>
      <c r="O493" s="24"/>
      <c r="P493" s="24">
        <v>6500</v>
      </c>
      <c r="R493" s="19">
        <f>VLOOKUP(A493,[1]Sheet1!$A$2:$Q$1536,15,FALSE)</f>
        <v>3731.157958984375</v>
      </c>
      <c r="S493" s="27">
        <f t="shared" si="21"/>
        <v>-0.74208652419778731</v>
      </c>
      <c r="T493" s="19">
        <f>VLOOKUP(A493,[1]Sheet1!$A$2:$Q$1536,16,FALSE)</f>
        <v>9585.9794152052255</v>
      </c>
      <c r="U493" s="27">
        <f t="shared" si="22"/>
        <v>0.32192635530911556</v>
      </c>
      <c r="V493" s="19">
        <f>VLOOKUP(A493,[1]Sheet1!$A$2:$Q$1536,17,FALSE)</f>
        <v>3745.45263671875</v>
      </c>
      <c r="W493" s="27">
        <f t="shared" si="23"/>
        <v>-0.73543777760714257</v>
      </c>
    </row>
    <row r="494" spans="1:23" x14ac:dyDescent="0.3">
      <c r="A494" s="4" t="s">
        <v>1257</v>
      </c>
      <c r="B494" s="5">
        <v>2014</v>
      </c>
      <c r="C494" s="5" t="s">
        <v>30</v>
      </c>
      <c r="D494" s="15" t="s">
        <v>1256</v>
      </c>
      <c r="E494" s="6">
        <v>88629</v>
      </c>
      <c r="F494" s="5" t="s">
        <v>199</v>
      </c>
      <c r="G494" s="5" t="s">
        <v>16</v>
      </c>
      <c r="H494" s="5" t="s">
        <v>17</v>
      </c>
      <c r="I494" s="5" t="s">
        <v>18</v>
      </c>
      <c r="J494" s="7">
        <v>45454</v>
      </c>
      <c r="K494" s="5" t="s">
        <v>17</v>
      </c>
      <c r="L494" s="8">
        <v>44310</v>
      </c>
      <c r="M494" s="19">
        <v>235</v>
      </c>
      <c r="N494" s="19">
        <v>285</v>
      </c>
      <c r="O494" s="24">
        <v>13700</v>
      </c>
      <c r="P494" s="24">
        <v>4800</v>
      </c>
      <c r="Q494" t="s">
        <v>1984</v>
      </c>
      <c r="R494" s="19">
        <f>VLOOKUP(A494,[1]Sheet1!$A$2:$Q$1536,15,FALSE)</f>
        <v>9253.7177734375</v>
      </c>
      <c r="S494" s="27">
        <f t="shared" si="21"/>
        <v>0.48128956193388067</v>
      </c>
      <c r="T494" s="19">
        <f>VLOOKUP(A494,[1]Sheet1!$A$2:$Q$1536,16,FALSE)</f>
        <v>10018.93533767496</v>
      </c>
      <c r="U494" s="27">
        <f t="shared" si="22"/>
        <v>0.52090717843539758</v>
      </c>
      <c r="V494" s="19">
        <f>VLOOKUP(A494,[1]Sheet1!$A$2:$Q$1536,17,FALSE)</f>
        <v>9481.7255859375</v>
      </c>
      <c r="W494" s="27">
        <f t="shared" si="23"/>
        <v>0.49376303326907528</v>
      </c>
    </row>
    <row r="495" spans="1:23" x14ac:dyDescent="0.3">
      <c r="A495" s="4" t="s">
        <v>1488</v>
      </c>
      <c r="B495" s="5">
        <v>2016</v>
      </c>
      <c r="C495" s="5" t="s">
        <v>1219</v>
      </c>
      <c r="D495" s="15" t="s">
        <v>1489</v>
      </c>
      <c r="E495" s="6">
        <v>63983</v>
      </c>
      <c r="F495" s="5" t="s">
        <v>79</v>
      </c>
      <c r="G495" s="5" t="s">
        <v>33</v>
      </c>
      <c r="H495" s="5" t="s">
        <v>17</v>
      </c>
      <c r="I495" s="5" t="s">
        <v>18</v>
      </c>
      <c r="J495" s="7">
        <v>45538</v>
      </c>
      <c r="K495" s="5" t="s">
        <v>17</v>
      </c>
      <c r="L495" s="8">
        <v>44128</v>
      </c>
      <c r="M495" s="19">
        <v>264</v>
      </c>
      <c r="N495" s="19">
        <v>314</v>
      </c>
      <c r="O495" s="24">
        <v>8400</v>
      </c>
      <c r="P495" s="24">
        <v>4400</v>
      </c>
      <c r="Q495" t="s">
        <v>1984</v>
      </c>
      <c r="R495" s="19">
        <f>VLOOKUP(A495,[1]Sheet1!$A$2:$Q$1536,15,FALSE)</f>
        <v>4122.17529296875</v>
      </c>
      <c r="S495" s="27">
        <f t="shared" si="21"/>
        <v>-6.7397596483861164E-2</v>
      </c>
      <c r="T495" s="19">
        <f>VLOOKUP(A495,[1]Sheet1!$A$2:$Q$1536,16,FALSE)</f>
        <v>11007.39793615778</v>
      </c>
      <c r="U495" s="27">
        <f t="shared" si="22"/>
        <v>0.60026883505804685</v>
      </c>
      <c r="V495" s="19">
        <f>VLOOKUP(A495,[1]Sheet1!$A$2:$Q$1536,17,FALSE)</f>
        <v>3951.376220703125</v>
      </c>
      <c r="W495" s="27">
        <f t="shared" si="23"/>
        <v>-0.1135360831869978</v>
      </c>
    </row>
    <row r="496" spans="1:23" x14ac:dyDescent="0.3">
      <c r="A496" s="4" t="s">
        <v>54</v>
      </c>
      <c r="B496" s="5">
        <v>2015</v>
      </c>
      <c r="C496" s="5" t="s">
        <v>46</v>
      </c>
      <c r="D496" s="15">
        <v>200</v>
      </c>
      <c r="E496" s="6">
        <v>61226</v>
      </c>
      <c r="F496" s="5" t="s">
        <v>47</v>
      </c>
      <c r="G496" s="5" t="s">
        <v>16</v>
      </c>
      <c r="H496" s="5" t="s">
        <v>17</v>
      </c>
      <c r="I496" s="5" t="s">
        <v>18</v>
      </c>
      <c r="J496" s="7">
        <v>45482</v>
      </c>
      <c r="K496" s="5" t="s">
        <v>17</v>
      </c>
      <c r="L496" s="8">
        <v>44067</v>
      </c>
      <c r="M496" s="19">
        <v>235</v>
      </c>
      <c r="N496" s="19">
        <v>285</v>
      </c>
      <c r="O496" s="24">
        <v>10250</v>
      </c>
      <c r="P496" s="24">
        <v>9000</v>
      </c>
      <c r="Q496" t="s">
        <v>1984</v>
      </c>
      <c r="R496" s="19">
        <f>VLOOKUP(A496,[1]Sheet1!$A$2:$Q$1536,15,FALSE)</f>
        <v>9989.4345703125</v>
      </c>
      <c r="S496" s="27">
        <f t="shared" si="21"/>
        <v>9.9048105610801102E-2</v>
      </c>
      <c r="T496" s="19">
        <f>VLOOKUP(A496,[1]Sheet1!$A$2:$Q$1536,16,FALSE)</f>
        <v>11731.12903455768</v>
      </c>
      <c r="U496" s="27">
        <f t="shared" si="22"/>
        <v>0.23281041633011554</v>
      </c>
      <c r="V496" s="19">
        <f>VLOOKUP(A496,[1]Sheet1!$A$2:$Q$1536,17,FALSE)</f>
        <v>9628.126953125</v>
      </c>
      <c r="W496" s="27">
        <f t="shared" si="23"/>
        <v>6.5238748531574867E-2</v>
      </c>
    </row>
    <row r="497" spans="1:23" x14ac:dyDescent="0.3">
      <c r="A497" s="4" t="s">
        <v>1104</v>
      </c>
      <c r="B497" s="5">
        <v>2022</v>
      </c>
      <c r="C497" s="5" t="s">
        <v>1086</v>
      </c>
      <c r="D497" s="15" t="s">
        <v>1093</v>
      </c>
      <c r="E497" s="6">
        <v>44874</v>
      </c>
      <c r="F497" s="5" t="s">
        <v>199</v>
      </c>
      <c r="G497" s="5" t="s">
        <v>28</v>
      </c>
      <c r="H497" s="5" t="s">
        <v>17</v>
      </c>
      <c r="I497" s="5" t="s">
        <v>18</v>
      </c>
      <c r="J497" s="7">
        <v>45678</v>
      </c>
      <c r="K497" s="5" t="s">
        <v>17</v>
      </c>
      <c r="L497" s="8">
        <v>44310</v>
      </c>
      <c r="M497" s="19">
        <v>235</v>
      </c>
      <c r="N497" s="19">
        <v>285</v>
      </c>
      <c r="O497" s="24">
        <v>15500</v>
      </c>
      <c r="P497" s="24">
        <v>15300</v>
      </c>
      <c r="Q497" t="s">
        <v>1984</v>
      </c>
      <c r="R497" s="19">
        <f>VLOOKUP(A497,[1]Sheet1!$A$2:$Q$1536,15,FALSE)</f>
        <v>18430.275390625</v>
      </c>
      <c r="S497" s="27">
        <f t="shared" si="21"/>
        <v>0.16984420060360517</v>
      </c>
      <c r="T497" s="19">
        <f>VLOOKUP(A497,[1]Sheet1!$A$2:$Q$1536,16,FALSE)</f>
        <v>14382.319048632129</v>
      </c>
      <c r="U497" s="27">
        <f t="shared" si="22"/>
        <v>-6.3806187880051893E-2</v>
      </c>
      <c r="V497" s="19">
        <f>VLOOKUP(A497,[1]Sheet1!$A$2:$Q$1536,17,FALSE)</f>
        <v>18359.009765625</v>
      </c>
      <c r="W497" s="27">
        <f t="shared" si="23"/>
        <v>0.16662171896398364</v>
      </c>
    </row>
    <row r="498" spans="1:23" x14ac:dyDescent="0.3">
      <c r="A498" s="4" t="s">
        <v>1025</v>
      </c>
      <c r="B498" s="5">
        <v>2017</v>
      </c>
      <c r="C498" s="5" t="s">
        <v>237</v>
      </c>
      <c r="D498" s="15" t="s">
        <v>1024</v>
      </c>
      <c r="E498" s="6">
        <v>129687</v>
      </c>
      <c r="F498" s="5" t="s">
        <v>15</v>
      </c>
      <c r="G498" s="5" t="s">
        <v>28</v>
      </c>
      <c r="H498" s="5" t="s">
        <v>17</v>
      </c>
      <c r="I498" s="5" t="s">
        <v>18</v>
      </c>
      <c r="J498" s="7">
        <v>45328</v>
      </c>
      <c r="K498" s="5" t="s">
        <v>17</v>
      </c>
      <c r="L498" s="8">
        <v>44113</v>
      </c>
      <c r="M498" s="19">
        <v>264</v>
      </c>
      <c r="N498" s="19">
        <v>314</v>
      </c>
      <c r="O498" s="24">
        <v>4100</v>
      </c>
      <c r="P498" s="24">
        <v>4000</v>
      </c>
      <c r="Q498" t="s">
        <v>1984</v>
      </c>
      <c r="R498" s="19">
        <f>VLOOKUP(A498,[1]Sheet1!$A$2:$Q$1536,15,FALSE)</f>
        <v>8405.4365234375</v>
      </c>
      <c r="S498" s="27">
        <f t="shared" si="21"/>
        <v>0.52411751741310464</v>
      </c>
      <c r="T498" s="19">
        <f>VLOOKUP(A498,[1]Sheet1!$A$2:$Q$1536,16,FALSE)</f>
        <v>10043.321864333901</v>
      </c>
      <c r="U498" s="27">
        <f t="shared" si="22"/>
        <v>0.60172539981966511</v>
      </c>
      <c r="V498" s="19">
        <f>VLOOKUP(A498,[1]Sheet1!$A$2:$Q$1536,17,FALSE)</f>
        <v>8300.109375</v>
      </c>
      <c r="W498" s="27">
        <f t="shared" si="23"/>
        <v>0.51807863977696078</v>
      </c>
    </row>
    <row r="499" spans="1:23" x14ac:dyDescent="0.3">
      <c r="A499" s="4" t="s">
        <v>1206</v>
      </c>
      <c r="B499" s="5">
        <v>2013</v>
      </c>
      <c r="C499" s="5" t="s">
        <v>684</v>
      </c>
      <c r="D499" s="15" t="s">
        <v>1187</v>
      </c>
      <c r="E499" s="6">
        <v>88891</v>
      </c>
      <c r="F499" s="5" t="s">
        <v>15</v>
      </c>
      <c r="G499" s="5" t="s">
        <v>28</v>
      </c>
      <c r="H499" s="5" t="s">
        <v>17</v>
      </c>
      <c r="I499" s="5" t="s">
        <v>18</v>
      </c>
      <c r="J499" s="7">
        <v>45328</v>
      </c>
      <c r="K499" s="5" t="s">
        <v>17</v>
      </c>
      <c r="L499" s="8">
        <v>44113</v>
      </c>
      <c r="M499" s="19">
        <v>264</v>
      </c>
      <c r="N499" s="19">
        <v>314</v>
      </c>
      <c r="O499" s="24">
        <v>7700</v>
      </c>
      <c r="P499" s="24">
        <v>2200</v>
      </c>
      <c r="Q499" t="s">
        <v>1984</v>
      </c>
      <c r="R499" s="19">
        <f>VLOOKUP(A499,[1]Sheet1!$A$2:$Q$1536,15,FALSE)</f>
        <v>5153.19287109375</v>
      </c>
      <c r="S499" s="27">
        <f t="shared" si="21"/>
        <v>0.5730802135622266</v>
      </c>
      <c r="T499" s="19">
        <f>VLOOKUP(A499,[1]Sheet1!$A$2:$Q$1536,16,FALSE)</f>
        <v>9830.3736580698023</v>
      </c>
      <c r="U499" s="27">
        <f t="shared" si="22"/>
        <v>0.77620382739022242</v>
      </c>
      <c r="V499" s="19">
        <f>VLOOKUP(A499,[1]Sheet1!$A$2:$Q$1536,17,FALSE)</f>
        <v>5196.47265625</v>
      </c>
      <c r="W499" s="27">
        <f t="shared" si="23"/>
        <v>0.57663589408981608</v>
      </c>
    </row>
    <row r="500" spans="1:23" x14ac:dyDescent="0.3">
      <c r="A500" s="4" t="s">
        <v>1388</v>
      </c>
      <c r="B500" s="5">
        <v>2017</v>
      </c>
      <c r="C500" s="5" t="s">
        <v>1089</v>
      </c>
      <c r="D500" s="15" t="s">
        <v>1363</v>
      </c>
      <c r="E500" s="6">
        <v>44317</v>
      </c>
      <c r="F500" s="5" t="s">
        <v>125</v>
      </c>
      <c r="G500" s="5" t="s">
        <v>16</v>
      </c>
      <c r="H500" s="5" t="s">
        <v>17</v>
      </c>
      <c r="I500" s="5" t="s">
        <v>18</v>
      </c>
      <c r="J500" s="7">
        <v>45309</v>
      </c>
      <c r="K500" s="5" t="s">
        <v>17</v>
      </c>
      <c r="L500" s="8">
        <v>43612</v>
      </c>
      <c r="M500" s="19">
        <v>264</v>
      </c>
      <c r="N500" s="19">
        <v>314</v>
      </c>
      <c r="O500" s="24">
        <v>13000</v>
      </c>
      <c r="P500" s="24">
        <v>11000</v>
      </c>
      <c r="Q500" t="s">
        <v>1984</v>
      </c>
      <c r="R500" s="19">
        <f>VLOOKUP(A500,[1]Sheet1!$A$2:$Q$1536,15,FALSE)</f>
        <v>11005.7236328125</v>
      </c>
      <c r="S500" s="27">
        <f t="shared" si="21"/>
        <v>5.2005965290964986E-4</v>
      </c>
      <c r="T500" s="19">
        <f>VLOOKUP(A500,[1]Sheet1!$A$2:$Q$1536,16,FALSE)</f>
        <v>11986.78156621352</v>
      </c>
      <c r="U500" s="27">
        <f t="shared" si="22"/>
        <v>8.2322478370249669E-2</v>
      </c>
      <c r="V500" s="19">
        <f>VLOOKUP(A500,[1]Sheet1!$A$2:$Q$1536,17,FALSE)</f>
        <v>10897.6533203125</v>
      </c>
      <c r="W500" s="27">
        <f t="shared" si="23"/>
        <v>-9.3916255802276808E-3</v>
      </c>
    </row>
    <row r="501" spans="1:23" x14ac:dyDescent="0.3">
      <c r="A501" s="4" t="s">
        <v>1185</v>
      </c>
      <c r="B501" s="5">
        <v>2021</v>
      </c>
      <c r="C501" s="5" t="s">
        <v>684</v>
      </c>
      <c r="D501" s="15" t="s">
        <v>1182</v>
      </c>
      <c r="E501" s="6">
        <v>62901</v>
      </c>
      <c r="F501" s="5" t="s">
        <v>59</v>
      </c>
      <c r="G501" s="5" t="s">
        <v>16</v>
      </c>
      <c r="H501" s="5" t="s">
        <v>17</v>
      </c>
      <c r="I501" s="5" t="s">
        <v>18</v>
      </c>
      <c r="J501" s="7">
        <v>45356</v>
      </c>
      <c r="K501" s="5" t="s">
        <v>17</v>
      </c>
      <c r="L501" s="8">
        <v>44444</v>
      </c>
      <c r="M501" s="19">
        <v>264</v>
      </c>
      <c r="N501" s="19">
        <v>314</v>
      </c>
      <c r="O501" s="24">
        <v>17600</v>
      </c>
      <c r="P501" s="24">
        <v>14400</v>
      </c>
      <c r="Q501" t="s">
        <v>1984</v>
      </c>
      <c r="R501" s="19">
        <f>VLOOKUP(A501,[1]Sheet1!$A$2:$Q$1536,15,FALSE)</f>
        <v>15750.005859375</v>
      </c>
      <c r="S501" s="27">
        <f t="shared" si="21"/>
        <v>8.5714625850213597E-2</v>
      </c>
      <c r="T501" s="19">
        <f>VLOOKUP(A501,[1]Sheet1!$A$2:$Q$1536,16,FALSE)</f>
        <v>13810.0176302869</v>
      </c>
      <c r="U501" s="27">
        <f t="shared" si="22"/>
        <v>-4.2721333564354244E-2</v>
      </c>
      <c r="V501" s="19">
        <f>VLOOKUP(A501,[1]Sheet1!$A$2:$Q$1536,17,FALSE)</f>
        <v>15827.3701171875</v>
      </c>
      <c r="W501" s="27">
        <f t="shared" si="23"/>
        <v>9.0183656957479527E-2</v>
      </c>
    </row>
    <row r="502" spans="1:23" x14ac:dyDescent="0.3">
      <c r="A502" s="4" t="s">
        <v>182</v>
      </c>
      <c r="B502" s="5">
        <v>2019</v>
      </c>
      <c r="C502" s="5" t="s">
        <v>96</v>
      </c>
      <c r="D502" s="15" t="s">
        <v>154</v>
      </c>
      <c r="E502" s="6">
        <v>39638</v>
      </c>
      <c r="F502" s="5" t="s">
        <v>125</v>
      </c>
      <c r="G502" s="5" t="s">
        <v>16</v>
      </c>
      <c r="H502" s="5" t="s">
        <v>17</v>
      </c>
      <c r="I502" s="5" t="s">
        <v>18</v>
      </c>
      <c r="J502" s="7">
        <v>45412</v>
      </c>
      <c r="K502" s="5" t="s">
        <v>17</v>
      </c>
      <c r="L502" s="8">
        <v>43950</v>
      </c>
      <c r="M502" s="19">
        <v>264</v>
      </c>
      <c r="N502" s="19">
        <v>314</v>
      </c>
      <c r="O502" s="24">
        <v>20000</v>
      </c>
      <c r="P502" s="24">
        <v>19600</v>
      </c>
      <c r="Q502" t="s">
        <v>1984</v>
      </c>
      <c r="R502" s="19">
        <f>VLOOKUP(A502,[1]Sheet1!$A$2:$Q$1536,15,FALSE)</f>
        <v>17195.4609375</v>
      </c>
      <c r="S502" s="27">
        <f t="shared" si="21"/>
        <v>-0.13983568519853759</v>
      </c>
      <c r="T502" s="19">
        <f>VLOOKUP(A502,[1]Sheet1!$A$2:$Q$1536,16,FALSE)</f>
        <v>12481.835815410141</v>
      </c>
      <c r="U502" s="27">
        <f t="shared" si="22"/>
        <v>-0.57028183112308972</v>
      </c>
      <c r="V502" s="19">
        <f>VLOOKUP(A502,[1]Sheet1!$A$2:$Q$1536,17,FALSE)</f>
        <v>17339.583984375</v>
      </c>
      <c r="W502" s="27">
        <f t="shared" si="23"/>
        <v>-0.13036160600288335</v>
      </c>
    </row>
    <row r="503" spans="1:23" x14ac:dyDescent="0.3">
      <c r="A503" s="4" t="s">
        <v>1457</v>
      </c>
      <c r="B503" s="5">
        <v>2016</v>
      </c>
      <c r="C503" s="5" t="s">
        <v>1086</v>
      </c>
      <c r="D503" s="15" t="s">
        <v>1442</v>
      </c>
      <c r="E503" s="6">
        <v>188872</v>
      </c>
      <c r="F503" s="5" t="s">
        <v>21</v>
      </c>
      <c r="G503" s="5" t="s">
        <v>25</v>
      </c>
      <c r="H503" s="5" t="s">
        <v>18</v>
      </c>
      <c r="I503" s="5" t="s">
        <v>17</v>
      </c>
      <c r="J503" s="7">
        <v>45463</v>
      </c>
      <c r="K503" s="5" t="s">
        <v>17</v>
      </c>
      <c r="L503" s="8">
        <v>44310</v>
      </c>
      <c r="M503" s="19">
        <v>235</v>
      </c>
      <c r="N503" s="19">
        <v>285</v>
      </c>
      <c r="O503" s="24">
        <v>0</v>
      </c>
      <c r="P503" s="24">
        <v>6600</v>
      </c>
      <c r="Q503" t="s">
        <v>1983</v>
      </c>
      <c r="R503" s="19">
        <f>VLOOKUP(A503,[1]Sheet1!$A$2:$Q$1536,15,FALSE)</f>
        <v>1139.174072265625</v>
      </c>
      <c r="S503" s="27">
        <f t="shared" si="21"/>
        <v>-4.7936711874715634</v>
      </c>
      <c r="T503" s="19">
        <f>VLOOKUP(A503,[1]Sheet1!$A$2:$Q$1536,16,FALSE)</f>
        <v>8618.8795867916997</v>
      </c>
      <c r="U503" s="27">
        <f t="shared" si="22"/>
        <v>0.23423921479139836</v>
      </c>
      <c r="V503" s="19">
        <f>VLOOKUP(A503,[1]Sheet1!$A$2:$Q$1536,17,FALSE)</f>
        <v>1286.9091796875</v>
      </c>
      <c r="W503" s="27">
        <f t="shared" si="23"/>
        <v>-4.1285670381204964</v>
      </c>
    </row>
    <row r="504" spans="1:23" x14ac:dyDescent="0.3">
      <c r="A504" s="4" t="s">
        <v>1628</v>
      </c>
      <c r="B504" s="5">
        <v>2014</v>
      </c>
      <c r="C504" s="5" t="s">
        <v>519</v>
      </c>
      <c r="D504" s="15" t="s">
        <v>1607</v>
      </c>
      <c r="E504" s="6">
        <v>116797</v>
      </c>
      <c r="F504" s="5" t="s">
        <v>66</v>
      </c>
      <c r="G504" s="5" t="s">
        <v>25</v>
      </c>
      <c r="H504" s="5" t="s">
        <v>18</v>
      </c>
      <c r="I504" s="5" t="s">
        <v>17</v>
      </c>
      <c r="J504" s="7">
        <v>45538</v>
      </c>
      <c r="K504" s="5" t="s">
        <v>17</v>
      </c>
      <c r="L504" s="8">
        <v>44035</v>
      </c>
      <c r="M504" s="19">
        <v>222</v>
      </c>
      <c r="N504" s="19">
        <v>272</v>
      </c>
      <c r="O504" s="24">
        <v>5100</v>
      </c>
      <c r="P504" s="24">
        <v>1900</v>
      </c>
      <c r="Q504" t="s">
        <v>1984</v>
      </c>
      <c r="R504" s="19">
        <f>VLOOKUP(A504,[1]Sheet1!$A$2:$Q$1536,15,FALSE)</f>
        <v>1631.725708007812</v>
      </c>
      <c r="S504" s="27">
        <f t="shared" si="21"/>
        <v>-0.16441139014701578</v>
      </c>
      <c r="T504" s="19">
        <f>VLOOKUP(A504,[1]Sheet1!$A$2:$Q$1536,16,FALSE)</f>
        <v>9018.3372640404395</v>
      </c>
      <c r="U504" s="27">
        <f t="shared" si="22"/>
        <v>0.78931814763947372</v>
      </c>
      <c r="V504" s="19">
        <f>VLOOKUP(A504,[1]Sheet1!$A$2:$Q$1536,17,FALSE)</f>
        <v>1540.495727539062</v>
      </c>
      <c r="W504" s="27">
        <f t="shared" si="23"/>
        <v>-0.23336921098459981</v>
      </c>
    </row>
    <row r="505" spans="1:23" x14ac:dyDescent="0.3">
      <c r="A505" s="4" t="s">
        <v>1581</v>
      </c>
      <c r="B505" s="5">
        <v>2012</v>
      </c>
      <c r="C505" s="5" t="s">
        <v>636</v>
      </c>
      <c r="D505" s="15" t="s">
        <v>1303</v>
      </c>
      <c r="E505" s="6">
        <v>117698</v>
      </c>
      <c r="F505" s="5" t="s">
        <v>61</v>
      </c>
      <c r="G505" s="5" t="s">
        <v>25</v>
      </c>
      <c r="H505" s="5" t="s">
        <v>18</v>
      </c>
      <c r="I505" s="5" t="s">
        <v>17</v>
      </c>
      <c r="J505" s="7">
        <v>45337</v>
      </c>
      <c r="K505" s="5" t="s">
        <v>17</v>
      </c>
      <c r="L505" s="8">
        <v>44451</v>
      </c>
      <c r="M505" s="19">
        <v>264</v>
      </c>
      <c r="N505" s="19">
        <v>314</v>
      </c>
      <c r="O505" s="24">
        <v>0</v>
      </c>
      <c r="P505" s="24">
        <v>4300</v>
      </c>
      <c r="Q505" t="s">
        <v>1983</v>
      </c>
      <c r="R505" s="19">
        <f>VLOOKUP(A505,[1]Sheet1!$A$2:$Q$1536,15,FALSE)</f>
        <v>1203.563842773438</v>
      </c>
      <c r="S505" s="27">
        <f t="shared" si="21"/>
        <v>-2.5727228146795063</v>
      </c>
      <c r="T505" s="19">
        <f>VLOOKUP(A505,[1]Sheet1!$A$2:$Q$1536,16,FALSE)</f>
        <v>8765.550058874549</v>
      </c>
      <c r="U505" s="27">
        <f t="shared" si="22"/>
        <v>0.5094432213473552</v>
      </c>
      <c r="V505" s="19">
        <f>VLOOKUP(A505,[1]Sheet1!$A$2:$Q$1536,17,FALSE)</f>
        <v>1281.388061523438</v>
      </c>
      <c r="W505" s="27">
        <f t="shared" si="23"/>
        <v>-2.3557359625215679</v>
      </c>
    </row>
    <row r="506" spans="1:23" x14ac:dyDescent="0.3">
      <c r="A506" s="4" t="s">
        <v>1473</v>
      </c>
      <c r="B506" s="5">
        <v>2013</v>
      </c>
      <c r="C506" s="5" t="s">
        <v>920</v>
      </c>
      <c r="D506" s="15" t="s">
        <v>921</v>
      </c>
      <c r="E506" s="6">
        <v>74935</v>
      </c>
      <c r="F506" s="5" t="s">
        <v>36</v>
      </c>
      <c r="G506" s="5" t="s">
        <v>28</v>
      </c>
      <c r="H506" s="5" t="s">
        <v>17</v>
      </c>
      <c r="I506" s="5" t="s">
        <v>18</v>
      </c>
      <c r="J506" s="7">
        <v>45505</v>
      </c>
      <c r="K506" s="5" t="s">
        <v>17</v>
      </c>
      <c r="L506" s="8">
        <v>43612</v>
      </c>
      <c r="M506" s="19">
        <v>264</v>
      </c>
      <c r="N506" s="19">
        <v>314</v>
      </c>
      <c r="O506" s="24">
        <v>8400</v>
      </c>
      <c r="P506" s="24">
        <v>4500</v>
      </c>
      <c r="Q506" t="s">
        <v>1984</v>
      </c>
      <c r="R506" s="19">
        <f>VLOOKUP(A506,[1]Sheet1!$A$2:$Q$1536,15,FALSE)</f>
        <v>4919.6357421875</v>
      </c>
      <c r="S506" s="27">
        <f t="shared" si="21"/>
        <v>8.5298132662340223E-2</v>
      </c>
      <c r="T506" s="19">
        <f>VLOOKUP(A506,[1]Sheet1!$A$2:$Q$1536,16,FALSE)</f>
        <v>9639.8172079718715</v>
      </c>
      <c r="U506" s="27">
        <f t="shared" si="22"/>
        <v>0.53318616910301786</v>
      </c>
      <c r="V506" s="19">
        <f>VLOOKUP(A506,[1]Sheet1!$A$2:$Q$1536,17,FALSE)</f>
        <v>4913.08251953125</v>
      </c>
      <c r="W506" s="27">
        <f t="shared" si="23"/>
        <v>8.4078074790948476E-2</v>
      </c>
    </row>
    <row r="507" spans="1:23" x14ac:dyDescent="0.3">
      <c r="A507" s="4" t="s">
        <v>1205</v>
      </c>
      <c r="B507" s="5">
        <v>2015</v>
      </c>
      <c r="C507" s="5" t="s">
        <v>684</v>
      </c>
      <c r="D507" s="15" t="s">
        <v>1187</v>
      </c>
      <c r="E507" s="6">
        <v>178281</v>
      </c>
      <c r="F507" s="5" t="s">
        <v>79</v>
      </c>
      <c r="G507" s="5" t="s">
        <v>22</v>
      </c>
      <c r="H507" s="5" t="s">
        <v>18</v>
      </c>
      <c r="I507" s="5" t="s">
        <v>17</v>
      </c>
      <c r="J507" s="7">
        <v>45344</v>
      </c>
      <c r="K507" s="5" t="s">
        <v>17</v>
      </c>
      <c r="L507" s="8">
        <v>44113</v>
      </c>
      <c r="M507" s="19">
        <v>264</v>
      </c>
      <c r="N507" s="19">
        <v>314</v>
      </c>
      <c r="O507" s="24">
        <v>1700</v>
      </c>
      <c r="P507" s="24">
        <v>2100</v>
      </c>
      <c r="Q507" t="s">
        <v>1983</v>
      </c>
      <c r="R507" s="19">
        <f>VLOOKUP(A507,[1]Sheet1!$A$2:$Q$1536,15,FALSE)</f>
        <v>1331.052368164062</v>
      </c>
      <c r="S507" s="27">
        <f t="shared" si="21"/>
        <v>-0.57769900736254087</v>
      </c>
      <c r="T507" s="19">
        <f>VLOOKUP(A507,[1]Sheet1!$A$2:$Q$1536,16,FALSE)</f>
        <v>8796.5133800870062</v>
      </c>
      <c r="U507" s="27">
        <f t="shared" si="22"/>
        <v>0.76126904953571173</v>
      </c>
      <c r="V507" s="19">
        <f>VLOOKUP(A507,[1]Sheet1!$A$2:$Q$1536,17,FALSE)</f>
        <v>1330.663208007812</v>
      </c>
      <c r="W507" s="27">
        <f t="shared" si="23"/>
        <v>-0.57816041456800493</v>
      </c>
    </row>
    <row r="508" spans="1:23" x14ac:dyDescent="0.3">
      <c r="A508" s="4" t="s">
        <v>304</v>
      </c>
      <c r="B508" s="5">
        <v>2015</v>
      </c>
      <c r="C508" s="5" t="s">
        <v>237</v>
      </c>
      <c r="D508" s="15" t="s">
        <v>286</v>
      </c>
      <c r="E508" s="6">
        <v>129240</v>
      </c>
      <c r="F508" s="5" t="s">
        <v>21</v>
      </c>
      <c r="G508" s="5" t="s">
        <v>25</v>
      </c>
      <c r="H508" s="5" t="s">
        <v>18</v>
      </c>
      <c r="I508" s="5" t="s">
        <v>17</v>
      </c>
      <c r="J508" s="7">
        <v>45454</v>
      </c>
      <c r="K508" s="5" t="s">
        <v>17</v>
      </c>
      <c r="L508" s="8">
        <v>44135</v>
      </c>
      <c r="M508" s="19">
        <v>235</v>
      </c>
      <c r="N508" s="19">
        <v>285</v>
      </c>
      <c r="O508" s="24">
        <v>7300</v>
      </c>
      <c r="P508" s="24">
        <v>14800</v>
      </c>
      <c r="Q508" t="s">
        <v>1983</v>
      </c>
      <c r="R508" s="19">
        <f>VLOOKUP(A508,[1]Sheet1!$A$2:$Q$1536,15,FALSE)</f>
        <v>2627.95556640625</v>
      </c>
      <c r="S508" s="27">
        <f t="shared" si="21"/>
        <v>-4.6317542766672863</v>
      </c>
      <c r="T508" s="19">
        <f>VLOOKUP(A508,[1]Sheet1!$A$2:$Q$1536,16,FALSE)</f>
        <v>9167.1400547174035</v>
      </c>
      <c r="U508" s="27">
        <f t="shared" si="22"/>
        <v>-0.61446207995741609</v>
      </c>
      <c r="V508" s="19">
        <f>VLOOKUP(A508,[1]Sheet1!$A$2:$Q$1536,17,FALSE)</f>
        <v>2505.3798828125</v>
      </c>
      <c r="W508" s="27">
        <f t="shared" si="23"/>
        <v>-4.9072877935723476</v>
      </c>
    </row>
    <row r="509" spans="1:23" x14ac:dyDescent="0.3">
      <c r="A509" s="4" t="s">
        <v>1298</v>
      </c>
      <c r="B509" s="5">
        <v>2015</v>
      </c>
      <c r="C509" s="5" t="s">
        <v>636</v>
      </c>
      <c r="D509" s="15" t="s">
        <v>1296</v>
      </c>
      <c r="E509" s="6">
        <v>135985</v>
      </c>
      <c r="F509" s="5" t="s">
        <v>251</v>
      </c>
      <c r="G509" s="5" t="s">
        <v>22</v>
      </c>
      <c r="H509" s="5" t="s">
        <v>18</v>
      </c>
      <c r="I509" s="5" t="s">
        <v>17</v>
      </c>
      <c r="J509" s="7">
        <v>45314</v>
      </c>
      <c r="K509" s="5" t="s">
        <v>17</v>
      </c>
      <c r="L509" s="8">
        <v>44307</v>
      </c>
      <c r="M509" s="19">
        <v>235</v>
      </c>
      <c r="N509" s="19">
        <v>285</v>
      </c>
      <c r="O509" s="24">
        <v>2000</v>
      </c>
      <c r="P509" s="24">
        <v>11800</v>
      </c>
      <c r="Q509" t="s">
        <v>1983</v>
      </c>
      <c r="R509" s="19">
        <f>VLOOKUP(A509,[1]Sheet1!$A$2:$Q$1536,15,FALSE)</f>
        <v>1809.8095703125</v>
      </c>
      <c r="S509" s="27">
        <f t="shared" si="21"/>
        <v>-5.5200229867071</v>
      </c>
      <c r="T509" s="19">
        <f>VLOOKUP(A509,[1]Sheet1!$A$2:$Q$1536,16,FALSE)</f>
        <v>8787.1076579567543</v>
      </c>
      <c r="U509" s="27">
        <f t="shared" si="22"/>
        <v>-0.3428764571144251</v>
      </c>
      <c r="V509" s="19">
        <f>VLOOKUP(A509,[1]Sheet1!$A$2:$Q$1536,17,FALSE)</f>
        <v>1752.955688476562</v>
      </c>
      <c r="W509" s="27">
        <f t="shared" si="23"/>
        <v>-5.7314878964539053</v>
      </c>
    </row>
    <row r="510" spans="1:23" x14ac:dyDescent="0.3">
      <c r="A510" s="4" t="s">
        <v>234</v>
      </c>
      <c r="B510" s="5">
        <v>2019</v>
      </c>
      <c r="C510" s="5" t="s">
        <v>223</v>
      </c>
      <c r="D510" s="15">
        <v>1500</v>
      </c>
      <c r="E510" s="6">
        <v>73106</v>
      </c>
      <c r="F510" s="5" t="s">
        <v>47</v>
      </c>
      <c r="G510" s="5" t="s">
        <v>16</v>
      </c>
      <c r="H510" s="5" t="s">
        <v>17</v>
      </c>
      <c r="I510" s="5" t="s">
        <v>18</v>
      </c>
      <c r="J510" s="7">
        <v>45356</v>
      </c>
      <c r="K510" s="5" t="s">
        <v>17</v>
      </c>
      <c r="L510" s="8">
        <v>44081</v>
      </c>
      <c r="M510" s="19">
        <v>325</v>
      </c>
      <c r="N510" s="19">
        <v>375</v>
      </c>
      <c r="O510" s="24">
        <v>18000</v>
      </c>
      <c r="P510" s="24">
        <v>43200</v>
      </c>
      <c r="Q510" t="s">
        <v>1983</v>
      </c>
      <c r="R510" s="19">
        <f>VLOOKUP(A510,[1]Sheet1!$A$2:$Q$1536,15,FALSE)</f>
        <v>17661.54296875</v>
      </c>
      <c r="S510" s="27">
        <f t="shared" si="21"/>
        <v>-1.4459924071434338</v>
      </c>
      <c r="T510" s="19">
        <f>VLOOKUP(A510,[1]Sheet1!$A$2:$Q$1536,16,FALSE)</f>
        <v>11856.59672512545</v>
      </c>
      <c r="U510" s="27">
        <f t="shared" si="22"/>
        <v>-2.6435413130358385</v>
      </c>
      <c r="V510" s="19">
        <f>VLOOKUP(A510,[1]Sheet1!$A$2:$Q$1536,17,FALSE)</f>
        <v>17555.337890625</v>
      </c>
      <c r="W510" s="27">
        <f t="shared" si="23"/>
        <v>-1.4607900041086594</v>
      </c>
    </row>
    <row r="511" spans="1:23" x14ac:dyDescent="0.3">
      <c r="A511" s="4" t="s">
        <v>1191</v>
      </c>
      <c r="B511" s="5">
        <v>2015</v>
      </c>
      <c r="C511" s="5" t="s">
        <v>684</v>
      </c>
      <c r="D511" s="15" t="s">
        <v>1187</v>
      </c>
      <c r="E511" s="6">
        <v>49566</v>
      </c>
      <c r="F511" s="5" t="s">
        <v>103</v>
      </c>
      <c r="G511" s="5" t="s">
        <v>25</v>
      </c>
      <c r="H511" s="5" t="s">
        <v>18</v>
      </c>
      <c r="I511" s="5" t="s">
        <v>17</v>
      </c>
      <c r="J511" s="7">
        <v>45393</v>
      </c>
      <c r="K511" s="5" t="s">
        <v>17</v>
      </c>
      <c r="L511" s="8">
        <v>44128</v>
      </c>
      <c r="M511" s="19">
        <v>264</v>
      </c>
      <c r="N511" s="19">
        <v>314</v>
      </c>
      <c r="O511" s="24">
        <v>4900</v>
      </c>
      <c r="P511" s="24">
        <v>7300</v>
      </c>
      <c r="Q511" t="s">
        <v>1983</v>
      </c>
      <c r="R511" s="19">
        <f>VLOOKUP(A511,[1]Sheet1!$A$2:$Q$1536,15,FALSE)</f>
        <v>10096.029296875</v>
      </c>
      <c r="S511" s="27">
        <f t="shared" si="21"/>
        <v>0.27694346110311391</v>
      </c>
      <c r="T511" s="19">
        <f>VLOOKUP(A511,[1]Sheet1!$A$2:$Q$1536,16,FALSE)</f>
        <v>11138.71959082134</v>
      </c>
      <c r="U511" s="27">
        <f t="shared" si="22"/>
        <v>0.34462844310979579</v>
      </c>
      <c r="V511" s="19">
        <f>VLOOKUP(A511,[1]Sheet1!$A$2:$Q$1536,17,FALSE)</f>
        <v>10117.771484375</v>
      </c>
      <c r="W511" s="27">
        <f t="shared" si="23"/>
        <v>0.27849724504319151</v>
      </c>
    </row>
    <row r="512" spans="1:23" x14ac:dyDescent="0.3">
      <c r="A512" s="4" t="s">
        <v>1874</v>
      </c>
      <c r="B512" s="5">
        <v>2013</v>
      </c>
      <c r="C512" s="5" t="s">
        <v>1401</v>
      </c>
      <c r="D512" s="15" t="s">
        <v>1875</v>
      </c>
      <c r="E512" s="6">
        <v>129925</v>
      </c>
      <c r="F512" s="5" t="s">
        <v>32</v>
      </c>
      <c r="G512" s="5" t="s">
        <v>25</v>
      </c>
      <c r="H512" s="5" t="s">
        <v>18</v>
      </c>
      <c r="I512" s="5" t="s">
        <v>17</v>
      </c>
      <c r="J512" s="7">
        <v>45678</v>
      </c>
      <c r="K512" s="5" t="s">
        <v>17</v>
      </c>
      <c r="L512" s="8">
        <v>44307</v>
      </c>
      <c r="M512" s="19">
        <v>235</v>
      </c>
      <c r="N512" s="19">
        <v>285</v>
      </c>
      <c r="O512" s="24">
        <v>0</v>
      </c>
      <c r="P512" s="24">
        <v>4500</v>
      </c>
      <c r="Q512" t="s">
        <v>1983</v>
      </c>
      <c r="R512" s="19">
        <f>VLOOKUP(A512,[1]Sheet1!$A$2:$Q$1536,15,FALSE)</f>
        <v>1650.86572265625</v>
      </c>
      <c r="S512" s="27">
        <f t="shared" si="21"/>
        <v>-1.7258425311293524</v>
      </c>
      <c r="T512" s="19">
        <f>VLOOKUP(A512,[1]Sheet1!$A$2:$Q$1536,16,FALSE)</f>
        <v>9369.0057240837214</v>
      </c>
      <c r="U512" s="27">
        <f t="shared" si="22"/>
        <v>0.51969289671449148</v>
      </c>
      <c r="V512" s="19">
        <f>VLOOKUP(A512,[1]Sheet1!$A$2:$Q$1536,17,FALSE)</f>
        <v>1645.4267578125</v>
      </c>
      <c r="W512" s="27">
        <f t="shared" si="23"/>
        <v>-1.7348528147083804</v>
      </c>
    </row>
    <row r="513" spans="1:23" x14ac:dyDescent="0.3">
      <c r="A513" s="4" t="s">
        <v>961</v>
      </c>
      <c r="B513" s="5">
        <v>2020</v>
      </c>
      <c r="C513" s="5" t="s">
        <v>96</v>
      </c>
      <c r="D513" s="15" t="s">
        <v>107</v>
      </c>
      <c r="E513" s="6">
        <v>57136</v>
      </c>
      <c r="F513" s="5" t="s">
        <v>15</v>
      </c>
      <c r="G513" s="5" t="s">
        <v>16</v>
      </c>
      <c r="H513" s="5" t="s">
        <v>17</v>
      </c>
      <c r="I513" s="5" t="s">
        <v>18</v>
      </c>
      <c r="J513" s="7">
        <v>45356</v>
      </c>
      <c r="K513" s="5" t="s">
        <v>17</v>
      </c>
      <c r="L513" s="8">
        <v>44113</v>
      </c>
      <c r="M513" s="19">
        <v>264</v>
      </c>
      <c r="N513" s="19">
        <v>314</v>
      </c>
      <c r="O513" s="24">
        <v>17000</v>
      </c>
      <c r="P513" s="24">
        <v>21600</v>
      </c>
      <c r="Q513" t="s">
        <v>1983</v>
      </c>
      <c r="R513" s="19">
        <f>VLOOKUP(A513,[1]Sheet1!$A$2:$Q$1536,15,FALSE)</f>
        <v>15125.681640625</v>
      </c>
      <c r="S513" s="27">
        <f t="shared" si="21"/>
        <v>-0.42803481609622707</v>
      </c>
      <c r="T513" s="19">
        <f>VLOOKUP(A513,[1]Sheet1!$A$2:$Q$1536,16,FALSE)</f>
        <v>13769.432761043539</v>
      </c>
      <c r="U513" s="27">
        <f t="shared" si="22"/>
        <v>-0.56869207140548961</v>
      </c>
      <c r="V513" s="19">
        <f>VLOOKUP(A513,[1]Sheet1!$A$2:$Q$1536,17,FALSE)</f>
        <v>15162.5234375</v>
      </c>
      <c r="W513" s="27">
        <f t="shared" si="23"/>
        <v>-0.42456498676063464</v>
      </c>
    </row>
    <row r="514" spans="1:23" x14ac:dyDescent="0.3">
      <c r="A514" s="4" t="s">
        <v>1571</v>
      </c>
      <c r="B514" s="5">
        <v>2015</v>
      </c>
      <c r="C514" s="5" t="s">
        <v>636</v>
      </c>
      <c r="D514" s="15" t="s">
        <v>1572</v>
      </c>
      <c r="E514" s="6">
        <v>155800</v>
      </c>
      <c r="F514" s="5" t="s">
        <v>79</v>
      </c>
      <c r="G514" s="5" t="s">
        <v>22</v>
      </c>
      <c r="H514" s="5" t="s">
        <v>18</v>
      </c>
      <c r="I514" s="5" t="s">
        <v>17</v>
      </c>
      <c r="J514" s="7">
        <v>45706</v>
      </c>
      <c r="K514" s="5" t="s">
        <v>17</v>
      </c>
      <c r="L514" s="8">
        <v>44128</v>
      </c>
      <c r="M514" s="19">
        <v>264</v>
      </c>
      <c r="N514" s="19">
        <v>314</v>
      </c>
      <c r="O514" s="24">
        <v>400</v>
      </c>
      <c r="P514" s="24">
        <v>1500</v>
      </c>
      <c r="Q514" t="s">
        <v>1983</v>
      </c>
      <c r="R514" s="19">
        <f>VLOOKUP(A514,[1]Sheet1!$A$2:$Q$1536,15,FALSE)</f>
        <v>1265.386352539062</v>
      </c>
      <c r="S514" s="27">
        <f t="shared" si="21"/>
        <v>-0.18540870698516207</v>
      </c>
      <c r="T514" s="19">
        <f>VLOOKUP(A514,[1]Sheet1!$A$2:$Q$1536,16,FALSE)</f>
        <v>8789.1402011790324</v>
      </c>
      <c r="U514" s="27">
        <f t="shared" si="22"/>
        <v>0.82933484212724473</v>
      </c>
      <c r="V514" s="19">
        <f>VLOOKUP(A514,[1]Sheet1!$A$2:$Q$1536,17,FALSE)</f>
        <v>1330.663208007812</v>
      </c>
      <c r="W514" s="27">
        <f t="shared" si="23"/>
        <v>-0.12725743897714636</v>
      </c>
    </row>
    <row r="515" spans="1:23" x14ac:dyDescent="0.3">
      <c r="A515" s="4" t="s">
        <v>964</v>
      </c>
      <c r="B515" s="5">
        <v>2019</v>
      </c>
      <c r="C515" s="5" t="s">
        <v>83</v>
      </c>
      <c r="D515" s="15" t="s">
        <v>965</v>
      </c>
      <c r="E515" s="6">
        <v>89517</v>
      </c>
      <c r="F515" s="5" t="s">
        <v>144</v>
      </c>
      <c r="G515" s="5" t="s">
        <v>22</v>
      </c>
      <c r="H515" s="5" t="s">
        <v>18</v>
      </c>
      <c r="I515" s="5" t="s">
        <v>17</v>
      </c>
      <c r="J515" s="7">
        <v>45538</v>
      </c>
      <c r="K515" s="5" t="s">
        <v>17</v>
      </c>
      <c r="L515" s="8">
        <v>44113</v>
      </c>
      <c r="M515" s="19">
        <v>264</v>
      </c>
      <c r="N515" s="19">
        <v>314</v>
      </c>
      <c r="O515" s="24">
        <v>4400</v>
      </c>
      <c r="P515" s="24">
        <v>13700</v>
      </c>
      <c r="Q515" t="s">
        <v>1983</v>
      </c>
      <c r="R515" s="19">
        <f>VLOOKUP(A515,[1]Sheet1!$A$2:$Q$1536,15,FALSE)</f>
        <v>5553.5849609375</v>
      </c>
      <c r="S515" s="27">
        <f t="shared" ref="S515:S578" si="24">(R515-$P515)/R515</f>
        <v>-1.466875017914069</v>
      </c>
      <c r="T515" s="19">
        <f>VLOOKUP(A515,[1]Sheet1!$A$2:$Q$1536,16,FALSE)</f>
        <v>9153.4824587361491</v>
      </c>
      <c r="U515" s="27">
        <f t="shared" ref="U515:U578" si="25">(T515-$P515)/T515</f>
        <v>-0.49669812137178698</v>
      </c>
      <c r="V515" s="19">
        <f>VLOOKUP(A515,[1]Sheet1!$A$2:$Q$1536,17,FALSE)</f>
        <v>5562.216796875</v>
      </c>
      <c r="W515" s="27">
        <f t="shared" ref="W515:W578" si="26">(V515-$P515)/V515</f>
        <v>-1.463046749220027</v>
      </c>
    </row>
    <row r="516" spans="1:23" x14ac:dyDescent="0.3">
      <c r="A516" s="4" t="s">
        <v>323</v>
      </c>
      <c r="B516" s="5">
        <v>2019</v>
      </c>
      <c r="C516" s="5" t="s">
        <v>237</v>
      </c>
      <c r="D516" s="15" t="s">
        <v>306</v>
      </c>
      <c r="E516" s="6">
        <v>88720</v>
      </c>
      <c r="F516" s="5" t="s">
        <v>115</v>
      </c>
      <c r="G516" s="5" t="s">
        <v>33</v>
      </c>
      <c r="H516" s="5" t="s">
        <v>17</v>
      </c>
      <c r="I516" s="5" t="s">
        <v>18</v>
      </c>
      <c r="J516" s="7">
        <v>45645</v>
      </c>
      <c r="K516" s="5" t="s">
        <v>17</v>
      </c>
      <c r="L516" s="8">
        <v>44028</v>
      </c>
      <c r="M516" s="19">
        <v>235</v>
      </c>
      <c r="N516" s="19">
        <v>285</v>
      </c>
      <c r="O516" s="24">
        <v>0</v>
      </c>
      <c r="P516" s="24">
        <v>12000</v>
      </c>
      <c r="Q516" t="s">
        <v>1983</v>
      </c>
      <c r="R516" s="19">
        <f>VLOOKUP(A516,[1]Sheet1!$A$2:$Q$1536,15,FALSE)</f>
        <v>13000.5927734375</v>
      </c>
      <c r="S516" s="27">
        <f t="shared" si="24"/>
        <v>7.696516542552484E-2</v>
      </c>
      <c r="T516" s="19">
        <f>VLOOKUP(A516,[1]Sheet1!$A$2:$Q$1536,16,FALSE)</f>
        <v>10276.57136000233</v>
      </c>
      <c r="U516" s="27">
        <f t="shared" si="25"/>
        <v>-0.16770463412587827</v>
      </c>
      <c r="V516" s="19">
        <f>VLOOKUP(A516,[1]Sheet1!$A$2:$Q$1536,17,FALSE)</f>
        <v>13098.421875</v>
      </c>
      <c r="W516" s="27">
        <f t="shared" si="26"/>
        <v>8.3859100392580696E-2</v>
      </c>
    </row>
    <row r="517" spans="1:23" x14ac:dyDescent="0.3">
      <c r="A517" s="4" t="s">
        <v>113</v>
      </c>
      <c r="B517" s="5">
        <v>2017</v>
      </c>
      <c r="C517" s="5" t="s">
        <v>96</v>
      </c>
      <c r="D517" s="15" t="s">
        <v>105</v>
      </c>
      <c r="E517" s="6">
        <v>103890</v>
      </c>
      <c r="F517" s="5" t="s">
        <v>57</v>
      </c>
      <c r="G517" s="5" t="s">
        <v>28</v>
      </c>
      <c r="H517" s="5" t="s">
        <v>17</v>
      </c>
      <c r="I517" s="5" t="s">
        <v>18</v>
      </c>
      <c r="J517" s="7">
        <v>45344</v>
      </c>
      <c r="K517" s="5" t="s">
        <v>17</v>
      </c>
      <c r="L517" s="8">
        <v>44451</v>
      </c>
      <c r="M517" s="19">
        <v>264</v>
      </c>
      <c r="N517" s="19">
        <v>314</v>
      </c>
      <c r="O517" s="24">
        <v>0</v>
      </c>
      <c r="P517" s="24">
        <v>15900</v>
      </c>
      <c r="Q517" t="s">
        <v>1983</v>
      </c>
      <c r="R517" s="19">
        <f>VLOOKUP(A517,[1]Sheet1!$A$2:$Q$1536,15,FALSE)</f>
        <v>4695.19775390625</v>
      </c>
      <c r="S517" s="27">
        <f t="shared" si="24"/>
        <v>-2.3864388324797869</v>
      </c>
      <c r="T517" s="19">
        <f>VLOOKUP(A517,[1]Sheet1!$A$2:$Q$1536,16,FALSE)</f>
        <v>9192.5570959503202</v>
      </c>
      <c r="U517" s="27">
        <f t="shared" si="25"/>
        <v>-0.72966018421626877</v>
      </c>
      <c r="V517" s="19">
        <f>VLOOKUP(A517,[1]Sheet1!$A$2:$Q$1536,17,FALSE)</f>
        <v>4646.1630859375</v>
      </c>
      <c r="W517" s="27">
        <f t="shared" si="26"/>
        <v>-2.4221786247935175</v>
      </c>
    </row>
    <row r="518" spans="1:23" x14ac:dyDescent="0.3">
      <c r="A518" s="4" t="s">
        <v>731</v>
      </c>
      <c r="B518" s="5">
        <v>2016</v>
      </c>
      <c r="C518" s="5" t="s">
        <v>83</v>
      </c>
      <c r="D518" s="15" t="s">
        <v>714</v>
      </c>
      <c r="E518" s="6">
        <v>112121</v>
      </c>
      <c r="F518" s="5" t="s">
        <v>158</v>
      </c>
      <c r="G518" s="5" t="s">
        <v>16</v>
      </c>
      <c r="H518" s="5" t="s">
        <v>17</v>
      </c>
      <c r="I518" s="5" t="s">
        <v>18</v>
      </c>
      <c r="J518" s="7">
        <v>45370</v>
      </c>
      <c r="K518" s="5" t="s">
        <v>17</v>
      </c>
      <c r="L518" s="8">
        <v>43612</v>
      </c>
      <c r="M518" s="19">
        <v>264</v>
      </c>
      <c r="N518" s="19">
        <v>314</v>
      </c>
      <c r="O518" s="24">
        <v>15000</v>
      </c>
      <c r="P518" s="24">
        <v>41000</v>
      </c>
      <c r="Q518" t="s">
        <v>1983</v>
      </c>
      <c r="R518" s="19">
        <f>VLOOKUP(A518,[1]Sheet1!$A$2:$Q$1536,15,FALSE)</f>
        <v>8836.302734375</v>
      </c>
      <c r="S518" s="27">
        <f t="shared" si="24"/>
        <v>-3.6399496749360716</v>
      </c>
      <c r="T518" s="19">
        <f>VLOOKUP(A518,[1]Sheet1!$A$2:$Q$1536,16,FALSE)</f>
        <v>10977.11929593364</v>
      </c>
      <c r="U518" s="27">
        <f t="shared" si="25"/>
        <v>-2.7350418533929957</v>
      </c>
      <c r="V518" s="19">
        <f>VLOOKUP(A518,[1]Sheet1!$A$2:$Q$1536,17,FALSE)</f>
        <v>8762.33984375</v>
      </c>
      <c r="W518" s="27">
        <f t="shared" si="26"/>
        <v>-3.6791154795536118</v>
      </c>
    </row>
    <row r="519" spans="1:23" x14ac:dyDescent="0.3">
      <c r="A519" s="4" t="s">
        <v>1739</v>
      </c>
      <c r="B519" s="5">
        <v>2013</v>
      </c>
      <c r="C519" s="5" t="s">
        <v>1086</v>
      </c>
      <c r="D519" s="15" t="s">
        <v>1093</v>
      </c>
      <c r="E519" s="6">
        <v>84003</v>
      </c>
      <c r="F519" s="5" t="s">
        <v>219</v>
      </c>
      <c r="G519" s="5" t="s">
        <v>22</v>
      </c>
      <c r="H519" s="5" t="s">
        <v>18</v>
      </c>
      <c r="I519" s="5" t="s">
        <v>17</v>
      </c>
      <c r="J519" s="7">
        <v>45678</v>
      </c>
      <c r="K519" s="5" t="s">
        <v>17</v>
      </c>
      <c r="L519" s="8">
        <v>44113</v>
      </c>
      <c r="M519" s="19">
        <v>264</v>
      </c>
      <c r="N519" s="19">
        <v>314</v>
      </c>
      <c r="O519" s="24">
        <v>900</v>
      </c>
      <c r="P519" s="24">
        <v>1800</v>
      </c>
      <c r="Q519" t="s">
        <v>1983</v>
      </c>
      <c r="R519" s="19">
        <f>VLOOKUP(A519,[1]Sheet1!$A$2:$Q$1536,15,FALSE)</f>
        <v>1594.152099609375</v>
      </c>
      <c r="S519" s="27">
        <f t="shared" si="24"/>
        <v>-0.12912688848263926</v>
      </c>
      <c r="T519" s="19">
        <f>VLOOKUP(A519,[1]Sheet1!$A$2:$Q$1536,16,FALSE)</f>
        <v>8721.7544335317343</v>
      </c>
      <c r="U519" s="27">
        <f t="shared" si="25"/>
        <v>0.79361950468592601</v>
      </c>
      <c r="V519" s="19">
        <f>VLOOKUP(A519,[1]Sheet1!$A$2:$Q$1536,17,FALSE)</f>
        <v>1545.571166992188</v>
      </c>
      <c r="W519" s="27">
        <f t="shared" si="26"/>
        <v>-0.16461799911999656</v>
      </c>
    </row>
    <row r="520" spans="1:23" x14ac:dyDescent="0.3">
      <c r="A520" s="4" t="s">
        <v>1292</v>
      </c>
      <c r="B520" s="5">
        <v>2016</v>
      </c>
      <c r="C520" s="5" t="s">
        <v>636</v>
      </c>
      <c r="D520" s="15" t="s">
        <v>1286</v>
      </c>
      <c r="E520" s="6">
        <v>97577</v>
      </c>
      <c r="F520" s="5" t="s">
        <v>32</v>
      </c>
      <c r="G520" s="5" t="s">
        <v>25</v>
      </c>
      <c r="H520" s="5" t="s">
        <v>18</v>
      </c>
      <c r="I520" s="5" t="s">
        <v>17</v>
      </c>
      <c r="J520" s="7">
        <v>45384</v>
      </c>
      <c r="K520" s="5" t="s">
        <v>17</v>
      </c>
      <c r="L520" s="8">
        <v>44444</v>
      </c>
      <c r="M520" s="19">
        <v>264</v>
      </c>
      <c r="N520" s="19">
        <v>314</v>
      </c>
      <c r="O520" s="24">
        <v>3800</v>
      </c>
      <c r="P520" s="24">
        <v>7200</v>
      </c>
      <c r="Q520" t="s">
        <v>1983</v>
      </c>
      <c r="R520" s="19">
        <f>VLOOKUP(A520,[1]Sheet1!$A$2:$Q$1536,15,FALSE)</f>
        <v>2782.667236328125</v>
      </c>
      <c r="S520" s="27">
        <f t="shared" si="24"/>
        <v>-1.5874455651768038</v>
      </c>
      <c r="T520" s="19">
        <f>VLOOKUP(A520,[1]Sheet1!$A$2:$Q$1536,16,FALSE)</f>
        <v>9064.6232746384158</v>
      </c>
      <c r="U520" s="27">
        <f t="shared" si="25"/>
        <v>0.20570333902958529</v>
      </c>
      <c r="V520" s="19">
        <f>VLOOKUP(A520,[1]Sheet1!$A$2:$Q$1536,17,FALSE)</f>
        <v>2601.28369140625</v>
      </c>
      <c r="W520" s="27">
        <f t="shared" si="26"/>
        <v>-1.7678641986594283</v>
      </c>
    </row>
    <row r="521" spans="1:23" x14ac:dyDescent="0.3">
      <c r="A521" s="4" t="s">
        <v>1002</v>
      </c>
      <c r="B521" s="5">
        <v>2017</v>
      </c>
      <c r="C521" s="5" t="s">
        <v>237</v>
      </c>
      <c r="D521" s="15" t="s">
        <v>238</v>
      </c>
      <c r="E521" s="6">
        <v>186530</v>
      </c>
      <c r="F521" s="5" t="s">
        <v>42</v>
      </c>
      <c r="G521" s="5" t="s">
        <v>25</v>
      </c>
      <c r="H521" s="5" t="s">
        <v>18</v>
      </c>
      <c r="I521" s="5" t="s">
        <v>17</v>
      </c>
      <c r="J521" s="7">
        <v>45568</v>
      </c>
      <c r="K521" s="5" t="s">
        <v>17</v>
      </c>
      <c r="L521" s="8">
        <v>44067</v>
      </c>
      <c r="M521" s="19">
        <v>235</v>
      </c>
      <c r="N521" s="19">
        <v>285</v>
      </c>
      <c r="O521" s="24">
        <v>0</v>
      </c>
      <c r="P521" s="24">
        <v>10000</v>
      </c>
      <c r="Q521" t="s">
        <v>1983</v>
      </c>
      <c r="R521" s="19">
        <f>VLOOKUP(A521,[1]Sheet1!$A$2:$Q$1536,15,FALSE)</f>
        <v>2995.87841796875</v>
      </c>
      <c r="S521" s="27">
        <f t="shared" si="24"/>
        <v>-2.3379191692232117</v>
      </c>
      <c r="T521" s="19">
        <f>VLOOKUP(A521,[1]Sheet1!$A$2:$Q$1536,16,FALSE)</f>
        <v>9329.2772548248558</v>
      </c>
      <c r="U521" s="27">
        <f t="shared" si="25"/>
        <v>-7.1894395123509064E-2</v>
      </c>
      <c r="V521" s="19">
        <f>VLOOKUP(A521,[1]Sheet1!$A$2:$Q$1536,17,FALSE)</f>
        <v>2903.884765625</v>
      </c>
      <c r="W521" s="27">
        <f t="shared" si="26"/>
        <v>-2.4436628196738073</v>
      </c>
    </row>
    <row r="522" spans="1:23" x14ac:dyDescent="0.3">
      <c r="A522" s="4" t="s">
        <v>1768</v>
      </c>
      <c r="B522" s="5">
        <v>2019</v>
      </c>
      <c r="C522" s="5" t="s">
        <v>1086</v>
      </c>
      <c r="D522" s="15" t="s">
        <v>1758</v>
      </c>
      <c r="E522" s="6">
        <v>94701</v>
      </c>
      <c r="F522" s="5" t="s">
        <v>32</v>
      </c>
      <c r="G522" s="5" t="s">
        <v>33</v>
      </c>
      <c r="H522" s="5" t="s">
        <v>17</v>
      </c>
      <c r="I522" s="5" t="s">
        <v>18</v>
      </c>
      <c r="J522" s="7">
        <v>45412</v>
      </c>
      <c r="K522" s="5" t="s">
        <v>17</v>
      </c>
      <c r="L522" s="8">
        <v>43605</v>
      </c>
      <c r="M522" s="19">
        <v>264</v>
      </c>
      <c r="N522" s="19">
        <v>314</v>
      </c>
      <c r="O522" s="24">
        <v>2100</v>
      </c>
      <c r="P522" s="24">
        <v>11200</v>
      </c>
      <c r="Q522" t="s">
        <v>1983</v>
      </c>
      <c r="R522" s="19">
        <f>VLOOKUP(A522,[1]Sheet1!$A$2:$Q$1536,15,FALSE)</f>
        <v>3918.839111328125</v>
      </c>
      <c r="S522" s="27">
        <f t="shared" si="24"/>
        <v>-1.8579892365635375</v>
      </c>
      <c r="T522" s="19">
        <f>VLOOKUP(A522,[1]Sheet1!$A$2:$Q$1536,16,FALSE)</f>
        <v>8818.3436868706594</v>
      </c>
      <c r="U522" s="27">
        <f t="shared" si="25"/>
        <v>-0.27007977889037255</v>
      </c>
      <c r="V522" s="19">
        <f>VLOOKUP(A522,[1]Sheet1!$A$2:$Q$1536,17,FALSE)</f>
        <v>3878.453125</v>
      </c>
      <c r="W522" s="27">
        <f t="shared" si="26"/>
        <v>-1.8877492234742428</v>
      </c>
    </row>
    <row r="523" spans="1:23" x14ac:dyDescent="0.3">
      <c r="A523" s="4" t="s">
        <v>1709</v>
      </c>
      <c r="B523" s="5">
        <v>2015</v>
      </c>
      <c r="C523" s="5" t="s">
        <v>1089</v>
      </c>
      <c r="D523" s="15" t="s">
        <v>1328</v>
      </c>
      <c r="E523" s="6">
        <v>154058</v>
      </c>
      <c r="F523" s="5" t="s">
        <v>42</v>
      </c>
      <c r="G523" s="5" t="s">
        <v>25</v>
      </c>
      <c r="H523" s="5" t="s">
        <v>18</v>
      </c>
      <c r="I523" s="5" t="s">
        <v>17</v>
      </c>
      <c r="J523" s="7">
        <v>45736</v>
      </c>
      <c r="K523" s="5" t="s">
        <v>17</v>
      </c>
      <c r="L523" s="8">
        <v>44067</v>
      </c>
      <c r="M523" s="19">
        <v>235</v>
      </c>
      <c r="N523" s="19">
        <v>285</v>
      </c>
      <c r="O523" s="24">
        <v>0</v>
      </c>
      <c r="P523" s="24">
        <v>6200</v>
      </c>
      <c r="Q523" t="s">
        <v>1983</v>
      </c>
      <c r="R523" s="19">
        <f>VLOOKUP(A523,[1]Sheet1!$A$2:$Q$1536,15,FALSE)</f>
        <v>940.4462890625</v>
      </c>
      <c r="S523" s="27">
        <f t="shared" si="24"/>
        <v>-5.5926146682768838</v>
      </c>
      <c r="T523" s="19">
        <f>VLOOKUP(A523,[1]Sheet1!$A$2:$Q$1536,16,FALSE)</f>
        <v>8733.8498405443443</v>
      </c>
      <c r="U523" s="27">
        <f t="shared" si="25"/>
        <v>0.29011831973360558</v>
      </c>
      <c r="V523" s="19">
        <f>VLOOKUP(A523,[1]Sheet1!$A$2:$Q$1536,17,FALSE)</f>
        <v>1088.946655273438</v>
      </c>
      <c r="W523" s="27">
        <f t="shared" si="26"/>
        <v>-4.6935755025053645</v>
      </c>
    </row>
    <row r="524" spans="1:23" x14ac:dyDescent="0.3">
      <c r="A524" s="4" t="s">
        <v>542</v>
      </c>
      <c r="B524" s="5">
        <v>2015</v>
      </c>
      <c r="C524" s="5" t="s">
        <v>391</v>
      </c>
      <c r="D524" s="15" t="s">
        <v>543</v>
      </c>
      <c r="E524" s="6">
        <v>80125</v>
      </c>
      <c r="F524" s="5" t="s">
        <v>164</v>
      </c>
      <c r="G524" s="5" t="s">
        <v>28</v>
      </c>
      <c r="H524" s="5" t="s">
        <v>17</v>
      </c>
      <c r="I524" s="5" t="s">
        <v>18</v>
      </c>
      <c r="J524" s="7">
        <v>45566</v>
      </c>
      <c r="K524" s="5" t="s">
        <v>17</v>
      </c>
      <c r="L524" s="8">
        <v>43612</v>
      </c>
      <c r="M524" s="19">
        <v>264</v>
      </c>
      <c r="N524" s="19">
        <v>314</v>
      </c>
      <c r="O524" s="24">
        <v>13800</v>
      </c>
      <c r="P524" s="24">
        <v>19500</v>
      </c>
      <c r="Q524" t="s">
        <v>1983</v>
      </c>
      <c r="R524" s="19">
        <f>VLOOKUP(A524,[1]Sheet1!$A$2:$Q$1536,15,FALSE)</f>
        <v>8851.517578125</v>
      </c>
      <c r="S524" s="27">
        <f t="shared" si="24"/>
        <v>-1.2030120629473626</v>
      </c>
      <c r="T524" s="19">
        <f>VLOOKUP(A524,[1]Sheet1!$A$2:$Q$1536,16,FALSE)</f>
        <v>9779.204672538086</v>
      </c>
      <c r="U524" s="27">
        <f t="shared" si="25"/>
        <v>-0.99402718860765882</v>
      </c>
      <c r="V524" s="19">
        <f>VLOOKUP(A524,[1]Sheet1!$A$2:$Q$1536,17,FALSE)</f>
        <v>8951.8310546875</v>
      </c>
      <c r="W524" s="27">
        <f t="shared" si="26"/>
        <v>-1.1783252924315524</v>
      </c>
    </row>
    <row r="525" spans="1:23" x14ac:dyDescent="0.3">
      <c r="A525" s="4" t="s">
        <v>655</v>
      </c>
      <c r="B525" s="5">
        <v>2016</v>
      </c>
      <c r="C525" s="5" t="s">
        <v>636</v>
      </c>
      <c r="D525" s="15" t="s">
        <v>641</v>
      </c>
      <c r="E525" s="6">
        <v>141477</v>
      </c>
      <c r="F525" s="5" t="s">
        <v>81</v>
      </c>
      <c r="G525" s="5" t="s">
        <v>25</v>
      </c>
      <c r="H525" s="5" t="s">
        <v>18</v>
      </c>
      <c r="I525" s="5" t="s">
        <v>17</v>
      </c>
      <c r="J525" s="7">
        <v>45631</v>
      </c>
      <c r="K525" s="5" t="s">
        <v>17</v>
      </c>
      <c r="L525" s="8">
        <v>44451</v>
      </c>
      <c r="M525" s="19">
        <v>264</v>
      </c>
      <c r="N525" s="19">
        <v>314</v>
      </c>
      <c r="O525" s="24">
        <v>0</v>
      </c>
      <c r="P525" s="24">
        <v>10100</v>
      </c>
      <c r="Q525" t="s">
        <v>1983</v>
      </c>
      <c r="R525" s="19">
        <f>VLOOKUP(A525,[1]Sheet1!$A$2:$Q$1536,15,FALSE)</f>
        <v>1672.55029296875</v>
      </c>
      <c r="S525" s="27">
        <f t="shared" si="24"/>
        <v>-5.0386823896773008</v>
      </c>
      <c r="T525" s="19">
        <f>VLOOKUP(A525,[1]Sheet1!$A$2:$Q$1536,16,FALSE)</f>
        <v>8916.0737192440647</v>
      </c>
      <c r="U525" s="27">
        <f t="shared" si="25"/>
        <v>-0.13278560923073129</v>
      </c>
      <c r="V525" s="19">
        <f>VLOOKUP(A525,[1]Sheet1!$A$2:$Q$1536,17,FALSE)</f>
        <v>1601.173217773438</v>
      </c>
      <c r="W525" s="27">
        <f t="shared" si="26"/>
        <v>-5.3078746808199018</v>
      </c>
    </row>
    <row r="526" spans="1:23" x14ac:dyDescent="0.3">
      <c r="A526" s="4" t="s">
        <v>466</v>
      </c>
      <c r="B526" s="5">
        <v>2014</v>
      </c>
      <c r="C526" s="5" t="s">
        <v>391</v>
      </c>
      <c r="D526" s="15" t="s">
        <v>413</v>
      </c>
      <c r="E526" s="6">
        <v>119388</v>
      </c>
      <c r="F526" s="5" t="s">
        <v>32</v>
      </c>
      <c r="G526" s="5" t="s">
        <v>25</v>
      </c>
      <c r="H526" s="5" t="s">
        <v>18</v>
      </c>
      <c r="I526" s="5" t="s">
        <v>17</v>
      </c>
      <c r="J526" s="7">
        <v>45720</v>
      </c>
      <c r="K526" s="5" t="s">
        <v>17</v>
      </c>
      <c r="L526" s="8">
        <v>43612</v>
      </c>
      <c r="M526" s="19">
        <v>264</v>
      </c>
      <c r="N526" s="19">
        <v>314</v>
      </c>
      <c r="O526" s="24">
        <v>2100</v>
      </c>
      <c r="P526" s="24">
        <v>2300</v>
      </c>
      <c r="Q526" t="s">
        <v>1983</v>
      </c>
      <c r="R526" s="19">
        <f>VLOOKUP(A526,[1]Sheet1!$A$2:$Q$1536,15,FALSE)</f>
        <v>1992.213623046875</v>
      </c>
      <c r="S526" s="27">
        <f t="shared" si="24"/>
        <v>-0.15449466532730513</v>
      </c>
      <c r="T526" s="19">
        <f>VLOOKUP(A526,[1]Sheet1!$A$2:$Q$1536,16,FALSE)</f>
        <v>9243.3362929507039</v>
      </c>
      <c r="U526" s="27">
        <f t="shared" si="25"/>
        <v>0.7511720955393496</v>
      </c>
      <c r="V526" s="19">
        <f>VLOOKUP(A526,[1]Sheet1!$A$2:$Q$1536,17,FALSE)</f>
        <v>1951.93798828125</v>
      </c>
      <c r="W526" s="27">
        <f t="shared" si="26"/>
        <v>-0.17831612162291632</v>
      </c>
    </row>
    <row r="527" spans="1:23" x14ac:dyDescent="0.3">
      <c r="A527" s="4" t="s">
        <v>1444</v>
      </c>
      <c r="B527" s="5">
        <v>2014</v>
      </c>
      <c r="C527" s="5" t="s">
        <v>1086</v>
      </c>
      <c r="D527" s="15" t="s">
        <v>1439</v>
      </c>
      <c r="E527" s="6">
        <v>98806</v>
      </c>
      <c r="F527" s="5" t="s">
        <v>32</v>
      </c>
      <c r="G527" s="5" t="s">
        <v>22</v>
      </c>
      <c r="H527" s="5" t="s">
        <v>18</v>
      </c>
      <c r="I527" s="5" t="s">
        <v>17</v>
      </c>
      <c r="J527" s="7">
        <v>45384</v>
      </c>
      <c r="K527" s="5" t="s">
        <v>17</v>
      </c>
      <c r="L527" s="8">
        <v>43612</v>
      </c>
      <c r="M527" s="19">
        <v>264</v>
      </c>
      <c r="N527" s="19">
        <v>314</v>
      </c>
      <c r="O527" s="24">
        <v>1100</v>
      </c>
      <c r="P527" s="24">
        <v>3800</v>
      </c>
      <c r="Q527" t="s">
        <v>1983</v>
      </c>
      <c r="R527" s="19">
        <f>VLOOKUP(A527,[1]Sheet1!$A$2:$Q$1536,15,FALSE)</f>
        <v>1996.314208984375</v>
      </c>
      <c r="S527" s="27">
        <f t="shared" si="24"/>
        <v>-0.90350796628014296</v>
      </c>
      <c r="T527" s="19">
        <f>VLOOKUP(A527,[1]Sheet1!$A$2:$Q$1536,16,FALSE)</f>
        <v>8739.309059658035</v>
      </c>
      <c r="U527" s="27">
        <f t="shared" si="25"/>
        <v>0.5651830168655585</v>
      </c>
      <c r="V527" s="19">
        <f>VLOOKUP(A527,[1]Sheet1!$A$2:$Q$1536,17,FALSE)</f>
        <v>1931.272583007812</v>
      </c>
      <c r="W527" s="27">
        <f t="shared" si="26"/>
        <v>-0.96761453221781113</v>
      </c>
    </row>
    <row r="528" spans="1:23" x14ac:dyDescent="0.3">
      <c r="A528" s="4" t="s">
        <v>377</v>
      </c>
      <c r="B528" s="5">
        <v>2015</v>
      </c>
      <c r="C528" s="5" t="s">
        <v>237</v>
      </c>
      <c r="D528" s="15" t="s">
        <v>378</v>
      </c>
      <c r="E528" s="6">
        <v>174650</v>
      </c>
      <c r="F528" s="5" t="s">
        <v>57</v>
      </c>
      <c r="G528" s="5" t="s">
        <v>25</v>
      </c>
      <c r="H528" s="5" t="s">
        <v>18</v>
      </c>
      <c r="I528" s="5" t="s">
        <v>17</v>
      </c>
      <c r="J528" s="7">
        <v>45715</v>
      </c>
      <c r="K528" s="5" t="s">
        <v>17</v>
      </c>
      <c r="L528" s="8">
        <v>44113</v>
      </c>
      <c r="M528" s="19">
        <v>264</v>
      </c>
      <c r="N528" s="19">
        <v>314</v>
      </c>
      <c r="O528" s="24">
        <v>0</v>
      </c>
      <c r="P528" s="24">
        <v>18300</v>
      </c>
      <c r="Q528" t="s">
        <v>1983</v>
      </c>
      <c r="R528" s="19">
        <f>VLOOKUP(A528,[1]Sheet1!$A$2:$Q$1536,15,FALSE)</f>
        <v>2107.975830078125</v>
      </c>
      <c r="S528" s="27">
        <f t="shared" si="24"/>
        <v>-7.6813139595256992</v>
      </c>
      <c r="T528" s="19">
        <f>VLOOKUP(A528,[1]Sheet1!$A$2:$Q$1536,16,FALSE)</f>
        <v>9190.1972929737076</v>
      </c>
      <c r="U528" s="27">
        <f t="shared" si="25"/>
        <v>-0.9912521370995071</v>
      </c>
      <c r="V528" s="19">
        <f>VLOOKUP(A528,[1]Sheet1!$A$2:$Q$1536,17,FALSE)</f>
        <v>2045.358154296875</v>
      </c>
      <c r="W528" s="27">
        <f t="shared" si="26"/>
        <v>-7.9470882943192516</v>
      </c>
    </row>
    <row r="529" spans="1:23" x14ac:dyDescent="0.3">
      <c r="A529" s="4" t="s">
        <v>1782</v>
      </c>
      <c r="B529" s="5">
        <v>2016</v>
      </c>
      <c r="C529" s="5" t="s">
        <v>1086</v>
      </c>
      <c r="D529" s="15" t="s">
        <v>1758</v>
      </c>
      <c r="E529" s="6">
        <v>108145</v>
      </c>
      <c r="F529" s="5" t="s">
        <v>24</v>
      </c>
      <c r="G529" s="5" t="s">
        <v>25</v>
      </c>
      <c r="H529" s="5" t="s">
        <v>18</v>
      </c>
      <c r="I529" s="5" t="s">
        <v>17</v>
      </c>
      <c r="J529" s="7">
        <v>45589</v>
      </c>
      <c r="K529" s="5" t="s">
        <v>17</v>
      </c>
      <c r="L529" s="8">
        <v>43612</v>
      </c>
      <c r="M529" s="19">
        <v>264</v>
      </c>
      <c r="N529" s="19">
        <v>314</v>
      </c>
      <c r="O529" s="24">
        <v>2400</v>
      </c>
      <c r="P529" s="24">
        <v>5900</v>
      </c>
      <c r="Q529" t="s">
        <v>1983</v>
      </c>
      <c r="R529" s="19">
        <f>VLOOKUP(A529,[1]Sheet1!$A$2:$Q$1536,15,FALSE)</f>
        <v>1972.948608398438</v>
      </c>
      <c r="S529" s="27">
        <f t="shared" si="24"/>
        <v>-1.9904478884472252</v>
      </c>
      <c r="T529" s="19">
        <f>VLOOKUP(A529,[1]Sheet1!$A$2:$Q$1536,16,FALSE)</f>
        <v>8680.376535382502</v>
      </c>
      <c r="U529" s="27">
        <f t="shared" si="25"/>
        <v>0.32030598258604048</v>
      </c>
      <c r="V529" s="19">
        <f>VLOOKUP(A529,[1]Sheet1!$A$2:$Q$1536,17,FALSE)</f>
        <v>1931.272583007812</v>
      </c>
      <c r="W529" s="27">
        <f t="shared" si="26"/>
        <v>-2.0549804579171278</v>
      </c>
    </row>
    <row r="530" spans="1:23" x14ac:dyDescent="0.3">
      <c r="A530" s="4" t="s">
        <v>1934</v>
      </c>
      <c r="B530" s="5">
        <v>2016</v>
      </c>
      <c r="C530" s="5" t="s">
        <v>684</v>
      </c>
      <c r="D530" s="15" t="s">
        <v>1182</v>
      </c>
      <c r="E530" s="6">
        <v>97187</v>
      </c>
      <c r="F530" s="5" t="s">
        <v>73</v>
      </c>
      <c r="G530" s="5" t="s">
        <v>25</v>
      </c>
      <c r="H530" s="5" t="s">
        <v>18</v>
      </c>
      <c r="I530" s="5" t="s">
        <v>17</v>
      </c>
      <c r="J530" s="7">
        <v>45678</v>
      </c>
      <c r="K530" s="5" t="s">
        <v>17</v>
      </c>
      <c r="L530" s="8">
        <v>44128</v>
      </c>
      <c r="M530" s="19">
        <v>264</v>
      </c>
      <c r="N530" s="19">
        <v>314</v>
      </c>
      <c r="O530" s="24">
        <v>2900</v>
      </c>
      <c r="P530" s="24">
        <v>7300</v>
      </c>
      <c r="Q530" t="s">
        <v>1983</v>
      </c>
      <c r="R530" s="19">
        <f>VLOOKUP(A530,[1]Sheet1!$A$2:$Q$1536,15,FALSE)</f>
        <v>2057.314208984375</v>
      </c>
      <c r="S530" s="27">
        <f t="shared" si="24"/>
        <v>-2.5483155504981214</v>
      </c>
      <c r="T530" s="19">
        <f>VLOOKUP(A530,[1]Sheet1!$A$2:$Q$1536,16,FALSE)</f>
        <v>8989.1892088000695</v>
      </c>
      <c r="U530" s="27">
        <f t="shared" si="25"/>
        <v>0.18791341127255598</v>
      </c>
      <c r="V530" s="19">
        <f>VLOOKUP(A530,[1]Sheet1!$A$2:$Q$1536,17,FALSE)</f>
        <v>1967.080444335938</v>
      </c>
      <c r="W530" s="27">
        <f t="shared" si="26"/>
        <v>-2.7110836117657557</v>
      </c>
    </row>
    <row r="531" spans="1:23" x14ac:dyDescent="0.3">
      <c r="A531" s="4" t="s">
        <v>1159</v>
      </c>
      <c r="B531" s="5">
        <v>2019</v>
      </c>
      <c r="C531" s="5" t="s">
        <v>636</v>
      </c>
      <c r="D531" s="15" t="s">
        <v>1142</v>
      </c>
      <c r="E531" s="6">
        <v>99999</v>
      </c>
      <c r="F531" s="5" t="s">
        <v>251</v>
      </c>
      <c r="G531" s="5" t="s">
        <v>134</v>
      </c>
      <c r="H531" s="5" t="s">
        <v>18</v>
      </c>
      <c r="I531" s="5" t="s">
        <v>17</v>
      </c>
      <c r="J531" s="7">
        <v>45666</v>
      </c>
      <c r="K531" s="5" t="s">
        <v>17</v>
      </c>
      <c r="L531" s="8">
        <v>44310</v>
      </c>
      <c r="M531" s="19">
        <v>235</v>
      </c>
      <c r="N531" s="19">
        <v>285</v>
      </c>
      <c r="O531" s="24">
        <v>800</v>
      </c>
      <c r="P531" s="24">
        <v>3200</v>
      </c>
      <c r="Q531" t="s">
        <v>1983</v>
      </c>
      <c r="R531" s="19">
        <f>VLOOKUP(A531,[1]Sheet1!$A$2:$Q$1536,15,FALSE)</f>
        <v>2614.08837890625</v>
      </c>
      <c r="S531" s="27">
        <f t="shared" si="24"/>
        <v>-0.22413611789931098</v>
      </c>
      <c r="T531" s="19">
        <f>VLOOKUP(A531,[1]Sheet1!$A$2:$Q$1536,16,FALSE)</f>
        <v>8854.9488998526467</v>
      </c>
      <c r="U531" s="27">
        <f t="shared" si="25"/>
        <v>0.63862016187882797</v>
      </c>
      <c r="V531" s="19">
        <f>VLOOKUP(A531,[1]Sheet1!$A$2:$Q$1536,17,FALSE)</f>
        <v>2498.12890625</v>
      </c>
      <c r="W531" s="27">
        <f t="shared" si="26"/>
        <v>-0.28095871754015894</v>
      </c>
    </row>
    <row r="532" spans="1:23" x14ac:dyDescent="0.3">
      <c r="A532" s="4" t="s">
        <v>1876</v>
      </c>
      <c r="B532" s="5">
        <v>2017</v>
      </c>
      <c r="C532" s="5" t="s">
        <v>1401</v>
      </c>
      <c r="D532" s="15" t="s">
        <v>1877</v>
      </c>
      <c r="E532" s="6">
        <v>147111</v>
      </c>
      <c r="F532" s="5" t="s">
        <v>36</v>
      </c>
      <c r="G532" s="5" t="s">
        <v>25</v>
      </c>
      <c r="H532" s="5" t="s">
        <v>18</v>
      </c>
      <c r="I532" s="5" t="s">
        <v>17</v>
      </c>
      <c r="J532" s="7">
        <v>45678</v>
      </c>
      <c r="K532" s="5" t="s">
        <v>17</v>
      </c>
      <c r="L532" s="8">
        <v>44310</v>
      </c>
      <c r="M532" s="19">
        <v>235</v>
      </c>
      <c r="N532" s="19">
        <v>285</v>
      </c>
      <c r="O532" s="24">
        <v>4000</v>
      </c>
      <c r="P532" s="24">
        <v>9400</v>
      </c>
      <c r="Q532" t="s">
        <v>1983</v>
      </c>
      <c r="R532" s="19">
        <f>VLOOKUP(A532,[1]Sheet1!$A$2:$Q$1536,15,FALSE)</f>
        <v>2879.905517578125</v>
      </c>
      <c r="S532" s="27">
        <f t="shared" si="24"/>
        <v>-2.2639959688347657</v>
      </c>
      <c r="T532" s="19">
        <f>VLOOKUP(A532,[1]Sheet1!$A$2:$Q$1536,16,FALSE)</f>
        <v>9450.9768347761528</v>
      </c>
      <c r="U532" s="27">
        <f t="shared" si="25"/>
        <v>5.3938164982667864E-3</v>
      </c>
      <c r="V532" s="19">
        <f>VLOOKUP(A532,[1]Sheet1!$A$2:$Q$1536,17,FALSE)</f>
        <v>2804.68310546875</v>
      </c>
      <c r="W532" s="27">
        <f t="shared" si="26"/>
        <v>-2.351537284790314</v>
      </c>
    </row>
    <row r="533" spans="1:23" x14ac:dyDescent="0.3">
      <c r="A533" s="4" t="s">
        <v>29</v>
      </c>
      <c r="B533" s="5">
        <v>2014</v>
      </c>
      <c r="C533" s="5" t="s">
        <v>30</v>
      </c>
      <c r="D533" s="15" t="s">
        <v>31</v>
      </c>
      <c r="E533" s="6">
        <v>140572</v>
      </c>
      <c r="F533" s="5" t="s">
        <v>32</v>
      </c>
      <c r="G533" s="5" t="s">
        <v>33</v>
      </c>
      <c r="H533" s="5" t="s">
        <v>17</v>
      </c>
      <c r="I533" s="5" t="s">
        <v>18</v>
      </c>
      <c r="J533" s="7">
        <v>45484</v>
      </c>
      <c r="K533" s="5" t="s">
        <v>17</v>
      </c>
      <c r="L533" s="8">
        <v>44113</v>
      </c>
      <c r="M533" s="19">
        <v>264</v>
      </c>
      <c r="N533" s="19">
        <v>314</v>
      </c>
      <c r="O533" s="24">
        <v>3100</v>
      </c>
      <c r="P533" s="24">
        <v>8000</v>
      </c>
      <c r="Q533" t="s">
        <v>1983</v>
      </c>
      <c r="R533" s="19">
        <f>VLOOKUP(A533,[1]Sheet1!$A$2:$Q$1536,15,FALSE)</f>
        <v>2631.20849609375</v>
      </c>
      <c r="S533" s="27">
        <f t="shared" si="24"/>
        <v>-2.0404280055634785</v>
      </c>
      <c r="T533" s="19">
        <f>VLOOKUP(A533,[1]Sheet1!$A$2:$Q$1536,16,FALSE)</f>
        <v>9039.3269783441665</v>
      </c>
      <c r="U533" s="27">
        <f t="shared" si="25"/>
        <v>0.11497835854750234</v>
      </c>
      <c r="V533" s="19">
        <f>VLOOKUP(A533,[1]Sheet1!$A$2:$Q$1536,17,FALSE)</f>
        <v>2498.12890625</v>
      </c>
      <c r="W533" s="27">
        <f t="shared" si="26"/>
        <v>-2.2023967938503972</v>
      </c>
    </row>
    <row r="534" spans="1:23" x14ac:dyDescent="0.3">
      <c r="A534" s="4" t="s">
        <v>19</v>
      </c>
      <c r="B534" s="5">
        <v>2014</v>
      </c>
      <c r="C534" s="5" t="s">
        <v>13</v>
      </c>
      <c r="D534" s="15" t="s">
        <v>20</v>
      </c>
      <c r="E534" s="6">
        <v>201084</v>
      </c>
      <c r="F534" s="5" t="s">
        <v>21</v>
      </c>
      <c r="G534" s="5" t="s">
        <v>22</v>
      </c>
      <c r="H534" s="5" t="s">
        <v>18</v>
      </c>
      <c r="I534" s="5" t="s">
        <v>17</v>
      </c>
      <c r="J534" s="7">
        <v>45484</v>
      </c>
      <c r="K534" s="5" t="s">
        <v>17</v>
      </c>
      <c r="L534" s="8">
        <v>44113</v>
      </c>
      <c r="M534" s="19">
        <v>264</v>
      </c>
      <c r="N534" s="19">
        <v>314</v>
      </c>
      <c r="O534" s="24">
        <v>700</v>
      </c>
      <c r="P534" s="24">
        <v>6600</v>
      </c>
      <c r="Q534" t="s">
        <v>1983</v>
      </c>
      <c r="R534" s="19">
        <f>VLOOKUP(A534,[1]Sheet1!$A$2:$Q$1536,15,FALSE)</f>
        <v>1635.01123046875</v>
      </c>
      <c r="S534" s="27">
        <f t="shared" si="24"/>
        <v>-3.0366695206783447</v>
      </c>
      <c r="T534" s="19">
        <f>VLOOKUP(A534,[1]Sheet1!$A$2:$Q$1536,16,FALSE)</f>
        <v>9121.7032732314037</v>
      </c>
      <c r="U534" s="27">
        <f t="shared" si="25"/>
        <v>0.27645092124752696</v>
      </c>
      <c r="V534" s="19">
        <f>VLOOKUP(A534,[1]Sheet1!$A$2:$Q$1536,17,FALSE)</f>
        <v>1540.495727539062</v>
      </c>
      <c r="W534" s="27">
        <f t="shared" si="26"/>
        <v>-3.2843351539465044</v>
      </c>
    </row>
    <row r="535" spans="1:23" x14ac:dyDescent="0.3">
      <c r="A535" s="4" t="s">
        <v>317</v>
      </c>
      <c r="B535" s="5">
        <v>2017</v>
      </c>
      <c r="C535" s="5" t="s">
        <v>237</v>
      </c>
      <c r="D535" s="15" t="s">
        <v>306</v>
      </c>
      <c r="E535" s="6">
        <v>134370</v>
      </c>
      <c r="F535" s="5" t="s">
        <v>24</v>
      </c>
      <c r="G535" s="5" t="s">
        <v>25</v>
      </c>
      <c r="H535" s="5" t="s">
        <v>18</v>
      </c>
      <c r="I535" s="5" t="s">
        <v>17</v>
      </c>
      <c r="J535" s="7">
        <v>45736</v>
      </c>
      <c r="K535" s="5" t="s">
        <v>17</v>
      </c>
      <c r="L535" s="8">
        <v>44067</v>
      </c>
      <c r="M535" s="19">
        <v>235</v>
      </c>
      <c r="N535" s="19">
        <v>285</v>
      </c>
      <c r="O535" s="24">
        <v>0</v>
      </c>
      <c r="P535" s="24">
        <v>3500</v>
      </c>
      <c r="Q535" t="s">
        <v>1983</v>
      </c>
      <c r="R535" s="19">
        <f>VLOOKUP(A535,[1]Sheet1!$A$2:$Q$1536,15,FALSE)</f>
        <v>3030.191162109375</v>
      </c>
      <c r="S535" s="27">
        <f t="shared" si="24"/>
        <v>-0.15504264013613647</v>
      </c>
      <c r="T535" s="19">
        <f>VLOOKUP(A535,[1]Sheet1!$A$2:$Q$1536,16,FALSE)</f>
        <v>9370.8700861595698</v>
      </c>
      <c r="U535" s="27">
        <f t="shared" si="25"/>
        <v>0.62650213183839021</v>
      </c>
      <c r="V535" s="19">
        <f>VLOOKUP(A535,[1]Sheet1!$A$2:$Q$1536,17,FALSE)</f>
        <v>2926.04833984375</v>
      </c>
      <c r="W535" s="27">
        <f t="shared" si="26"/>
        <v>-0.19615248741478372</v>
      </c>
    </row>
    <row r="536" spans="1:23" x14ac:dyDescent="0.3">
      <c r="A536" s="4" t="s">
        <v>810</v>
      </c>
      <c r="B536" s="5">
        <v>2017</v>
      </c>
      <c r="C536" s="5" t="s">
        <v>559</v>
      </c>
      <c r="D536" s="15" t="s">
        <v>760</v>
      </c>
      <c r="E536" s="6">
        <v>87729</v>
      </c>
      <c r="F536" s="5" t="s">
        <v>73</v>
      </c>
      <c r="G536" s="5" t="s">
        <v>25</v>
      </c>
      <c r="H536" s="5" t="s">
        <v>18</v>
      </c>
      <c r="I536" s="5" t="s">
        <v>17</v>
      </c>
      <c r="J536" s="7">
        <v>45566</v>
      </c>
      <c r="K536" s="5" t="s">
        <v>17</v>
      </c>
      <c r="L536" s="8">
        <v>43608</v>
      </c>
      <c r="M536" s="19">
        <v>264</v>
      </c>
      <c r="N536" s="19">
        <v>314</v>
      </c>
      <c r="O536" s="24">
        <v>5200</v>
      </c>
      <c r="P536" s="24">
        <v>9900</v>
      </c>
      <c r="Q536" t="s">
        <v>1983</v>
      </c>
      <c r="R536" s="19">
        <f>VLOOKUP(A536,[1]Sheet1!$A$2:$Q$1536,15,FALSE)</f>
        <v>6083.19140625</v>
      </c>
      <c r="S536" s="27">
        <f t="shared" si="24"/>
        <v>-0.62743522911814509</v>
      </c>
      <c r="T536" s="19">
        <f>VLOOKUP(A536,[1]Sheet1!$A$2:$Q$1536,16,FALSE)</f>
        <v>10209.340371745009</v>
      </c>
      <c r="U536" s="27">
        <f t="shared" si="25"/>
        <v>3.0299741264492277E-2</v>
      </c>
      <c r="V536" s="19">
        <f>VLOOKUP(A536,[1]Sheet1!$A$2:$Q$1536,17,FALSE)</f>
        <v>5911.77099609375</v>
      </c>
      <c r="W536" s="27">
        <f t="shared" si="26"/>
        <v>-0.674625083843996</v>
      </c>
    </row>
    <row r="537" spans="1:23" x14ac:dyDescent="0.3">
      <c r="A537" s="4" t="s">
        <v>1601</v>
      </c>
      <c r="B537" s="5">
        <v>2018</v>
      </c>
      <c r="C537" s="5" t="s">
        <v>920</v>
      </c>
      <c r="D537" s="15" t="s">
        <v>928</v>
      </c>
      <c r="E537" s="6">
        <v>88425</v>
      </c>
      <c r="F537" s="5" t="s">
        <v>77</v>
      </c>
      <c r="G537" s="5" t="s">
        <v>28</v>
      </c>
      <c r="H537" s="5" t="s">
        <v>17</v>
      </c>
      <c r="I537" s="5" t="s">
        <v>18</v>
      </c>
      <c r="J537" s="7">
        <v>45554</v>
      </c>
      <c r="K537" s="5" t="s">
        <v>17</v>
      </c>
      <c r="L537" s="8">
        <v>44310</v>
      </c>
      <c r="M537" s="19">
        <v>235</v>
      </c>
      <c r="N537" s="19">
        <v>285</v>
      </c>
      <c r="O537" s="24">
        <v>0</v>
      </c>
      <c r="P537" s="24">
        <v>20000</v>
      </c>
      <c r="Q537" t="s">
        <v>1983</v>
      </c>
      <c r="R537" s="19">
        <f>VLOOKUP(A537,[1]Sheet1!$A$2:$Q$1536,15,FALSE)</f>
        <v>12779.142578125</v>
      </c>
      <c r="S537" s="27">
        <f t="shared" si="24"/>
        <v>-0.56505022756655632</v>
      </c>
      <c r="T537" s="19">
        <f>VLOOKUP(A537,[1]Sheet1!$A$2:$Q$1536,16,FALSE)</f>
        <v>9732.3663885247643</v>
      </c>
      <c r="U537" s="27">
        <f t="shared" si="25"/>
        <v>-1.054998671605869</v>
      </c>
      <c r="V537" s="19">
        <f>VLOOKUP(A537,[1]Sheet1!$A$2:$Q$1536,17,FALSE)</f>
        <v>13106.5712890625</v>
      </c>
      <c r="W537" s="27">
        <f t="shared" si="26"/>
        <v>-0.5259521013470625</v>
      </c>
    </row>
    <row r="538" spans="1:23" x14ac:dyDescent="0.3">
      <c r="A538" s="4" t="s">
        <v>1100</v>
      </c>
      <c r="B538" s="5">
        <v>2019</v>
      </c>
      <c r="C538" s="5" t="s">
        <v>1086</v>
      </c>
      <c r="D538" s="15" t="s">
        <v>1093</v>
      </c>
      <c r="E538" s="6">
        <v>101593</v>
      </c>
      <c r="F538" s="5" t="s">
        <v>32</v>
      </c>
      <c r="G538" s="5" t="s">
        <v>22</v>
      </c>
      <c r="H538" s="5" t="s">
        <v>18</v>
      </c>
      <c r="I538" s="5" t="s">
        <v>17</v>
      </c>
      <c r="J538" s="7">
        <v>45734</v>
      </c>
      <c r="K538" s="5" t="s">
        <v>17</v>
      </c>
      <c r="L538" s="8">
        <v>43935</v>
      </c>
      <c r="M538" s="19">
        <v>222</v>
      </c>
      <c r="N538" s="19">
        <v>272</v>
      </c>
      <c r="O538" s="24">
        <v>0</v>
      </c>
      <c r="P538" s="24">
        <v>4700</v>
      </c>
      <c r="Q538" t="s">
        <v>1983</v>
      </c>
      <c r="R538" s="19">
        <f>VLOOKUP(A538,[1]Sheet1!$A$2:$Q$1536,15,FALSE)</f>
        <v>2764.109130859375</v>
      </c>
      <c r="S538" s="27">
        <f t="shared" si="24"/>
        <v>-0.70036701790379274</v>
      </c>
      <c r="T538" s="19">
        <f>VLOOKUP(A538,[1]Sheet1!$A$2:$Q$1536,16,FALSE)</f>
        <v>8720.7978185643751</v>
      </c>
      <c r="U538" s="27">
        <f t="shared" si="25"/>
        <v>0.46105848366362906</v>
      </c>
      <c r="V538" s="19">
        <f>VLOOKUP(A538,[1]Sheet1!$A$2:$Q$1536,17,FALSE)</f>
        <v>2606.359375</v>
      </c>
      <c r="W538" s="27">
        <f t="shared" si="26"/>
        <v>-0.80328163686176235</v>
      </c>
    </row>
    <row r="539" spans="1:23" x14ac:dyDescent="0.3">
      <c r="A539" s="4" t="s">
        <v>981</v>
      </c>
      <c r="B539" s="5">
        <v>2016</v>
      </c>
      <c r="C539" s="5" t="s">
        <v>83</v>
      </c>
      <c r="D539" s="15" t="s">
        <v>965</v>
      </c>
      <c r="E539" s="6">
        <v>121536</v>
      </c>
      <c r="F539" s="5" t="s">
        <v>61</v>
      </c>
      <c r="G539" s="5" t="s">
        <v>22</v>
      </c>
      <c r="H539" s="5" t="s">
        <v>18</v>
      </c>
      <c r="I539" s="5" t="s">
        <v>17</v>
      </c>
      <c r="J539" s="7">
        <v>45664</v>
      </c>
      <c r="K539" s="5" t="s">
        <v>17</v>
      </c>
      <c r="L539" s="8">
        <v>44451</v>
      </c>
      <c r="M539" s="19">
        <v>264</v>
      </c>
      <c r="N539" s="19">
        <v>314</v>
      </c>
      <c r="O539" s="24">
        <v>1000</v>
      </c>
      <c r="P539" s="24">
        <v>3300</v>
      </c>
      <c r="Q539" t="s">
        <v>1983</v>
      </c>
      <c r="R539" s="19">
        <f>VLOOKUP(A539,[1]Sheet1!$A$2:$Q$1536,15,FALSE)</f>
        <v>2810.944580078125</v>
      </c>
      <c r="S539" s="27">
        <f t="shared" si="24"/>
        <v>-0.17398259054551785</v>
      </c>
      <c r="T539" s="19">
        <f>VLOOKUP(A539,[1]Sheet1!$A$2:$Q$1536,16,FALSE)</f>
        <v>8832.2633891340956</v>
      </c>
      <c r="U539" s="27">
        <f t="shared" si="25"/>
        <v>0.62636983810290014</v>
      </c>
      <c r="V539" s="19">
        <f>VLOOKUP(A539,[1]Sheet1!$A$2:$Q$1536,17,FALSE)</f>
        <v>2606.359375</v>
      </c>
      <c r="W539" s="27">
        <f t="shared" si="26"/>
        <v>-0.2661339152433651</v>
      </c>
    </row>
    <row r="540" spans="1:23" x14ac:dyDescent="0.3">
      <c r="A540" s="4" t="s">
        <v>329</v>
      </c>
      <c r="B540" s="5">
        <v>2014</v>
      </c>
      <c r="C540" s="5" t="s">
        <v>237</v>
      </c>
      <c r="D540" s="15" t="s">
        <v>306</v>
      </c>
      <c r="E540" s="6">
        <v>117530</v>
      </c>
      <c r="F540" s="5" t="s">
        <v>15</v>
      </c>
      <c r="G540" s="5" t="s">
        <v>25</v>
      </c>
      <c r="H540" s="5" t="s">
        <v>18</v>
      </c>
      <c r="I540" s="5" t="s">
        <v>17</v>
      </c>
      <c r="J540" s="7">
        <v>45302</v>
      </c>
      <c r="K540" s="5" t="s">
        <v>17</v>
      </c>
      <c r="L540" s="8">
        <v>44307</v>
      </c>
      <c r="M540" s="19">
        <v>235</v>
      </c>
      <c r="N540" s="19">
        <v>285</v>
      </c>
      <c r="O540" s="24">
        <v>0</v>
      </c>
      <c r="P540" s="24">
        <v>2200</v>
      </c>
      <c r="Q540" t="s">
        <v>1983</v>
      </c>
      <c r="R540" s="19">
        <f>VLOOKUP(A540,[1]Sheet1!$A$2:$Q$1536,15,FALSE)</f>
        <v>5986.77001953125</v>
      </c>
      <c r="S540" s="27">
        <f t="shared" si="24"/>
        <v>0.63252304785005675</v>
      </c>
      <c r="T540" s="19">
        <f>VLOOKUP(A540,[1]Sheet1!$A$2:$Q$1536,16,FALSE)</f>
        <v>10026.171032709381</v>
      </c>
      <c r="U540" s="27">
        <f t="shared" si="25"/>
        <v>0.78057425982234696</v>
      </c>
      <c r="V540" s="19">
        <f>VLOOKUP(A540,[1]Sheet1!$A$2:$Q$1536,17,FALSE)</f>
        <v>6015.97509765625</v>
      </c>
      <c r="W540" s="27">
        <f t="shared" si="26"/>
        <v>0.63430699690610537</v>
      </c>
    </row>
    <row r="541" spans="1:23" x14ac:dyDescent="0.3">
      <c r="A541" s="4" t="s">
        <v>503</v>
      </c>
      <c r="B541" s="5">
        <v>2019</v>
      </c>
      <c r="C541" s="5" t="s">
        <v>391</v>
      </c>
      <c r="D541" s="15" t="s">
        <v>394</v>
      </c>
      <c r="E541" s="6">
        <v>87657</v>
      </c>
      <c r="F541" s="5" t="s">
        <v>87</v>
      </c>
      <c r="G541" s="5" t="s">
        <v>28</v>
      </c>
      <c r="H541" s="5" t="s">
        <v>17</v>
      </c>
      <c r="I541" s="5" t="s">
        <v>18</v>
      </c>
      <c r="J541" s="7">
        <v>45426</v>
      </c>
      <c r="K541" s="5" t="s">
        <v>17</v>
      </c>
      <c r="L541" s="8">
        <v>44081</v>
      </c>
      <c r="M541" s="19">
        <v>325</v>
      </c>
      <c r="N541" s="19">
        <v>375</v>
      </c>
      <c r="O541" s="24">
        <v>9600</v>
      </c>
      <c r="P541" s="24">
        <v>11600</v>
      </c>
      <c r="Q541" t="s">
        <v>1983</v>
      </c>
      <c r="R541" s="19">
        <f>VLOOKUP(A541,[1]Sheet1!$A$2:$Q$1536,15,FALSE)</f>
        <v>4569.78515625</v>
      </c>
      <c r="S541" s="27">
        <f t="shared" si="24"/>
        <v>-1.5384125518756437</v>
      </c>
      <c r="T541" s="19">
        <f>VLOOKUP(A541,[1]Sheet1!$A$2:$Q$1536,16,FALSE)</f>
        <v>9629.5522537146117</v>
      </c>
      <c r="U541" s="27">
        <f t="shared" si="25"/>
        <v>-0.20462506400806804</v>
      </c>
      <c r="V541" s="19">
        <f>VLOOKUP(A541,[1]Sheet1!$A$2:$Q$1536,17,FALSE)</f>
        <v>4596.041015625</v>
      </c>
      <c r="W541" s="27">
        <f t="shared" si="26"/>
        <v>-1.5239113316360506</v>
      </c>
    </row>
    <row r="542" spans="1:23" x14ac:dyDescent="0.3">
      <c r="A542" s="4" t="s">
        <v>1394</v>
      </c>
      <c r="B542" s="5">
        <v>2013</v>
      </c>
      <c r="C542" s="5" t="s">
        <v>1089</v>
      </c>
      <c r="D542" s="15" t="s">
        <v>1363</v>
      </c>
      <c r="E542" s="6">
        <v>134522</v>
      </c>
      <c r="F542" s="5" t="s">
        <v>73</v>
      </c>
      <c r="G542" s="5" t="s">
        <v>25</v>
      </c>
      <c r="H542" s="5" t="s">
        <v>18</v>
      </c>
      <c r="I542" s="5" t="s">
        <v>17</v>
      </c>
      <c r="J542" s="7">
        <v>45659</v>
      </c>
      <c r="K542" s="5" t="s">
        <v>17</v>
      </c>
      <c r="L542" s="8">
        <v>44113</v>
      </c>
      <c r="M542" s="19">
        <v>264</v>
      </c>
      <c r="N542" s="19">
        <v>314</v>
      </c>
      <c r="O542" s="24">
        <v>0</v>
      </c>
      <c r="P542" s="24">
        <v>7400</v>
      </c>
      <c r="Q542" t="s">
        <v>1983</v>
      </c>
      <c r="R542" s="19">
        <f>VLOOKUP(A542,[1]Sheet1!$A$2:$Q$1536,15,FALSE)</f>
        <v>573.71185302734375</v>
      </c>
      <c r="S542" s="27">
        <f t="shared" si="24"/>
        <v>-11.898461067087815</v>
      </c>
      <c r="T542" s="19">
        <f>VLOOKUP(A542,[1]Sheet1!$A$2:$Q$1536,16,FALSE)</f>
        <v>8529.4471609967404</v>
      </c>
      <c r="U542" s="27">
        <f t="shared" si="25"/>
        <v>0.13241739349315046</v>
      </c>
      <c r="V542" s="19">
        <f>VLOOKUP(A542,[1]Sheet1!$A$2:$Q$1536,17,FALSE)</f>
        <v>936.92462158203125</v>
      </c>
      <c r="W542" s="27">
        <f t="shared" si="26"/>
        <v>-6.8981807389209511</v>
      </c>
    </row>
    <row r="543" spans="1:23" x14ac:dyDescent="0.3">
      <c r="A543" s="4" t="s">
        <v>1053</v>
      </c>
      <c r="B543" s="5">
        <v>2021</v>
      </c>
      <c r="C543" s="5" t="s">
        <v>391</v>
      </c>
      <c r="D543" s="15" t="s">
        <v>582</v>
      </c>
      <c r="E543" s="6">
        <v>66462</v>
      </c>
      <c r="F543" s="5" t="s">
        <v>64</v>
      </c>
      <c r="G543" s="5" t="s">
        <v>28</v>
      </c>
      <c r="H543" s="5" t="s">
        <v>17</v>
      </c>
      <c r="I543" s="5" t="s">
        <v>18</v>
      </c>
      <c r="J543" s="7">
        <v>45664</v>
      </c>
      <c r="K543" s="5" t="s">
        <v>17</v>
      </c>
      <c r="L543" s="8">
        <v>44067</v>
      </c>
      <c r="M543" s="19">
        <v>235</v>
      </c>
      <c r="N543" s="19">
        <v>285</v>
      </c>
      <c r="O543" s="24">
        <v>13500</v>
      </c>
      <c r="P543" s="24">
        <v>19600</v>
      </c>
      <c r="Q543" t="s">
        <v>1983</v>
      </c>
      <c r="R543" s="19">
        <f>VLOOKUP(A543,[1]Sheet1!$A$2:$Q$1536,15,FALSE)</f>
        <v>17047.1015625</v>
      </c>
      <c r="S543" s="27">
        <f t="shared" si="24"/>
        <v>-0.14975557153456714</v>
      </c>
      <c r="T543" s="19">
        <f>VLOOKUP(A543,[1]Sheet1!$A$2:$Q$1536,16,FALSE)</f>
        <v>13151.1579503884</v>
      </c>
      <c r="U543" s="27">
        <f t="shared" si="25"/>
        <v>-0.49036305958298848</v>
      </c>
      <c r="V543" s="19">
        <f>VLOOKUP(A543,[1]Sheet1!$A$2:$Q$1536,17,FALSE)</f>
        <v>16902.841796875</v>
      </c>
      <c r="W543" s="27">
        <f t="shared" si="26"/>
        <v>-0.15956832794966175</v>
      </c>
    </row>
    <row r="544" spans="1:23" x14ac:dyDescent="0.3">
      <c r="A544" s="4" t="s">
        <v>93</v>
      </c>
      <c r="B544" s="5">
        <v>2012</v>
      </c>
      <c r="C544" s="5" t="s">
        <v>83</v>
      </c>
      <c r="D544" s="15" t="s">
        <v>94</v>
      </c>
      <c r="E544" s="6">
        <v>123839</v>
      </c>
      <c r="F544" s="5" t="s">
        <v>21</v>
      </c>
      <c r="G544" s="5" t="s">
        <v>25</v>
      </c>
      <c r="H544" s="5" t="s">
        <v>18</v>
      </c>
      <c r="I544" s="5" t="s">
        <v>17</v>
      </c>
      <c r="J544" s="7">
        <v>45610</v>
      </c>
      <c r="K544" s="5" t="s">
        <v>17</v>
      </c>
      <c r="L544" s="8">
        <v>44067</v>
      </c>
      <c r="M544" s="19">
        <v>235</v>
      </c>
      <c r="N544" s="19">
        <v>285</v>
      </c>
      <c r="O544" s="24">
        <v>0</v>
      </c>
      <c r="P544" s="24">
        <v>2300</v>
      </c>
      <c r="Q544" t="s">
        <v>1983</v>
      </c>
      <c r="R544" s="19">
        <f>VLOOKUP(A544,[1]Sheet1!$A$2:$Q$1536,15,FALSE)</f>
        <v>1747.710205078125</v>
      </c>
      <c r="S544" s="27">
        <f t="shared" si="24"/>
        <v>-0.31600765007673964</v>
      </c>
      <c r="T544" s="19">
        <f>VLOOKUP(A544,[1]Sheet1!$A$2:$Q$1536,16,FALSE)</f>
        <v>8886.932034099882</v>
      </c>
      <c r="U544" s="27">
        <f t="shared" si="25"/>
        <v>0.7411930246372187</v>
      </c>
      <c r="V544" s="19">
        <f>VLOOKUP(A544,[1]Sheet1!$A$2:$Q$1536,17,FALSE)</f>
        <v>1710.525390625</v>
      </c>
      <c r="W544" s="27">
        <f t="shared" si="26"/>
        <v>-0.34461611187169511</v>
      </c>
    </row>
    <row r="545" spans="1:23" x14ac:dyDescent="0.3">
      <c r="A545" s="4" t="s">
        <v>941</v>
      </c>
      <c r="B545" s="5">
        <v>2019</v>
      </c>
      <c r="C545" s="5" t="s">
        <v>96</v>
      </c>
      <c r="D545" s="15" t="s">
        <v>107</v>
      </c>
      <c r="E545" s="6">
        <v>64293</v>
      </c>
      <c r="F545" s="5" t="s">
        <v>199</v>
      </c>
      <c r="G545" s="5" t="s">
        <v>16</v>
      </c>
      <c r="H545" s="5" t="s">
        <v>17</v>
      </c>
      <c r="I545" s="5" t="s">
        <v>18</v>
      </c>
      <c r="J545" s="7">
        <v>45496</v>
      </c>
      <c r="K545" s="5" t="s">
        <v>17</v>
      </c>
      <c r="L545" s="8">
        <v>43605</v>
      </c>
      <c r="M545" s="19">
        <v>264</v>
      </c>
      <c r="N545" s="19">
        <v>314</v>
      </c>
      <c r="O545" s="24">
        <v>12200</v>
      </c>
      <c r="P545" s="24">
        <v>19000</v>
      </c>
      <c r="Q545" t="s">
        <v>1983</v>
      </c>
      <c r="R545" s="19">
        <f>VLOOKUP(A545,[1]Sheet1!$A$2:$Q$1536,15,FALSE)</f>
        <v>12664.5849609375</v>
      </c>
      <c r="S545" s="27">
        <f t="shared" si="24"/>
        <v>-0.50024655830438824</v>
      </c>
      <c r="T545" s="19">
        <f>VLOOKUP(A545,[1]Sheet1!$A$2:$Q$1536,16,FALSE)</f>
        <v>12272.528399590999</v>
      </c>
      <c r="U545" s="27">
        <f t="shared" si="25"/>
        <v>-0.54817323548692731</v>
      </c>
      <c r="V545" s="19">
        <f>VLOOKUP(A545,[1]Sheet1!$A$2:$Q$1536,17,FALSE)</f>
        <v>12590.3173828125</v>
      </c>
      <c r="W545" s="27">
        <f t="shared" si="26"/>
        <v>-0.50909619053270183</v>
      </c>
    </row>
    <row r="546" spans="1:23" x14ac:dyDescent="0.3">
      <c r="A546" s="4" t="s">
        <v>1731</v>
      </c>
      <c r="B546" s="5">
        <v>2016</v>
      </c>
      <c r="C546" s="5" t="s">
        <v>1086</v>
      </c>
      <c r="D546" s="15" t="s">
        <v>1087</v>
      </c>
      <c r="E546" s="6">
        <v>126097</v>
      </c>
      <c r="F546" s="5" t="s">
        <v>132</v>
      </c>
      <c r="G546" s="5" t="s">
        <v>25</v>
      </c>
      <c r="H546" s="5" t="s">
        <v>18</v>
      </c>
      <c r="I546" s="5" t="s">
        <v>17</v>
      </c>
      <c r="J546" s="7">
        <v>45538</v>
      </c>
      <c r="K546" s="5" t="s">
        <v>17</v>
      </c>
      <c r="L546" s="8">
        <v>43950</v>
      </c>
      <c r="M546" s="19">
        <v>264</v>
      </c>
      <c r="N546" s="19">
        <v>314</v>
      </c>
      <c r="O546" s="24">
        <v>1200</v>
      </c>
      <c r="P546" s="24">
        <v>1800</v>
      </c>
      <c r="Q546" t="s">
        <v>1983</v>
      </c>
      <c r="R546" s="19">
        <f>VLOOKUP(A546,[1]Sheet1!$A$2:$Q$1536,15,FALSE)</f>
        <v>1707.659790039062</v>
      </c>
      <c r="S546" s="27">
        <f t="shared" si="24"/>
        <v>-5.407412559548861E-2</v>
      </c>
      <c r="T546" s="19">
        <f>VLOOKUP(A546,[1]Sheet1!$A$2:$Q$1536,16,FALSE)</f>
        <v>8577.9302011553991</v>
      </c>
      <c r="U546" s="27">
        <f t="shared" si="25"/>
        <v>0.79015916919473772</v>
      </c>
      <c r="V546" s="19">
        <f>VLOOKUP(A546,[1]Sheet1!$A$2:$Q$1536,17,FALSE)</f>
        <v>1683.583618164062</v>
      </c>
      <c r="W546" s="27">
        <f t="shared" si="26"/>
        <v>-6.9147965435117101E-2</v>
      </c>
    </row>
    <row r="547" spans="1:23" x14ac:dyDescent="0.3">
      <c r="A547" s="4" t="s">
        <v>218</v>
      </c>
      <c r="B547" s="5">
        <v>2013</v>
      </c>
      <c r="C547" s="5" t="s">
        <v>96</v>
      </c>
      <c r="D547" s="15" t="s">
        <v>211</v>
      </c>
      <c r="E547" s="6">
        <v>110094</v>
      </c>
      <c r="F547" s="5" t="s">
        <v>219</v>
      </c>
      <c r="G547" s="5" t="s">
        <v>22</v>
      </c>
      <c r="H547" s="5" t="s">
        <v>18</v>
      </c>
      <c r="I547" s="5" t="s">
        <v>17</v>
      </c>
      <c r="J547" s="7">
        <v>45580</v>
      </c>
      <c r="K547" s="5" t="s">
        <v>17</v>
      </c>
      <c r="L547" s="8">
        <v>44310</v>
      </c>
      <c r="M547" s="19">
        <v>235</v>
      </c>
      <c r="N547" s="19">
        <v>285</v>
      </c>
      <c r="O547" s="24">
        <v>1000</v>
      </c>
      <c r="P547" s="24">
        <v>15000</v>
      </c>
      <c r="Q547" t="s">
        <v>1983</v>
      </c>
      <c r="R547" s="19">
        <f>VLOOKUP(A547,[1]Sheet1!$A$2:$Q$1536,15,FALSE)</f>
        <v>2174.26416015625</v>
      </c>
      <c r="S547" s="27">
        <f t="shared" si="24"/>
        <v>-5.8988857356329918</v>
      </c>
      <c r="T547" s="19">
        <f>VLOOKUP(A547,[1]Sheet1!$A$2:$Q$1536,16,FALSE)</f>
        <v>8868.2987423111263</v>
      </c>
      <c r="U547" s="27">
        <f t="shared" si="25"/>
        <v>-0.6914179862293317</v>
      </c>
      <c r="V547" s="19">
        <f>VLOOKUP(A547,[1]Sheet1!$A$2:$Q$1536,17,FALSE)</f>
        <v>2098.140869140625</v>
      </c>
      <c r="W547" s="27">
        <f t="shared" si="26"/>
        <v>-6.1491863204322561</v>
      </c>
    </row>
    <row r="548" spans="1:23" x14ac:dyDescent="0.3">
      <c r="A548" s="4" t="s">
        <v>908</v>
      </c>
      <c r="B548" s="5">
        <v>2020</v>
      </c>
      <c r="C548" s="5" t="s">
        <v>30</v>
      </c>
      <c r="D548" s="15" t="s">
        <v>909</v>
      </c>
      <c r="E548" s="6">
        <v>45233</v>
      </c>
      <c r="F548" s="5" t="s">
        <v>199</v>
      </c>
      <c r="G548" s="5" t="s">
        <v>33</v>
      </c>
      <c r="H548" s="5" t="s">
        <v>17</v>
      </c>
      <c r="I548" s="5" t="s">
        <v>18</v>
      </c>
      <c r="J548" s="7">
        <v>45496</v>
      </c>
      <c r="K548" s="5" t="s">
        <v>17</v>
      </c>
      <c r="L548" s="8">
        <v>44483</v>
      </c>
      <c r="M548" s="19">
        <v>264</v>
      </c>
      <c r="N548" s="19">
        <v>314</v>
      </c>
      <c r="O548" s="24">
        <v>0</v>
      </c>
      <c r="P548" s="24">
        <v>1610</v>
      </c>
      <c r="Q548" t="s">
        <v>1983</v>
      </c>
      <c r="R548" s="19">
        <f>VLOOKUP(A548,[1]Sheet1!$A$2:$Q$1536,15,FALSE)</f>
        <v>18894.88671875</v>
      </c>
      <c r="S548" s="27">
        <f t="shared" si="24"/>
        <v>0.9147917622389159</v>
      </c>
      <c r="T548" s="19">
        <f>VLOOKUP(A548,[1]Sheet1!$A$2:$Q$1536,16,FALSE)</f>
        <v>13311.41126146167</v>
      </c>
      <c r="U548" s="27">
        <f t="shared" si="25"/>
        <v>0.87905114128197914</v>
      </c>
      <c r="V548" s="19">
        <f>VLOOKUP(A548,[1]Sheet1!$A$2:$Q$1536,17,FALSE)</f>
        <v>19317.044921875</v>
      </c>
      <c r="W548" s="27">
        <f t="shared" si="26"/>
        <v>0.91665391852059086</v>
      </c>
    </row>
    <row r="549" spans="1:23" x14ac:dyDescent="0.3">
      <c r="A549" s="4" t="s">
        <v>602</v>
      </c>
      <c r="B549" s="5">
        <v>2017</v>
      </c>
      <c r="C549" s="5" t="s">
        <v>391</v>
      </c>
      <c r="D549" s="15" t="s">
        <v>603</v>
      </c>
      <c r="E549" s="6">
        <v>115506</v>
      </c>
      <c r="F549" s="5" t="s">
        <v>57</v>
      </c>
      <c r="G549" s="5" t="s">
        <v>25</v>
      </c>
      <c r="H549" s="5" t="s">
        <v>18</v>
      </c>
      <c r="I549" s="5" t="s">
        <v>17</v>
      </c>
      <c r="J549" s="7">
        <v>45645</v>
      </c>
      <c r="K549" s="5" t="s">
        <v>17</v>
      </c>
      <c r="L549" s="8">
        <v>44113</v>
      </c>
      <c r="M549" s="19">
        <v>264</v>
      </c>
      <c r="N549" s="19">
        <v>314</v>
      </c>
      <c r="O549" s="24">
        <v>0</v>
      </c>
      <c r="P549" s="24">
        <v>12000</v>
      </c>
      <c r="Q549" t="s">
        <v>1983</v>
      </c>
      <c r="R549" s="19">
        <f>VLOOKUP(A549,[1]Sheet1!$A$2:$Q$1536,15,FALSE)</f>
        <v>3502.957763671875</v>
      </c>
      <c r="S549" s="27">
        <f t="shared" si="24"/>
        <v>-2.4256764738782759</v>
      </c>
      <c r="T549" s="19">
        <f>VLOOKUP(A549,[1]Sheet1!$A$2:$Q$1536,16,FALSE)</f>
        <v>9340.893233204135</v>
      </c>
      <c r="U549" s="27">
        <f t="shared" si="25"/>
        <v>-0.28467371378826178</v>
      </c>
      <c r="V549" s="19">
        <f>VLOOKUP(A549,[1]Sheet1!$A$2:$Q$1536,17,FALSE)</f>
        <v>3484.11572265625</v>
      </c>
      <c r="W549" s="27">
        <f t="shared" si="26"/>
        <v>-2.4442024763894286</v>
      </c>
    </row>
    <row r="550" spans="1:23" x14ac:dyDescent="0.3">
      <c r="A550" s="4" t="s">
        <v>1647</v>
      </c>
      <c r="B550" s="5">
        <v>2015</v>
      </c>
      <c r="C550" s="5" t="s">
        <v>391</v>
      </c>
      <c r="D550" s="15" t="s">
        <v>1056</v>
      </c>
      <c r="E550" s="6">
        <v>163988</v>
      </c>
      <c r="F550" s="5" t="s">
        <v>32</v>
      </c>
      <c r="G550" s="5" t="s">
        <v>25</v>
      </c>
      <c r="H550" s="5" t="s">
        <v>18</v>
      </c>
      <c r="I550" s="5" t="s">
        <v>17</v>
      </c>
      <c r="J550" s="7">
        <v>45300</v>
      </c>
      <c r="K550" s="5" t="s">
        <v>17</v>
      </c>
      <c r="L550" s="8">
        <v>44035</v>
      </c>
      <c r="M550" s="19">
        <v>222</v>
      </c>
      <c r="N550" s="19">
        <v>272</v>
      </c>
      <c r="O550" s="24">
        <v>1600</v>
      </c>
      <c r="P550" s="24">
        <v>4800</v>
      </c>
      <c r="Q550" t="s">
        <v>1983</v>
      </c>
      <c r="R550" s="19">
        <f>VLOOKUP(A550,[1]Sheet1!$A$2:$Q$1536,15,FALSE)</f>
        <v>818.10968017578125</v>
      </c>
      <c r="S550" s="27">
        <f t="shared" si="24"/>
        <v>-4.8671839684975478</v>
      </c>
      <c r="T550" s="19">
        <f>VLOOKUP(A550,[1]Sheet1!$A$2:$Q$1536,16,FALSE)</f>
        <v>9292.8458920978792</v>
      </c>
      <c r="U550" s="27">
        <f t="shared" si="25"/>
        <v>0.48347362522371606</v>
      </c>
      <c r="V550" s="19">
        <f>VLOOKUP(A550,[1]Sheet1!$A$2:$Q$1536,17,FALSE)</f>
        <v>1118.385864257812</v>
      </c>
      <c r="W550" s="27">
        <f t="shared" si="26"/>
        <v>-3.2918997399751615</v>
      </c>
    </row>
    <row r="551" spans="1:23" x14ac:dyDescent="0.3">
      <c r="A551" s="4" t="s">
        <v>935</v>
      </c>
      <c r="B551" s="5">
        <v>2014</v>
      </c>
      <c r="C551" s="5" t="s">
        <v>932</v>
      </c>
      <c r="D551" s="15">
        <v>500</v>
      </c>
      <c r="E551" s="6">
        <v>51861</v>
      </c>
      <c r="F551" s="5" t="s">
        <v>24</v>
      </c>
      <c r="G551" s="5" t="s">
        <v>25</v>
      </c>
      <c r="H551" s="5" t="s">
        <v>18</v>
      </c>
      <c r="I551" s="5" t="s">
        <v>17</v>
      </c>
      <c r="J551" s="7">
        <v>45538</v>
      </c>
      <c r="K551" s="5" t="s">
        <v>17</v>
      </c>
      <c r="L551" s="8">
        <v>43608</v>
      </c>
      <c r="M551" s="19">
        <v>264</v>
      </c>
      <c r="N551" s="19">
        <v>314</v>
      </c>
      <c r="O551" s="24">
        <v>3400</v>
      </c>
      <c r="P551" s="24">
        <v>6400</v>
      </c>
      <c r="Q551" t="s">
        <v>1983</v>
      </c>
      <c r="R551" s="19">
        <f>VLOOKUP(A551,[1]Sheet1!$A$2:$Q$1536,15,FALSE)</f>
        <v>5317.197265625</v>
      </c>
      <c r="S551" s="27">
        <f t="shared" si="24"/>
        <v>-0.20364163304137334</v>
      </c>
      <c r="T551" s="19">
        <f>VLOOKUP(A551,[1]Sheet1!$A$2:$Q$1536,16,FALSE)</f>
        <v>11399.283922563791</v>
      </c>
      <c r="U551" s="27">
        <f t="shared" si="25"/>
        <v>0.43856122511942941</v>
      </c>
      <c r="V551" s="19">
        <f>VLOOKUP(A551,[1]Sheet1!$A$2:$Q$1536,17,FALSE)</f>
        <v>5024.71630859375</v>
      </c>
      <c r="W551" s="27">
        <f t="shared" si="26"/>
        <v>-0.27370374901645861</v>
      </c>
    </row>
    <row r="552" spans="1:23" x14ac:dyDescent="0.3">
      <c r="A552" s="4" t="s">
        <v>65</v>
      </c>
      <c r="B552" s="5">
        <v>2016</v>
      </c>
      <c r="C552" s="5" t="s">
        <v>46</v>
      </c>
      <c r="D552" s="15">
        <v>200</v>
      </c>
      <c r="E552" s="6">
        <v>75247</v>
      </c>
      <c r="F552" s="5" t="s">
        <v>66</v>
      </c>
      <c r="G552" s="5" t="s">
        <v>22</v>
      </c>
      <c r="H552" s="5" t="s">
        <v>18</v>
      </c>
      <c r="I552" s="5" t="s">
        <v>17</v>
      </c>
      <c r="J552" s="7">
        <v>45454</v>
      </c>
      <c r="K552" s="5" t="s">
        <v>17</v>
      </c>
      <c r="L552" s="8">
        <v>44224</v>
      </c>
      <c r="M552" s="19">
        <v>235</v>
      </c>
      <c r="N552" s="19">
        <v>285</v>
      </c>
      <c r="O552" s="24">
        <v>700</v>
      </c>
      <c r="P552" s="24">
        <v>9800</v>
      </c>
      <c r="Q552" t="s">
        <v>1983</v>
      </c>
      <c r="R552" s="19">
        <f>VLOOKUP(A552,[1]Sheet1!$A$2:$Q$1536,15,FALSE)</f>
        <v>3735.607177734375</v>
      </c>
      <c r="S552" s="27">
        <f t="shared" si="24"/>
        <v>-1.6234021763347306</v>
      </c>
      <c r="T552" s="19">
        <f>VLOOKUP(A552,[1]Sheet1!$A$2:$Q$1536,16,FALSE)</f>
        <v>9140.0790725069874</v>
      </c>
      <c r="U552" s="27">
        <f t="shared" si="25"/>
        <v>-7.2200789758813999E-2</v>
      </c>
      <c r="V552" s="19">
        <f>VLOOKUP(A552,[1]Sheet1!$A$2:$Q$1536,17,FALSE)</f>
        <v>3588.97705078125</v>
      </c>
      <c r="W552" s="27">
        <f t="shared" si="26"/>
        <v>-1.7305830773887874</v>
      </c>
    </row>
    <row r="553" spans="1:23" x14ac:dyDescent="0.3">
      <c r="A553" s="4" t="s">
        <v>552</v>
      </c>
      <c r="B553" s="5">
        <v>2019</v>
      </c>
      <c r="C553" s="5" t="s">
        <v>391</v>
      </c>
      <c r="D553" s="15" t="s">
        <v>547</v>
      </c>
      <c r="E553" s="6">
        <v>46858</v>
      </c>
      <c r="F553" s="5" t="s">
        <v>73</v>
      </c>
      <c r="G553" s="5" t="s">
        <v>33</v>
      </c>
      <c r="H553" s="5" t="s">
        <v>17</v>
      </c>
      <c r="I553" s="5" t="s">
        <v>18</v>
      </c>
      <c r="J553" s="7">
        <v>45664</v>
      </c>
      <c r="K553" s="5" t="s">
        <v>17</v>
      </c>
      <c r="L553" s="8">
        <v>44113</v>
      </c>
      <c r="M553" s="19">
        <v>264</v>
      </c>
      <c r="N553" s="19">
        <v>314</v>
      </c>
      <c r="O553" s="24">
        <v>18000</v>
      </c>
      <c r="P553" s="24">
        <v>31500</v>
      </c>
      <c r="Q553" t="s">
        <v>1983</v>
      </c>
      <c r="R553" s="19">
        <f>VLOOKUP(A553,[1]Sheet1!$A$2:$Q$1536,15,FALSE)</f>
        <v>11736.7021484375</v>
      </c>
      <c r="S553" s="27">
        <f t="shared" si="24"/>
        <v>-1.6838885064654705</v>
      </c>
      <c r="T553" s="19">
        <f>VLOOKUP(A553,[1]Sheet1!$A$2:$Q$1536,16,FALSE)</f>
        <v>12942.77853829109</v>
      </c>
      <c r="U553" s="27">
        <f t="shared" si="25"/>
        <v>-1.4337896153293164</v>
      </c>
      <c r="V553" s="19">
        <f>VLOOKUP(A553,[1]Sheet1!$A$2:$Q$1536,17,FALSE)</f>
        <v>11607.5224609375</v>
      </c>
      <c r="W553" s="27">
        <f t="shared" si="26"/>
        <v>-1.7137574022368811</v>
      </c>
    </row>
    <row r="554" spans="1:23" x14ac:dyDescent="0.3">
      <c r="A554" s="4" t="s">
        <v>1055</v>
      </c>
      <c r="B554" s="5">
        <v>2017</v>
      </c>
      <c r="C554" s="5" t="s">
        <v>391</v>
      </c>
      <c r="D554" s="15" t="s">
        <v>1056</v>
      </c>
      <c r="E554" s="6">
        <v>159806</v>
      </c>
      <c r="F554" s="5" t="s">
        <v>32</v>
      </c>
      <c r="G554" s="5" t="s">
        <v>25</v>
      </c>
      <c r="H554" s="5" t="s">
        <v>18</v>
      </c>
      <c r="I554" s="5" t="s">
        <v>17</v>
      </c>
      <c r="J554" s="7">
        <v>45468</v>
      </c>
      <c r="K554" s="5" t="s">
        <v>17</v>
      </c>
      <c r="L554" s="8">
        <v>44081</v>
      </c>
      <c r="M554" s="19">
        <v>325</v>
      </c>
      <c r="N554" s="19">
        <v>375</v>
      </c>
      <c r="O554" s="24">
        <v>2100</v>
      </c>
      <c r="P554" s="24">
        <v>8600</v>
      </c>
      <c r="Q554" t="s">
        <v>1983</v>
      </c>
      <c r="R554" s="19">
        <f>VLOOKUP(A554,[1]Sheet1!$A$2:$Q$1536,15,FALSE)</f>
        <v>1173.80126953125</v>
      </c>
      <c r="S554" s="27">
        <f t="shared" si="24"/>
        <v>-6.3266235292404778</v>
      </c>
      <c r="T554" s="19">
        <f>VLOOKUP(A554,[1]Sheet1!$A$2:$Q$1536,16,FALSE)</f>
        <v>9317.6806931986557</v>
      </c>
      <c r="U554" s="27">
        <f t="shared" si="25"/>
        <v>7.702353373436796E-2</v>
      </c>
      <c r="V554" s="19">
        <f>VLOOKUP(A554,[1]Sheet1!$A$2:$Q$1536,17,FALSE)</f>
        <v>1310.827270507812</v>
      </c>
      <c r="W554" s="27">
        <f t="shared" si="26"/>
        <v>-5.5607423597987671</v>
      </c>
    </row>
    <row r="555" spans="1:23" x14ac:dyDescent="0.3">
      <c r="A555" s="4" t="s">
        <v>1639</v>
      </c>
      <c r="B555" s="5">
        <v>2021</v>
      </c>
      <c r="C555" s="5" t="s">
        <v>391</v>
      </c>
      <c r="D555" s="15" t="s">
        <v>1637</v>
      </c>
      <c r="E555" s="6">
        <v>66877</v>
      </c>
      <c r="F555" s="5" t="s">
        <v>246</v>
      </c>
      <c r="G555" s="5" t="s">
        <v>33</v>
      </c>
      <c r="H555" s="5" t="s">
        <v>17</v>
      </c>
      <c r="I555" s="5" t="s">
        <v>18</v>
      </c>
      <c r="J555" s="7">
        <v>45692</v>
      </c>
      <c r="K555" s="5" t="s">
        <v>17</v>
      </c>
      <c r="L555" s="8">
        <v>44128</v>
      </c>
      <c r="M555" s="19">
        <v>264</v>
      </c>
      <c r="N555" s="19">
        <v>314</v>
      </c>
      <c r="O555" s="24">
        <v>15700</v>
      </c>
      <c r="P555" s="24">
        <v>22300</v>
      </c>
      <c r="Q555" t="s">
        <v>1983</v>
      </c>
      <c r="R555" s="19">
        <f>VLOOKUP(A555,[1]Sheet1!$A$2:$Q$1536,15,FALSE)</f>
        <v>18981.34765625</v>
      </c>
      <c r="S555" s="27">
        <f t="shared" si="24"/>
        <v>-0.17483755125560146</v>
      </c>
      <c r="T555" s="19">
        <f>VLOOKUP(A555,[1]Sheet1!$A$2:$Q$1536,16,FALSE)</f>
        <v>13587.14625857821</v>
      </c>
      <c r="U555" s="27">
        <f t="shared" si="25"/>
        <v>-0.6412570804499107</v>
      </c>
      <c r="V555" s="19">
        <f>VLOOKUP(A555,[1]Sheet1!$A$2:$Q$1536,17,FALSE)</f>
        <v>19317.044921875</v>
      </c>
      <c r="W555" s="27">
        <f t="shared" si="26"/>
        <v>-0.1544208801185239</v>
      </c>
    </row>
    <row r="556" spans="1:23" x14ac:dyDescent="0.3">
      <c r="A556" s="4" t="s">
        <v>1011</v>
      </c>
      <c r="B556" s="5">
        <v>2018</v>
      </c>
      <c r="C556" s="5" t="s">
        <v>237</v>
      </c>
      <c r="D556" s="15" t="s">
        <v>238</v>
      </c>
      <c r="E556" s="6">
        <v>55157</v>
      </c>
      <c r="F556" s="5" t="s">
        <v>164</v>
      </c>
      <c r="G556" s="5" t="s">
        <v>28</v>
      </c>
      <c r="H556" s="5" t="s">
        <v>17</v>
      </c>
      <c r="I556" s="5" t="s">
        <v>18</v>
      </c>
      <c r="J556" s="7">
        <v>45386</v>
      </c>
      <c r="K556" s="5" t="s">
        <v>17</v>
      </c>
      <c r="L556" s="8">
        <v>43612</v>
      </c>
      <c r="M556" s="19">
        <v>264</v>
      </c>
      <c r="N556" s="19">
        <v>314</v>
      </c>
      <c r="O556" s="24">
        <v>0</v>
      </c>
      <c r="P556" s="24">
        <v>10900</v>
      </c>
      <c r="Q556" t="s">
        <v>1983</v>
      </c>
      <c r="R556" s="19">
        <f>VLOOKUP(A556,[1]Sheet1!$A$2:$Q$1536,15,FALSE)</f>
        <v>13887.2177734375</v>
      </c>
      <c r="S556" s="27">
        <f t="shared" si="24"/>
        <v>0.21510556125585079</v>
      </c>
      <c r="T556" s="19">
        <f>VLOOKUP(A556,[1]Sheet1!$A$2:$Q$1536,16,FALSE)</f>
        <v>11599.289800694811</v>
      </c>
      <c r="U556" s="27">
        <f t="shared" si="25"/>
        <v>6.0287294542198826E-2</v>
      </c>
      <c r="V556" s="19">
        <f>VLOOKUP(A556,[1]Sheet1!$A$2:$Q$1536,17,FALSE)</f>
        <v>14069.48828125</v>
      </c>
      <c r="W556" s="27">
        <f t="shared" si="26"/>
        <v>0.22527388472783941</v>
      </c>
    </row>
    <row r="557" spans="1:23" x14ac:dyDescent="0.3">
      <c r="A557" s="4" t="s">
        <v>449</v>
      </c>
      <c r="B557" s="5">
        <v>2017</v>
      </c>
      <c r="C557" s="5" t="s">
        <v>391</v>
      </c>
      <c r="D557" s="15" t="s">
        <v>432</v>
      </c>
      <c r="E557" s="6">
        <v>128359</v>
      </c>
      <c r="F557" s="5" t="s">
        <v>144</v>
      </c>
      <c r="G557" s="5" t="s">
        <v>25</v>
      </c>
      <c r="H557" s="5" t="s">
        <v>18</v>
      </c>
      <c r="I557" s="5" t="s">
        <v>17</v>
      </c>
      <c r="J557" s="7">
        <v>45701</v>
      </c>
      <c r="K557" s="5" t="s">
        <v>17</v>
      </c>
      <c r="L557" s="8">
        <v>44137</v>
      </c>
      <c r="M557" s="19">
        <v>280</v>
      </c>
      <c r="N557" s="19">
        <v>330</v>
      </c>
      <c r="O557" s="24">
        <v>1500</v>
      </c>
      <c r="P557" s="24">
        <v>7700</v>
      </c>
      <c r="Q557" t="s">
        <v>1983</v>
      </c>
      <c r="R557" s="19">
        <f>VLOOKUP(A557,[1]Sheet1!$A$2:$Q$1536,15,FALSE)</f>
        <v>2625.6201171875</v>
      </c>
      <c r="S557" s="27">
        <f t="shared" si="24"/>
        <v>-1.93264054064609</v>
      </c>
      <c r="T557" s="19">
        <f>VLOOKUP(A557,[1]Sheet1!$A$2:$Q$1536,16,FALSE)</f>
        <v>9246.0502263798353</v>
      </c>
      <c r="U557" s="27">
        <f t="shared" si="25"/>
        <v>0.16721196495005092</v>
      </c>
      <c r="V557" s="19">
        <f>VLOOKUP(A557,[1]Sheet1!$A$2:$Q$1536,17,FALSE)</f>
        <v>2533.8974609375</v>
      </c>
      <c r="W557" s="27">
        <f t="shared" si="26"/>
        <v>-2.0387969989721397</v>
      </c>
    </row>
    <row r="558" spans="1:23" x14ac:dyDescent="0.3">
      <c r="A558" s="4" t="s">
        <v>1710</v>
      </c>
      <c r="B558" s="5">
        <v>2016</v>
      </c>
      <c r="C558" s="5" t="s">
        <v>1089</v>
      </c>
      <c r="D558" s="15" t="s">
        <v>1363</v>
      </c>
      <c r="E558" s="6">
        <v>121073</v>
      </c>
      <c r="F558" s="5" t="s">
        <v>32</v>
      </c>
      <c r="G558" s="5" t="s">
        <v>22</v>
      </c>
      <c r="H558" s="5" t="s">
        <v>18</v>
      </c>
      <c r="I558" s="5" t="s">
        <v>17</v>
      </c>
      <c r="J558" s="7">
        <v>45673</v>
      </c>
      <c r="K558" s="5" t="s">
        <v>17</v>
      </c>
      <c r="L558" s="8">
        <v>44128</v>
      </c>
      <c r="M558" s="19">
        <v>264</v>
      </c>
      <c r="N558" s="19">
        <v>314</v>
      </c>
      <c r="O558" s="24">
        <v>1100</v>
      </c>
      <c r="P558" s="24">
        <v>4800</v>
      </c>
      <c r="Q558" t="s">
        <v>1983</v>
      </c>
      <c r="R558" s="19">
        <f>VLOOKUP(A558,[1]Sheet1!$A$2:$Q$1536,15,FALSE)</f>
        <v>1762.906127929688</v>
      </c>
      <c r="S558" s="27">
        <f t="shared" si="24"/>
        <v>-1.7227768534885053</v>
      </c>
      <c r="T558" s="19">
        <f>VLOOKUP(A558,[1]Sheet1!$A$2:$Q$1536,16,FALSE)</f>
        <v>8586.5896534189651</v>
      </c>
      <c r="U558" s="27">
        <f t="shared" si="25"/>
        <v>0.44098877508502343</v>
      </c>
      <c r="V558" s="19">
        <f>VLOOKUP(A558,[1]Sheet1!$A$2:$Q$1536,17,FALSE)</f>
        <v>1721.121948242188</v>
      </c>
      <c r="W558" s="27">
        <f t="shared" si="26"/>
        <v>-1.7888785015508775</v>
      </c>
    </row>
    <row r="559" spans="1:23" x14ac:dyDescent="0.3">
      <c r="A559" s="4" t="s">
        <v>993</v>
      </c>
      <c r="B559" s="5">
        <v>2016</v>
      </c>
      <c r="C559" s="5" t="s">
        <v>237</v>
      </c>
      <c r="D559" s="15" t="s">
        <v>238</v>
      </c>
      <c r="E559" s="6">
        <v>141919</v>
      </c>
      <c r="F559" s="5" t="s">
        <v>112</v>
      </c>
      <c r="G559" s="5" t="s">
        <v>134</v>
      </c>
      <c r="H559" s="5" t="s">
        <v>18</v>
      </c>
      <c r="I559" s="5" t="s">
        <v>17</v>
      </c>
      <c r="J559" s="7">
        <v>45722</v>
      </c>
      <c r="K559" s="5" t="s">
        <v>17</v>
      </c>
      <c r="L559" s="8">
        <v>44128</v>
      </c>
      <c r="M559" s="19">
        <v>264</v>
      </c>
      <c r="N559" s="19">
        <v>314</v>
      </c>
      <c r="O559" s="24">
        <v>0</v>
      </c>
      <c r="P559" s="24">
        <v>3800</v>
      </c>
      <c r="Q559" t="s">
        <v>1983</v>
      </c>
      <c r="R559" s="19">
        <f>VLOOKUP(A559,[1]Sheet1!$A$2:$Q$1536,15,FALSE)</f>
        <v>2164.821044921875</v>
      </c>
      <c r="S559" s="27">
        <f t="shared" si="24"/>
        <v>-0.75534139827116109</v>
      </c>
      <c r="T559" s="19">
        <f>VLOOKUP(A559,[1]Sheet1!$A$2:$Q$1536,16,FALSE)</f>
        <v>9222.3469443736703</v>
      </c>
      <c r="U559" s="27">
        <f t="shared" si="25"/>
        <v>0.58795737972986506</v>
      </c>
      <c r="V559" s="19">
        <f>VLOOKUP(A559,[1]Sheet1!$A$2:$Q$1536,17,FALSE)</f>
        <v>2086.583740234375</v>
      </c>
      <c r="W559" s="27">
        <f t="shared" si="26"/>
        <v>-0.82115863683149659</v>
      </c>
    </row>
    <row r="560" spans="1:23" x14ac:dyDescent="0.3">
      <c r="A560" s="4" t="s">
        <v>987</v>
      </c>
      <c r="B560" s="5">
        <v>2018</v>
      </c>
      <c r="C560" s="5" t="s">
        <v>30</v>
      </c>
      <c r="D560" s="15" t="s">
        <v>986</v>
      </c>
      <c r="E560" s="6">
        <v>68345</v>
      </c>
      <c r="F560" s="5" t="s">
        <v>15</v>
      </c>
      <c r="G560" s="5" t="s">
        <v>16</v>
      </c>
      <c r="H560" s="5" t="s">
        <v>17</v>
      </c>
      <c r="I560" s="5" t="s">
        <v>18</v>
      </c>
      <c r="J560" s="7">
        <v>45692</v>
      </c>
      <c r="K560" s="5" t="s">
        <v>17</v>
      </c>
      <c r="L560" s="8">
        <v>44054</v>
      </c>
      <c r="M560" s="19">
        <v>235</v>
      </c>
      <c r="N560" s="19">
        <v>285</v>
      </c>
      <c r="O560" s="24">
        <v>15400</v>
      </c>
      <c r="P560" s="24">
        <v>16500</v>
      </c>
      <c r="Q560" t="s">
        <v>1983</v>
      </c>
      <c r="R560" s="19">
        <f>VLOOKUP(A560,[1]Sheet1!$A$2:$Q$1536,15,FALSE)</f>
        <v>11406.82421875</v>
      </c>
      <c r="S560" s="27">
        <f t="shared" si="24"/>
        <v>-0.44650252196207929</v>
      </c>
      <c r="T560" s="19">
        <f>VLOOKUP(A560,[1]Sheet1!$A$2:$Q$1536,16,FALSE)</f>
        <v>10435.93059682264</v>
      </c>
      <c r="U560" s="27">
        <f t="shared" si="25"/>
        <v>-0.58107605708144972</v>
      </c>
      <c r="V560" s="19">
        <f>VLOOKUP(A560,[1]Sheet1!$A$2:$Q$1536,17,FALSE)</f>
        <v>11462.9462890625</v>
      </c>
      <c r="W560" s="27">
        <f t="shared" si="26"/>
        <v>-0.43942051056661252</v>
      </c>
    </row>
    <row r="561" spans="1:23" x14ac:dyDescent="0.3">
      <c r="A561" s="4" t="s">
        <v>1869</v>
      </c>
      <c r="B561" s="5">
        <v>2015</v>
      </c>
      <c r="C561" s="5" t="s">
        <v>1401</v>
      </c>
      <c r="D561" s="15" t="s">
        <v>1870</v>
      </c>
      <c r="E561" s="6">
        <v>114069</v>
      </c>
      <c r="F561" s="5" t="s">
        <v>64</v>
      </c>
      <c r="G561" s="5" t="s">
        <v>33</v>
      </c>
      <c r="H561" s="5" t="s">
        <v>17</v>
      </c>
      <c r="I561" s="5" t="s">
        <v>18</v>
      </c>
      <c r="J561" s="7">
        <v>45454</v>
      </c>
      <c r="K561" s="5" t="s">
        <v>17</v>
      </c>
      <c r="L561" s="8">
        <v>44135</v>
      </c>
      <c r="M561" s="19">
        <v>235</v>
      </c>
      <c r="N561" s="19">
        <v>285</v>
      </c>
      <c r="O561" s="24">
        <v>0</v>
      </c>
      <c r="P561" s="24">
        <v>900</v>
      </c>
      <c r="Q561" t="s">
        <v>1983</v>
      </c>
      <c r="R561" s="19">
        <f>VLOOKUP(A561,[1]Sheet1!$A$2:$Q$1536,15,FALSE)</f>
        <v>7052.78271484375</v>
      </c>
      <c r="S561" s="27">
        <f t="shared" si="24"/>
        <v>0.87239079433061206</v>
      </c>
      <c r="T561" s="19">
        <f>VLOOKUP(A561,[1]Sheet1!$A$2:$Q$1536,16,FALSE)</f>
        <v>9486.9642851606422</v>
      </c>
      <c r="U561" s="27">
        <f t="shared" si="25"/>
        <v>0.90513298322333036</v>
      </c>
      <c r="V561" s="19">
        <f>VLOOKUP(A561,[1]Sheet1!$A$2:$Q$1536,17,FALSE)</f>
        <v>7060.51123046875</v>
      </c>
      <c r="W561" s="27">
        <f t="shared" si="26"/>
        <v>0.87253047681361051</v>
      </c>
    </row>
    <row r="562" spans="1:23" x14ac:dyDescent="0.3">
      <c r="A562" s="4" t="s">
        <v>658</v>
      </c>
      <c r="B562" s="5">
        <v>2015</v>
      </c>
      <c r="C562" s="5" t="s">
        <v>636</v>
      </c>
      <c r="D562" s="15" t="s">
        <v>641</v>
      </c>
      <c r="E562" s="6">
        <v>114199</v>
      </c>
      <c r="F562" s="5" t="s">
        <v>42</v>
      </c>
      <c r="G562" s="5" t="s">
        <v>25</v>
      </c>
      <c r="H562" s="5" t="s">
        <v>18</v>
      </c>
      <c r="I562" s="5" t="s">
        <v>17</v>
      </c>
      <c r="J562" s="7">
        <v>45435</v>
      </c>
      <c r="K562" s="5" t="s">
        <v>17</v>
      </c>
      <c r="L562" s="8">
        <v>44444</v>
      </c>
      <c r="M562" s="19">
        <v>264</v>
      </c>
      <c r="N562" s="19">
        <v>314</v>
      </c>
      <c r="O562" s="24">
        <v>0</v>
      </c>
      <c r="P562" s="24">
        <v>5800</v>
      </c>
      <c r="Q562" t="s">
        <v>1983</v>
      </c>
      <c r="R562" s="19">
        <f>VLOOKUP(A562,[1]Sheet1!$A$2:$Q$1536,15,FALSE)</f>
        <v>2164.700439453125</v>
      </c>
      <c r="S562" s="27">
        <f t="shared" si="24"/>
        <v>-1.679354563010701</v>
      </c>
      <c r="T562" s="19">
        <f>VLOOKUP(A562,[1]Sheet1!$A$2:$Q$1536,16,FALSE)</f>
        <v>8895.7581314427207</v>
      </c>
      <c r="U562" s="27">
        <f t="shared" si="25"/>
        <v>0.34800385596147593</v>
      </c>
      <c r="V562" s="19">
        <f>VLOOKUP(A562,[1]Sheet1!$A$2:$Q$1536,17,FALSE)</f>
        <v>2079.332763671875</v>
      </c>
      <c r="W562" s="27">
        <f t="shared" si="26"/>
        <v>-1.7893563268621961</v>
      </c>
    </row>
    <row r="563" spans="1:23" x14ac:dyDescent="0.3">
      <c r="A563" s="4" t="s">
        <v>1752</v>
      </c>
      <c r="B563" s="5">
        <v>2014</v>
      </c>
      <c r="C563" s="5" t="s">
        <v>1086</v>
      </c>
      <c r="D563" s="15" t="s">
        <v>1753</v>
      </c>
      <c r="E563" s="6">
        <v>129316</v>
      </c>
      <c r="F563" s="5" t="s">
        <v>32</v>
      </c>
      <c r="G563" s="5" t="s">
        <v>25</v>
      </c>
      <c r="H563" s="5" t="s">
        <v>18</v>
      </c>
      <c r="I563" s="5" t="s">
        <v>17</v>
      </c>
      <c r="J563" s="7">
        <v>45300</v>
      </c>
      <c r="K563" s="5" t="s">
        <v>17</v>
      </c>
      <c r="L563" s="8">
        <v>44128</v>
      </c>
      <c r="M563" s="19">
        <v>264</v>
      </c>
      <c r="N563" s="19">
        <v>314</v>
      </c>
      <c r="O563" s="24">
        <v>3100</v>
      </c>
      <c r="P563" s="24">
        <v>6100</v>
      </c>
      <c r="Q563" t="s">
        <v>1983</v>
      </c>
      <c r="R563" s="19">
        <f>VLOOKUP(A563,[1]Sheet1!$A$2:$Q$1536,15,FALSE)</f>
        <v>1130.80908203125</v>
      </c>
      <c r="S563" s="27">
        <f t="shared" si="24"/>
        <v>-4.3943677115173951</v>
      </c>
      <c r="T563" s="19">
        <f>VLOOKUP(A563,[1]Sheet1!$A$2:$Q$1536,16,FALSE)</f>
        <v>8585.1701382946267</v>
      </c>
      <c r="U563" s="27">
        <f t="shared" si="25"/>
        <v>0.28947243889895524</v>
      </c>
      <c r="V563" s="19">
        <f>VLOOKUP(A563,[1]Sheet1!$A$2:$Q$1536,17,FALSE)</f>
        <v>1286.9091796875</v>
      </c>
      <c r="W563" s="27">
        <f t="shared" si="26"/>
        <v>-3.7400392322022773</v>
      </c>
    </row>
    <row r="564" spans="1:23" x14ac:dyDescent="0.3">
      <c r="A564" s="4" t="s">
        <v>1037</v>
      </c>
      <c r="B564" s="5">
        <v>2020</v>
      </c>
      <c r="C564" s="5" t="s">
        <v>571</v>
      </c>
      <c r="D564" s="15" t="s">
        <v>809</v>
      </c>
      <c r="E564" s="6">
        <v>46239</v>
      </c>
      <c r="F564" s="5" t="s">
        <v>184</v>
      </c>
      <c r="G564" s="5" t="s">
        <v>28</v>
      </c>
      <c r="H564" s="5" t="s">
        <v>17</v>
      </c>
      <c r="I564" s="5" t="s">
        <v>18</v>
      </c>
      <c r="J564" s="7">
        <v>45484</v>
      </c>
      <c r="K564" s="5" t="s">
        <v>17</v>
      </c>
      <c r="L564" s="8">
        <v>44310</v>
      </c>
      <c r="M564" s="19">
        <v>235</v>
      </c>
      <c r="N564" s="19">
        <v>285</v>
      </c>
      <c r="O564" s="24">
        <v>0</v>
      </c>
      <c r="P564" s="24">
        <v>20600</v>
      </c>
      <c r="Q564" t="s">
        <v>1983</v>
      </c>
      <c r="R564" s="19">
        <f>VLOOKUP(A564,[1]Sheet1!$A$2:$Q$1536,15,FALSE)</f>
        <v>17727.978515625</v>
      </c>
      <c r="S564" s="27">
        <f t="shared" si="24"/>
        <v>-0.16200501832984915</v>
      </c>
      <c r="T564" s="19">
        <f>VLOOKUP(A564,[1]Sheet1!$A$2:$Q$1536,16,FALSE)</f>
        <v>13628.520589209829</v>
      </c>
      <c r="U564" s="27">
        <f t="shared" si="25"/>
        <v>-0.51153603688354343</v>
      </c>
      <c r="V564" s="19">
        <f>VLOOKUP(A564,[1]Sheet1!$A$2:$Q$1536,17,FALSE)</f>
        <v>17336.91015625</v>
      </c>
      <c r="W564" s="27">
        <f t="shared" si="26"/>
        <v>-0.18821634387795727</v>
      </c>
    </row>
    <row r="565" spans="1:23" x14ac:dyDescent="0.3">
      <c r="A565" s="4" t="s">
        <v>244</v>
      </c>
      <c r="B565" s="5">
        <v>2019</v>
      </c>
      <c r="C565" s="5" t="s">
        <v>237</v>
      </c>
      <c r="D565" s="15" t="s">
        <v>245</v>
      </c>
      <c r="E565" s="6">
        <v>31170</v>
      </c>
      <c r="F565" s="5" t="s">
        <v>246</v>
      </c>
      <c r="G565" s="5" t="s">
        <v>16</v>
      </c>
      <c r="H565" s="5" t="s">
        <v>17</v>
      </c>
      <c r="I565" s="5" t="s">
        <v>18</v>
      </c>
      <c r="J565" s="7">
        <v>45314</v>
      </c>
      <c r="K565" s="5" t="s">
        <v>17</v>
      </c>
      <c r="L565" s="8">
        <v>43950</v>
      </c>
      <c r="M565" s="19">
        <v>264</v>
      </c>
      <c r="N565" s="19">
        <v>314</v>
      </c>
      <c r="O565" s="24">
        <v>19700</v>
      </c>
      <c r="P565" s="24">
        <v>34250</v>
      </c>
      <c r="Q565" t="s">
        <v>1983</v>
      </c>
      <c r="R565" s="19">
        <f>VLOOKUP(A565,[1]Sheet1!$A$2:$Q$1536,15,FALSE)</f>
        <v>19463.19921875</v>
      </c>
      <c r="S565" s="27">
        <f t="shared" si="24"/>
        <v>-0.75973125564090405</v>
      </c>
      <c r="T565" s="19">
        <f>VLOOKUP(A565,[1]Sheet1!$A$2:$Q$1536,16,FALSE)</f>
        <v>14031.344764126119</v>
      </c>
      <c r="U565" s="27">
        <f t="shared" si="25"/>
        <v>-1.4409634697001268</v>
      </c>
      <c r="V565" s="19">
        <f>VLOOKUP(A565,[1]Sheet1!$A$2:$Q$1536,17,FALSE)</f>
        <v>19301.79296875</v>
      </c>
      <c r="W565" s="27">
        <f t="shared" si="26"/>
        <v>-0.77444655299388276</v>
      </c>
    </row>
    <row r="566" spans="1:23" x14ac:dyDescent="0.3">
      <c r="A566" s="4" t="s">
        <v>212</v>
      </c>
      <c r="B566" s="5">
        <v>2014</v>
      </c>
      <c r="C566" s="5" t="s">
        <v>96</v>
      </c>
      <c r="D566" s="15" t="s">
        <v>211</v>
      </c>
      <c r="E566" s="6">
        <v>154810</v>
      </c>
      <c r="F566" s="5" t="s">
        <v>32</v>
      </c>
      <c r="G566" s="5" t="s">
        <v>25</v>
      </c>
      <c r="H566" s="5" t="s">
        <v>18</v>
      </c>
      <c r="I566" s="5" t="s">
        <v>17</v>
      </c>
      <c r="J566" s="7">
        <v>45566</v>
      </c>
      <c r="K566" s="5" t="s">
        <v>17</v>
      </c>
      <c r="L566" s="8">
        <v>43612</v>
      </c>
      <c r="M566" s="19">
        <v>264</v>
      </c>
      <c r="N566" s="19">
        <v>314</v>
      </c>
      <c r="O566" s="24">
        <v>4200</v>
      </c>
      <c r="P566" s="24">
        <v>15000</v>
      </c>
      <c r="Q566" t="s">
        <v>1983</v>
      </c>
      <c r="R566" s="19">
        <f>VLOOKUP(A566,[1]Sheet1!$A$2:$Q$1536,15,FALSE)</f>
        <v>1715.002075195312</v>
      </c>
      <c r="S566" s="27">
        <f t="shared" si="24"/>
        <v>-7.7463451018225342</v>
      </c>
      <c r="T566" s="19">
        <f>VLOOKUP(A566,[1]Sheet1!$A$2:$Q$1536,16,FALSE)</f>
        <v>8840.463244475628</v>
      </c>
      <c r="U566" s="27">
        <f t="shared" si="25"/>
        <v>-0.69674366435191537</v>
      </c>
      <c r="V566" s="19">
        <f>VLOOKUP(A566,[1]Sheet1!$A$2:$Q$1536,17,FALSE)</f>
        <v>1678.0625</v>
      </c>
      <c r="W566" s="27">
        <f t="shared" si="26"/>
        <v>-7.938880405229245</v>
      </c>
    </row>
    <row r="567" spans="1:23" x14ac:dyDescent="0.3">
      <c r="A567" s="4" t="s">
        <v>1138</v>
      </c>
      <c r="B567" s="5">
        <v>2017</v>
      </c>
      <c r="C567" s="5" t="s">
        <v>1139</v>
      </c>
      <c r="D567" s="15" t="s">
        <v>1140</v>
      </c>
      <c r="E567" s="6">
        <v>109345</v>
      </c>
      <c r="F567" s="5" t="s">
        <v>164</v>
      </c>
      <c r="G567" s="5" t="s">
        <v>28</v>
      </c>
      <c r="H567" s="5" t="s">
        <v>17</v>
      </c>
      <c r="I567" s="5" t="s">
        <v>18</v>
      </c>
      <c r="J567" s="7">
        <v>45356</v>
      </c>
      <c r="K567" s="5" t="s">
        <v>17</v>
      </c>
      <c r="L567" s="8">
        <v>44905</v>
      </c>
      <c r="M567" s="19">
        <v>128</v>
      </c>
      <c r="N567" s="19">
        <v>158</v>
      </c>
      <c r="O567" s="24">
        <v>6000</v>
      </c>
      <c r="P567" s="24">
        <v>10200</v>
      </c>
      <c r="Q567" t="s">
        <v>1983</v>
      </c>
      <c r="R567" s="19">
        <f>VLOOKUP(A567,[1]Sheet1!$A$2:$Q$1536,15,FALSE)</f>
        <v>8589.4990234375</v>
      </c>
      <c r="S567" s="27">
        <f t="shared" si="24"/>
        <v>-0.18749649684667882</v>
      </c>
      <c r="T567" s="19">
        <f>VLOOKUP(A567,[1]Sheet1!$A$2:$Q$1536,16,FALSE)</f>
        <v>9155.6438253062242</v>
      </c>
      <c r="U567" s="27">
        <f t="shared" si="25"/>
        <v>-0.11406692905715407</v>
      </c>
      <c r="V567" s="19">
        <f>VLOOKUP(A567,[1]Sheet1!$A$2:$Q$1536,17,FALSE)</f>
        <v>8648.2099609375</v>
      </c>
      <c r="W567" s="27">
        <f t="shared" si="26"/>
        <v>-0.17943482478705683</v>
      </c>
    </row>
    <row r="568" spans="1:23" x14ac:dyDescent="0.3">
      <c r="A568" s="4" t="s">
        <v>798</v>
      </c>
      <c r="B568" s="5">
        <v>2011</v>
      </c>
      <c r="C568" s="5" t="s">
        <v>391</v>
      </c>
      <c r="D568" s="15" t="s">
        <v>392</v>
      </c>
      <c r="E568" s="6">
        <v>93301</v>
      </c>
      <c r="F568" s="5" t="s">
        <v>32</v>
      </c>
      <c r="G568" s="5" t="s">
        <v>25</v>
      </c>
      <c r="H568" s="5" t="s">
        <v>18</v>
      </c>
      <c r="I568" s="5" t="s">
        <v>17</v>
      </c>
      <c r="J568" s="7">
        <v>45622</v>
      </c>
      <c r="K568" s="5" t="s">
        <v>17</v>
      </c>
      <c r="L568" s="8">
        <v>43605</v>
      </c>
      <c r="M568" s="19">
        <v>264</v>
      </c>
      <c r="N568" s="19">
        <v>314</v>
      </c>
      <c r="O568" s="24">
        <v>2200</v>
      </c>
      <c r="P568" s="24">
        <v>3300</v>
      </c>
      <c r="Q568" t="s">
        <v>1983</v>
      </c>
      <c r="R568" s="19">
        <f>VLOOKUP(A568,[1]Sheet1!$A$2:$Q$1536,15,FALSE)</f>
        <v>2479.7919921875</v>
      </c>
      <c r="S568" s="27">
        <f t="shared" si="24"/>
        <v>-0.3307567773412195</v>
      </c>
      <c r="T568" s="19">
        <f>VLOOKUP(A568,[1]Sheet1!$A$2:$Q$1536,16,FALSE)</f>
        <v>9354.2689700171286</v>
      </c>
      <c r="U568" s="27">
        <f t="shared" si="25"/>
        <v>0.64721989387119816</v>
      </c>
      <c r="V568" s="19">
        <f>VLOOKUP(A568,[1]Sheet1!$A$2:$Q$1536,17,FALSE)</f>
        <v>2401.01171875</v>
      </c>
      <c r="W568" s="27">
        <f t="shared" si="26"/>
        <v>-0.37442061370613627</v>
      </c>
    </row>
    <row r="569" spans="1:23" x14ac:dyDescent="0.3">
      <c r="A569" s="4" t="s">
        <v>1502</v>
      </c>
      <c r="B569" s="5">
        <v>2014</v>
      </c>
      <c r="C569" s="5" t="s">
        <v>1228</v>
      </c>
      <c r="D569" s="15" t="s">
        <v>1232</v>
      </c>
      <c r="E569" s="6">
        <v>96631</v>
      </c>
      <c r="F569" s="5" t="s">
        <v>32</v>
      </c>
      <c r="G569" s="5" t="s">
        <v>25</v>
      </c>
      <c r="H569" s="5" t="s">
        <v>18</v>
      </c>
      <c r="I569" s="5" t="s">
        <v>17</v>
      </c>
      <c r="J569" s="7">
        <v>45365</v>
      </c>
      <c r="K569" s="5" t="s">
        <v>17</v>
      </c>
      <c r="L569" s="8">
        <v>43950</v>
      </c>
      <c r="M569" s="19">
        <v>264</v>
      </c>
      <c r="N569" s="19">
        <v>314</v>
      </c>
      <c r="O569" s="24">
        <v>5600</v>
      </c>
      <c r="P569" s="24">
        <v>11800</v>
      </c>
      <c r="Q569" t="s">
        <v>1983</v>
      </c>
      <c r="R569" s="19">
        <f>VLOOKUP(A569,[1]Sheet1!$A$2:$Q$1536,15,FALSE)</f>
        <v>3077.371826171875</v>
      </c>
      <c r="S569" s="27">
        <f t="shared" si="24"/>
        <v>-2.834440771714843</v>
      </c>
      <c r="T569" s="19">
        <f>VLOOKUP(A569,[1]Sheet1!$A$2:$Q$1536,16,FALSE)</f>
        <v>9230.0384318859506</v>
      </c>
      <c r="U569" s="27">
        <f t="shared" si="25"/>
        <v>-0.27843454684174435</v>
      </c>
      <c r="V569" s="19">
        <f>VLOOKUP(A569,[1]Sheet1!$A$2:$Q$1536,17,FALSE)</f>
        <v>2984.02783203125</v>
      </c>
      <c r="W569" s="27">
        <f t="shared" si="26"/>
        <v>-2.9543867095795995</v>
      </c>
    </row>
    <row r="570" spans="1:23" x14ac:dyDescent="0.3">
      <c r="A570" s="4" t="s">
        <v>1291</v>
      </c>
      <c r="B570" s="5">
        <v>2015</v>
      </c>
      <c r="C570" s="5" t="s">
        <v>636</v>
      </c>
      <c r="D570" s="15" t="s">
        <v>1288</v>
      </c>
      <c r="E570" s="6">
        <v>122820</v>
      </c>
      <c r="F570" s="5" t="s">
        <v>199</v>
      </c>
      <c r="G570" s="5" t="s">
        <v>33</v>
      </c>
      <c r="H570" s="5" t="s">
        <v>17</v>
      </c>
      <c r="I570" s="5" t="s">
        <v>18</v>
      </c>
      <c r="J570" s="7">
        <v>45596</v>
      </c>
      <c r="K570" s="5" t="s">
        <v>17</v>
      </c>
      <c r="L570" s="8">
        <v>44137</v>
      </c>
      <c r="M570" s="19">
        <v>280</v>
      </c>
      <c r="N570" s="19">
        <v>330</v>
      </c>
      <c r="O570" s="24">
        <v>0</v>
      </c>
      <c r="P570" s="24">
        <v>3200</v>
      </c>
      <c r="Q570" t="s">
        <v>1983</v>
      </c>
      <c r="R570" s="19">
        <f>VLOOKUP(A570,[1]Sheet1!$A$2:$Q$1536,15,FALSE)</f>
        <v>5900.62353515625</v>
      </c>
      <c r="S570" s="27">
        <f t="shared" si="24"/>
        <v>0.45768443268169567</v>
      </c>
      <c r="T570" s="19">
        <f>VLOOKUP(A570,[1]Sheet1!$A$2:$Q$1536,16,FALSE)</f>
        <v>9640.0025266986449</v>
      </c>
      <c r="U570" s="27">
        <f t="shared" si="25"/>
        <v>0.66804987953712858</v>
      </c>
      <c r="V570" s="19">
        <f>VLOOKUP(A570,[1]Sheet1!$A$2:$Q$1536,17,FALSE)</f>
        <v>5970.46337890625</v>
      </c>
      <c r="W570" s="27">
        <f t="shared" si="26"/>
        <v>0.46402820067439737</v>
      </c>
    </row>
    <row r="571" spans="1:23" x14ac:dyDescent="0.3">
      <c r="A571" s="4" t="s">
        <v>803</v>
      </c>
      <c r="B571" s="5">
        <v>2014</v>
      </c>
      <c r="C571" s="5" t="s">
        <v>519</v>
      </c>
      <c r="D571" s="15" t="s">
        <v>801</v>
      </c>
      <c r="E571" s="6">
        <v>123379</v>
      </c>
      <c r="F571" s="5" t="s">
        <v>79</v>
      </c>
      <c r="G571" s="5" t="s">
        <v>25</v>
      </c>
      <c r="H571" s="5" t="s">
        <v>18</v>
      </c>
      <c r="I571" s="5" t="s">
        <v>17</v>
      </c>
      <c r="J571" s="7">
        <v>45664</v>
      </c>
      <c r="K571" s="5" t="s">
        <v>17</v>
      </c>
      <c r="L571" s="8">
        <v>43608</v>
      </c>
      <c r="M571" s="19">
        <v>264</v>
      </c>
      <c r="N571" s="19">
        <v>314</v>
      </c>
      <c r="O571" s="24">
        <v>3500</v>
      </c>
      <c r="P571" s="24">
        <v>6500</v>
      </c>
      <c r="Q571" t="s">
        <v>1983</v>
      </c>
      <c r="R571" s="19">
        <f>VLOOKUP(A571,[1]Sheet1!$A$2:$Q$1536,15,FALSE)</f>
        <v>1405.217407226562</v>
      </c>
      <c r="S571" s="27">
        <f t="shared" si="24"/>
        <v>-3.6256187594693023</v>
      </c>
      <c r="T571" s="19">
        <f>VLOOKUP(A571,[1]Sheet1!$A$2:$Q$1536,16,FALSE)</f>
        <v>8989.9670992528627</v>
      </c>
      <c r="U571" s="27">
        <f t="shared" si="25"/>
        <v>0.27697176994783423</v>
      </c>
      <c r="V571" s="19">
        <f>VLOOKUP(A571,[1]Sheet1!$A$2:$Q$1536,17,FALSE)</f>
        <v>1380.25</v>
      </c>
      <c r="W571" s="27">
        <f t="shared" si="26"/>
        <v>-3.7092917949646802</v>
      </c>
    </row>
    <row r="572" spans="1:23" x14ac:dyDescent="0.3">
      <c r="A572" s="4" t="s">
        <v>647</v>
      </c>
      <c r="B572" s="5">
        <v>2014</v>
      </c>
      <c r="C572" s="5" t="s">
        <v>636</v>
      </c>
      <c r="D572" s="15" t="s">
        <v>641</v>
      </c>
      <c r="E572" s="6">
        <v>163823</v>
      </c>
      <c r="F572" s="5" t="s">
        <v>79</v>
      </c>
      <c r="G572" s="5" t="s">
        <v>22</v>
      </c>
      <c r="H572" s="5" t="s">
        <v>18</v>
      </c>
      <c r="I572" s="5" t="s">
        <v>17</v>
      </c>
      <c r="J572" s="7">
        <v>45400</v>
      </c>
      <c r="K572" s="5" t="s">
        <v>17</v>
      </c>
      <c r="L572" s="8">
        <v>44444</v>
      </c>
      <c r="M572" s="19">
        <v>264</v>
      </c>
      <c r="N572" s="19">
        <v>314</v>
      </c>
      <c r="O572" s="24">
        <v>0</v>
      </c>
      <c r="P572" s="24">
        <v>7900</v>
      </c>
      <c r="Q572" t="s">
        <v>1983</v>
      </c>
      <c r="R572" s="19">
        <f>VLOOKUP(A572,[1]Sheet1!$A$2:$Q$1536,15,FALSE)</f>
        <v>1363.818115234375</v>
      </c>
      <c r="S572" s="27">
        <f t="shared" si="24"/>
        <v>-4.79256127466995</v>
      </c>
      <c r="T572" s="19">
        <f>VLOOKUP(A572,[1]Sheet1!$A$2:$Q$1536,16,FALSE)</f>
        <v>8768.7764403362253</v>
      </c>
      <c r="U572" s="27">
        <f t="shared" si="25"/>
        <v>9.9076130660586598E-2</v>
      </c>
      <c r="V572" s="19">
        <f>VLOOKUP(A572,[1]Sheet1!$A$2:$Q$1536,17,FALSE)</f>
        <v>1385.325439453125</v>
      </c>
      <c r="W572" s="27">
        <f t="shared" si="26"/>
        <v>-4.7026311471755156</v>
      </c>
    </row>
    <row r="573" spans="1:23" x14ac:dyDescent="0.3">
      <c r="A573" s="4" t="s">
        <v>1170</v>
      </c>
      <c r="B573" s="5">
        <v>2018</v>
      </c>
      <c r="C573" s="5" t="s">
        <v>636</v>
      </c>
      <c r="D573" s="15" t="s">
        <v>1164</v>
      </c>
      <c r="E573" s="6">
        <v>130420</v>
      </c>
      <c r="F573" s="5" t="s">
        <v>79</v>
      </c>
      <c r="G573" s="5" t="s">
        <v>25</v>
      </c>
      <c r="H573" s="5" t="s">
        <v>18</v>
      </c>
      <c r="I573" s="5" t="s">
        <v>17</v>
      </c>
      <c r="J573" s="7">
        <v>45351</v>
      </c>
      <c r="K573" s="5" t="s">
        <v>17</v>
      </c>
      <c r="L573" s="8">
        <v>43612</v>
      </c>
      <c r="M573" s="19">
        <v>264</v>
      </c>
      <c r="N573" s="19">
        <v>314</v>
      </c>
      <c r="O573" s="24">
        <v>3000</v>
      </c>
      <c r="P573" s="24">
        <v>8000</v>
      </c>
      <c r="Q573" t="s">
        <v>1983</v>
      </c>
      <c r="R573" s="19">
        <f>VLOOKUP(A573,[1]Sheet1!$A$2:$Q$1536,15,FALSE)</f>
        <v>3520.397705078125</v>
      </c>
      <c r="S573" s="27">
        <f t="shared" si="24"/>
        <v>-1.2724705190155392</v>
      </c>
      <c r="T573" s="19">
        <f>VLOOKUP(A573,[1]Sheet1!$A$2:$Q$1536,16,FALSE)</f>
        <v>8776.7495628836423</v>
      </c>
      <c r="U573" s="27">
        <f t="shared" si="25"/>
        <v>8.850082337639785E-2</v>
      </c>
      <c r="V573" s="19">
        <f>VLOOKUP(A573,[1]Sheet1!$A$2:$Q$1536,17,FALSE)</f>
        <v>3459.5888671875</v>
      </c>
      <c r="W573" s="27">
        <f t="shared" si="26"/>
        <v>-1.3124134997300021</v>
      </c>
    </row>
    <row r="574" spans="1:23" x14ac:dyDescent="0.3">
      <c r="A574" s="4" t="s">
        <v>421</v>
      </c>
      <c r="B574" s="5">
        <v>2017</v>
      </c>
      <c r="C574" s="5" t="s">
        <v>391</v>
      </c>
      <c r="D574" s="15" t="s">
        <v>413</v>
      </c>
      <c r="E574" s="6">
        <v>77302</v>
      </c>
      <c r="F574" s="5" t="s">
        <v>64</v>
      </c>
      <c r="G574" s="5" t="s">
        <v>25</v>
      </c>
      <c r="H574" s="5" t="s">
        <v>18</v>
      </c>
      <c r="I574" s="5" t="s">
        <v>17</v>
      </c>
      <c r="J574" s="7">
        <v>45706</v>
      </c>
      <c r="K574" s="5" t="s">
        <v>17</v>
      </c>
      <c r="L574" s="8">
        <v>44307</v>
      </c>
      <c r="M574" s="19">
        <v>235</v>
      </c>
      <c r="N574" s="19">
        <v>285</v>
      </c>
      <c r="O574" s="24">
        <v>6200</v>
      </c>
      <c r="P574" s="24">
        <v>8200</v>
      </c>
      <c r="Q574" t="s">
        <v>1983</v>
      </c>
      <c r="R574" s="19">
        <f>VLOOKUP(A574,[1]Sheet1!$A$2:$Q$1536,15,FALSE)</f>
        <v>10816.55859375</v>
      </c>
      <c r="S574" s="27">
        <f t="shared" si="24"/>
        <v>0.24190305734227652</v>
      </c>
      <c r="T574" s="19">
        <f>VLOOKUP(A574,[1]Sheet1!$A$2:$Q$1536,16,FALSE)</f>
        <v>9546.3568795521151</v>
      </c>
      <c r="U574" s="27">
        <f t="shared" si="25"/>
        <v>0.14103357925324933</v>
      </c>
      <c r="V574" s="19">
        <f>VLOOKUP(A574,[1]Sheet1!$A$2:$Q$1536,17,FALSE)</f>
        <v>10708.1337890625</v>
      </c>
      <c r="W574" s="27">
        <f t="shared" si="26"/>
        <v>0.2342269753506776</v>
      </c>
    </row>
    <row r="575" spans="1:23" x14ac:dyDescent="0.3">
      <c r="A575" s="4" t="s">
        <v>1669</v>
      </c>
      <c r="B575" s="5">
        <v>2018</v>
      </c>
      <c r="C575" s="5" t="s">
        <v>1089</v>
      </c>
      <c r="D575" s="15" t="s">
        <v>1659</v>
      </c>
      <c r="E575" s="6">
        <v>163027</v>
      </c>
      <c r="F575" s="5" t="s">
        <v>144</v>
      </c>
      <c r="G575" s="5" t="s">
        <v>22</v>
      </c>
      <c r="H575" s="5" t="s">
        <v>18</v>
      </c>
      <c r="I575" s="5" t="s">
        <v>17</v>
      </c>
      <c r="J575" s="7">
        <v>45692</v>
      </c>
      <c r="K575" s="5" t="s">
        <v>17</v>
      </c>
      <c r="L575" s="8">
        <v>44128</v>
      </c>
      <c r="M575" s="19">
        <v>264</v>
      </c>
      <c r="N575" s="19">
        <v>314</v>
      </c>
      <c r="O575" s="24">
        <v>3100</v>
      </c>
      <c r="P575" s="24">
        <v>9800</v>
      </c>
      <c r="Q575" t="s">
        <v>1983</v>
      </c>
      <c r="R575" s="19">
        <f>VLOOKUP(A575,[1]Sheet1!$A$2:$Q$1536,15,FALSE)</f>
        <v>1720.48095703125</v>
      </c>
      <c r="S575" s="27">
        <f t="shared" si="24"/>
        <v>-4.6960816450478138</v>
      </c>
      <c r="T575" s="19">
        <f>VLOOKUP(A575,[1]Sheet1!$A$2:$Q$1536,16,FALSE)</f>
        <v>8879.1559208754079</v>
      </c>
      <c r="U575" s="27">
        <f t="shared" si="25"/>
        <v>-0.10370851546368665</v>
      </c>
      <c r="V575" s="19">
        <f>VLOOKUP(A575,[1]Sheet1!$A$2:$Q$1536,17,FALSE)</f>
        <v>1672.987060546875</v>
      </c>
      <c r="W575" s="27">
        <f t="shared" si="26"/>
        <v>-4.8577858915397254</v>
      </c>
    </row>
    <row r="576" spans="1:23" x14ac:dyDescent="0.3">
      <c r="A576" s="4" t="s">
        <v>1777</v>
      </c>
      <c r="B576" s="5">
        <v>2015</v>
      </c>
      <c r="C576" s="5" t="s">
        <v>1086</v>
      </c>
      <c r="D576" s="15" t="s">
        <v>1758</v>
      </c>
      <c r="E576" s="6">
        <v>171888</v>
      </c>
      <c r="F576" s="5" t="s">
        <v>170</v>
      </c>
      <c r="G576" s="5" t="s">
        <v>25</v>
      </c>
      <c r="H576" s="5" t="s">
        <v>18</v>
      </c>
      <c r="I576" s="5" t="s">
        <v>17</v>
      </c>
      <c r="J576" s="7">
        <v>45344</v>
      </c>
      <c r="K576" s="5" t="s">
        <v>17</v>
      </c>
      <c r="L576" s="8">
        <v>44113</v>
      </c>
      <c r="M576" s="19">
        <v>264</v>
      </c>
      <c r="N576" s="19">
        <v>314</v>
      </c>
      <c r="O576" s="24">
        <v>1700</v>
      </c>
      <c r="P576" s="24">
        <v>5000</v>
      </c>
      <c r="Q576" t="s">
        <v>1983</v>
      </c>
      <c r="R576" s="19">
        <f>VLOOKUP(A576,[1]Sheet1!$A$2:$Q$1536,15,FALSE)</f>
        <v>2740.84716796875</v>
      </c>
      <c r="S576" s="27">
        <f t="shared" si="24"/>
        <v>-0.82425348572263335</v>
      </c>
      <c r="T576" s="19">
        <f>VLOOKUP(A576,[1]Sheet1!$A$2:$Q$1536,16,FALSE)</f>
        <v>8658.6831027501685</v>
      </c>
      <c r="U576" s="27">
        <f t="shared" si="25"/>
        <v>0.42254498280322772</v>
      </c>
      <c r="V576" s="19">
        <f>VLOOKUP(A576,[1]Sheet1!$A$2:$Q$1536,17,FALSE)</f>
        <v>2609.54150390625</v>
      </c>
      <c r="W576" s="27">
        <f t="shared" si="26"/>
        <v>-0.91604540204302087</v>
      </c>
    </row>
    <row r="577" spans="1:23" x14ac:dyDescent="0.3">
      <c r="A577" s="4" t="s">
        <v>26</v>
      </c>
      <c r="B577" s="5">
        <v>2014</v>
      </c>
      <c r="C577" s="5" t="s">
        <v>13</v>
      </c>
      <c r="D577" s="15" t="s">
        <v>20</v>
      </c>
      <c r="E577" s="6">
        <v>100962</v>
      </c>
      <c r="F577" s="5" t="s">
        <v>27</v>
      </c>
      <c r="G577" s="5" t="s">
        <v>28</v>
      </c>
      <c r="H577" s="5" t="s">
        <v>17</v>
      </c>
      <c r="I577" s="5" t="s">
        <v>18</v>
      </c>
      <c r="J577" s="7">
        <v>45524</v>
      </c>
      <c r="K577" s="5" t="s">
        <v>17</v>
      </c>
      <c r="L577" s="8">
        <v>44035</v>
      </c>
      <c r="M577" s="19">
        <v>222</v>
      </c>
      <c r="N577" s="19">
        <v>272</v>
      </c>
      <c r="O577" s="24">
        <v>8300</v>
      </c>
      <c r="P577" s="24">
        <v>10200</v>
      </c>
      <c r="Q577" t="s">
        <v>1983</v>
      </c>
      <c r="R577" s="19">
        <f>VLOOKUP(A577,[1]Sheet1!$A$2:$Q$1536,15,FALSE)</f>
        <v>3240.276123046875</v>
      </c>
      <c r="S577" s="27">
        <f t="shared" si="24"/>
        <v>-2.1478798758695921</v>
      </c>
      <c r="T577" s="19">
        <f>VLOOKUP(A577,[1]Sheet1!$A$2:$Q$1536,16,FALSE)</f>
        <v>9226.5878225791967</v>
      </c>
      <c r="U577" s="27">
        <f t="shared" si="25"/>
        <v>-0.10550077624998926</v>
      </c>
      <c r="V577" s="19">
        <f>VLOOKUP(A577,[1]Sheet1!$A$2:$Q$1536,17,FALSE)</f>
        <v>3111.6103515625</v>
      </c>
      <c r="W577" s="27">
        <f t="shared" si="26"/>
        <v>-2.2780454001504573</v>
      </c>
    </row>
    <row r="578" spans="1:23" x14ac:dyDescent="0.3">
      <c r="A578" s="4" t="s">
        <v>371</v>
      </c>
      <c r="B578" s="5">
        <v>2021</v>
      </c>
      <c r="C578" s="5" t="s">
        <v>237</v>
      </c>
      <c r="D578" s="15" t="s">
        <v>372</v>
      </c>
      <c r="E578" s="6">
        <v>72564</v>
      </c>
      <c r="F578" s="5" t="s">
        <v>199</v>
      </c>
      <c r="G578" s="5" t="s">
        <v>16</v>
      </c>
      <c r="H578" s="5" t="s">
        <v>17</v>
      </c>
      <c r="I578" s="5" t="s">
        <v>18</v>
      </c>
      <c r="J578" s="7">
        <v>45622</v>
      </c>
      <c r="K578" s="5" t="s">
        <v>17</v>
      </c>
      <c r="L578" s="8">
        <v>44827</v>
      </c>
      <c r="M578" s="19">
        <v>128</v>
      </c>
      <c r="N578" s="19">
        <v>158</v>
      </c>
      <c r="O578" s="24">
        <v>0</v>
      </c>
      <c r="P578" s="24">
        <v>31000</v>
      </c>
      <c r="Q578" t="s">
        <v>1983</v>
      </c>
      <c r="R578" s="19">
        <f>VLOOKUP(A578,[1]Sheet1!$A$2:$Q$1536,15,FALSE)</f>
        <v>23552.189453125</v>
      </c>
      <c r="S578" s="27">
        <f t="shared" si="24"/>
        <v>-0.31622582527616322</v>
      </c>
      <c r="T578" s="19">
        <f>VLOOKUP(A578,[1]Sheet1!$A$2:$Q$1536,16,FALSE)</f>
        <v>13589.58159258128</v>
      </c>
      <c r="U578" s="27">
        <f t="shared" si="25"/>
        <v>-1.2811592681354724</v>
      </c>
      <c r="V578" s="19">
        <f>VLOOKUP(A578,[1]Sheet1!$A$2:$Q$1536,17,FALSE)</f>
        <v>23672.9609375</v>
      </c>
      <c r="W578" s="27">
        <f t="shared" si="26"/>
        <v>-0.30951088382414138</v>
      </c>
    </row>
    <row r="579" spans="1:23" x14ac:dyDescent="0.3">
      <c r="A579" s="4" t="s">
        <v>1128</v>
      </c>
      <c r="B579" s="5">
        <v>2017</v>
      </c>
      <c r="C579" s="5" t="s">
        <v>633</v>
      </c>
      <c r="D579" s="15" t="s">
        <v>1119</v>
      </c>
      <c r="E579" s="6">
        <v>112344</v>
      </c>
      <c r="F579" s="5" t="s">
        <v>132</v>
      </c>
      <c r="G579" s="5" t="s">
        <v>25</v>
      </c>
      <c r="H579" s="5" t="s">
        <v>18</v>
      </c>
      <c r="I579" s="5" t="s">
        <v>17</v>
      </c>
      <c r="J579" s="7">
        <v>45426</v>
      </c>
      <c r="K579" s="5" t="s">
        <v>17</v>
      </c>
      <c r="L579" s="8">
        <v>43608</v>
      </c>
      <c r="M579" s="19">
        <v>264</v>
      </c>
      <c r="N579" s="19">
        <v>314</v>
      </c>
      <c r="O579" s="24">
        <v>5200</v>
      </c>
      <c r="P579" s="24">
        <v>7600</v>
      </c>
      <c r="Q579" t="s">
        <v>1983</v>
      </c>
      <c r="R579" s="19">
        <f>VLOOKUP(A579,[1]Sheet1!$A$2:$Q$1536,15,FALSE)</f>
        <v>3703.312255859375</v>
      </c>
      <c r="S579" s="27">
        <f t="shared" ref="S579:S642" si="27">(R579-$P579)/R579</f>
        <v>-1.0522169006881048</v>
      </c>
      <c r="T579" s="19">
        <f>VLOOKUP(A579,[1]Sheet1!$A$2:$Q$1536,16,FALSE)</f>
        <v>8821.183694629186</v>
      </c>
      <c r="U579" s="27">
        <f t="shared" ref="U579:U642" si="28">(T579-$P579)/T579</f>
        <v>0.13843762208157037</v>
      </c>
      <c r="V579" s="19">
        <f>VLOOKUP(A579,[1]Sheet1!$A$2:$Q$1536,17,FALSE)</f>
        <v>3609.90283203125</v>
      </c>
      <c r="W579" s="27">
        <f t="shared" ref="W579:W642" si="29">(V579-$P579)/V579</f>
        <v>-1.1053198253880891</v>
      </c>
    </row>
    <row r="580" spans="1:23" x14ac:dyDescent="0.3">
      <c r="A580" s="4" t="s">
        <v>958</v>
      </c>
      <c r="B580" s="5">
        <v>2019</v>
      </c>
      <c r="C580" s="5" t="s">
        <v>96</v>
      </c>
      <c r="D580" s="15" t="s">
        <v>107</v>
      </c>
      <c r="E580" s="6">
        <v>65791</v>
      </c>
      <c r="F580" s="5" t="s">
        <v>59</v>
      </c>
      <c r="G580" s="5" t="s">
        <v>16</v>
      </c>
      <c r="H580" s="5" t="s">
        <v>17</v>
      </c>
      <c r="I580" s="5" t="s">
        <v>18</v>
      </c>
      <c r="J580" s="7">
        <v>45454</v>
      </c>
      <c r="K580" s="5" t="s">
        <v>17</v>
      </c>
      <c r="L580" s="8">
        <v>44310</v>
      </c>
      <c r="M580" s="19">
        <v>235</v>
      </c>
      <c r="N580" s="19">
        <v>285</v>
      </c>
      <c r="O580" s="24">
        <v>15500</v>
      </c>
      <c r="P580" s="24">
        <v>15800</v>
      </c>
      <c r="Q580" t="s">
        <v>1983</v>
      </c>
      <c r="R580" s="19">
        <f>VLOOKUP(A580,[1]Sheet1!$A$2:$Q$1536,15,FALSE)</f>
        <v>12597.9912109375</v>
      </c>
      <c r="S580" s="27">
        <f t="shared" si="27"/>
        <v>-0.2541682031245216</v>
      </c>
      <c r="T580" s="19">
        <f>VLOOKUP(A580,[1]Sheet1!$A$2:$Q$1536,16,FALSE)</f>
        <v>11628.37089904073</v>
      </c>
      <c r="U580" s="27">
        <f t="shared" si="28"/>
        <v>-0.35874578968782322</v>
      </c>
      <c r="V580" s="19">
        <f>VLOOKUP(A580,[1]Sheet1!$A$2:$Q$1536,17,FALSE)</f>
        <v>12626.3740234375</v>
      </c>
      <c r="W580" s="27">
        <f t="shared" si="29"/>
        <v>-0.25134895977827909</v>
      </c>
    </row>
    <row r="581" spans="1:23" x14ac:dyDescent="0.3">
      <c r="A581" s="4" t="s">
        <v>176</v>
      </c>
      <c r="B581" s="5">
        <v>2017</v>
      </c>
      <c r="C581" s="5" t="s">
        <v>96</v>
      </c>
      <c r="D581" s="15" t="s">
        <v>177</v>
      </c>
      <c r="E581" s="6">
        <v>92498</v>
      </c>
      <c r="F581" s="5" t="s">
        <v>161</v>
      </c>
      <c r="G581" s="5" t="s">
        <v>16</v>
      </c>
      <c r="H581" s="5" t="s">
        <v>17</v>
      </c>
      <c r="I581" s="5" t="s">
        <v>18</v>
      </c>
      <c r="J581" s="7">
        <v>45498</v>
      </c>
      <c r="K581" s="5" t="s">
        <v>17</v>
      </c>
      <c r="L581" s="8">
        <v>44028</v>
      </c>
      <c r="M581" s="19">
        <v>235</v>
      </c>
      <c r="N581" s="19">
        <v>285</v>
      </c>
      <c r="O581" s="24">
        <v>0</v>
      </c>
      <c r="P581" s="24">
        <v>15200</v>
      </c>
      <c r="Q581" t="s">
        <v>1983</v>
      </c>
      <c r="R581" s="19">
        <f>VLOOKUP(A581,[1]Sheet1!$A$2:$Q$1536,15,FALSE)</f>
        <v>11517.349609375</v>
      </c>
      <c r="S581" s="27">
        <f t="shared" si="27"/>
        <v>-0.31974807707733049</v>
      </c>
      <c r="T581" s="19">
        <f>VLOOKUP(A581,[1]Sheet1!$A$2:$Q$1536,16,FALSE)</f>
        <v>10251.992913484501</v>
      </c>
      <c r="U581" s="27">
        <f t="shared" si="28"/>
        <v>-0.4826385589876247</v>
      </c>
      <c r="V581" s="19">
        <f>VLOOKUP(A581,[1]Sheet1!$A$2:$Q$1536,17,FALSE)</f>
        <v>11462.9462890625</v>
      </c>
      <c r="W581" s="27">
        <f t="shared" si="29"/>
        <v>-0.32601162185530363</v>
      </c>
    </row>
    <row r="582" spans="1:23" x14ac:dyDescent="0.3">
      <c r="A582" s="4" t="s">
        <v>472</v>
      </c>
      <c r="B582" s="5">
        <v>2016</v>
      </c>
      <c r="C582" s="5" t="s">
        <v>391</v>
      </c>
      <c r="D582" s="15" t="s">
        <v>464</v>
      </c>
      <c r="E582" s="6">
        <v>85932</v>
      </c>
      <c r="F582" s="5" t="s">
        <v>132</v>
      </c>
      <c r="G582" s="5" t="s">
        <v>22</v>
      </c>
      <c r="H582" s="5" t="s">
        <v>18</v>
      </c>
      <c r="I582" s="5" t="s">
        <v>17</v>
      </c>
      <c r="J582" s="7">
        <v>45664</v>
      </c>
      <c r="K582" s="5" t="s">
        <v>17</v>
      </c>
      <c r="L582" s="8">
        <v>44067</v>
      </c>
      <c r="M582" s="19">
        <v>235</v>
      </c>
      <c r="N582" s="19">
        <v>285</v>
      </c>
      <c r="O582" s="24">
        <v>2100</v>
      </c>
      <c r="P582" s="24">
        <v>3100</v>
      </c>
      <c r="Q582" t="s">
        <v>1983</v>
      </c>
      <c r="R582" s="19">
        <f>VLOOKUP(A582,[1]Sheet1!$A$2:$Q$1536,15,FALSE)</f>
        <v>3916.809326171875</v>
      </c>
      <c r="S582" s="27">
        <f t="shared" si="27"/>
        <v>0.20853946622165295</v>
      </c>
      <c r="T582" s="19">
        <f>VLOOKUP(A582,[1]Sheet1!$A$2:$Q$1536,16,FALSE)</f>
        <v>9483.6972704725667</v>
      </c>
      <c r="U582" s="27">
        <f t="shared" si="28"/>
        <v>0.67312326494732899</v>
      </c>
      <c r="V582" s="19">
        <f>VLOOKUP(A582,[1]Sheet1!$A$2:$Q$1536,17,FALSE)</f>
        <v>4033.81982421875</v>
      </c>
      <c r="W582" s="27">
        <f t="shared" si="29"/>
        <v>0.23149765356701513</v>
      </c>
    </row>
    <row r="583" spans="1:23" x14ac:dyDescent="0.3">
      <c r="A583" s="4" t="s">
        <v>704</v>
      </c>
      <c r="B583" s="5">
        <v>2014</v>
      </c>
      <c r="C583" s="5" t="s">
        <v>684</v>
      </c>
      <c r="D583" s="15" t="s">
        <v>691</v>
      </c>
      <c r="E583" s="6">
        <v>146363</v>
      </c>
      <c r="F583" s="5" t="s">
        <v>42</v>
      </c>
      <c r="G583" s="5" t="s">
        <v>22</v>
      </c>
      <c r="H583" s="5" t="s">
        <v>18</v>
      </c>
      <c r="I583" s="5" t="s">
        <v>17</v>
      </c>
      <c r="J583" s="7">
        <v>45631</v>
      </c>
      <c r="K583" s="5" t="s">
        <v>17</v>
      </c>
      <c r="L583" s="8">
        <v>44113</v>
      </c>
      <c r="M583" s="19">
        <v>264</v>
      </c>
      <c r="N583" s="19">
        <v>314</v>
      </c>
      <c r="O583" s="24">
        <v>0</v>
      </c>
      <c r="P583" s="24">
        <v>3000</v>
      </c>
      <c r="Q583" t="s">
        <v>1983</v>
      </c>
      <c r="R583" s="19">
        <f>VLOOKUP(A583,[1]Sheet1!$A$2:$Q$1536,15,FALSE)</f>
        <v>1171.84326171875</v>
      </c>
      <c r="S583" s="27">
        <f t="shared" si="27"/>
        <v>-1.5600693352111619</v>
      </c>
      <c r="T583" s="19">
        <f>VLOOKUP(A583,[1]Sheet1!$A$2:$Q$1536,16,FALSE)</f>
        <v>8936.3605561875611</v>
      </c>
      <c r="U583" s="27">
        <f t="shared" si="28"/>
        <v>0.66429286496024476</v>
      </c>
      <c r="V583" s="19">
        <f>VLOOKUP(A583,[1]Sheet1!$A$2:$Q$1536,17,FALSE)</f>
        <v>1276.312622070312</v>
      </c>
      <c r="W583" s="27">
        <f t="shared" si="29"/>
        <v>-1.3505212971518588</v>
      </c>
    </row>
    <row r="584" spans="1:23" x14ac:dyDescent="0.3">
      <c r="A584" s="4" t="s">
        <v>1754</v>
      </c>
      <c r="B584" s="5">
        <v>2014</v>
      </c>
      <c r="C584" s="5" t="s">
        <v>1086</v>
      </c>
      <c r="D584" s="15" t="s">
        <v>1753</v>
      </c>
      <c r="E584" s="6">
        <v>91226</v>
      </c>
      <c r="F584" s="5" t="s">
        <v>21</v>
      </c>
      <c r="G584" s="5" t="s">
        <v>25</v>
      </c>
      <c r="H584" s="5" t="s">
        <v>18</v>
      </c>
      <c r="I584" s="5" t="s">
        <v>17</v>
      </c>
      <c r="J584" s="7">
        <v>45449</v>
      </c>
      <c r="K584" s="5" t="s">
        <v>17</v>
      </c>
      <c r="L584" s="8">
        <v>44483</v>
      </c>
      <c r="M584" s="19">
        <v>264</v>
      </c>
      <c r="N584" s="19">
        <v>314</v>
      </c>
      <c r="O584" s="24">
        <v>2000</v>
      </c>
      <c r="P584" s="24">
        <v>2400</v>
      </c>
      <c r="Q584" t="s">
        <v>1983</v>
      </c>
      <c r="R584" s="19">
        <f>VLOOKUP(A584,[1]Sheet1!$A$2:$Q$1536,15,FALSE)</f>
        <v>1915.503662109375</v>
      </c>
      <c r="S584" s="27">
        <f t="shared" si="27"/>
        <v>-0.25293417468964374</v>
      </c>
      <c r="T584" s="19">
        <f>VLOOKUP(A584,[1]Sheet1!$A$2:$Q$1536,16,FALSE)</f>
        <v>8803.602854112276</v>
      </c>
      <c r="U584" s="27">
        <f t="shared" si="28"/>
        <v>0.72738434027848842</v>
      </c>
      <c r="V584" s="19">
        <f>VLOOKUP(A584,[1]Sheet1!$A$2:$Q$1536,17,FALSE)</f>
        <v>1783.572998046875</v>
      </c>
      <c r="W584" s="27">
        <f t="shared" si="29"/>
        <v>-0.34561355359615303</v>
      </c>
    </row>
    <row r="585" spans="1:23" x14ac:dyDescent="0.3">
      <c r="A585" s="4" t="s">
        <v>1479</v>
      </c>
      <c r="B585" s="5">
        <v>2016</v>
      </c>
      <c r="C585" s="5" t="s">
        <v>920</v>
      </c>
      <c r="D585" s="15" t="s">
        <v>921</v>
      </c>
      <c r="E585" s="6">
        <v>136435</v>
      </c>
      <c r="F585" s="5" t="s">
        <v>32</v>
      </c>
      <c r="G585" s="5" t="s">
        <v>28</v>
      </c>
      <c r="H585" s="5" t="s">
        <v>17</v>
      </c>
      <c r="I585" s="5" t="s">
        <v>18</v>
      </c>
      <c r="J585" s="7">
        <v>45610</v>
      </c>
      <c r="K585" s="5" t="s">
        <v>17</v>
      </c>
      <c r="L585" s="8">
        <v>44128</v>
      </c>
      <c r="M585" s="19">
        <v>264</v>
      </c>
      <c r="N585" s="19">
        <v>314</v>
      </c>
      <c r="O585" s="24">
        <v>4500</v>
      </c>
      <c r="P585" s="24">
        <v>12300</v>
      </c>
      <c r="Q585" t="s">
        <v>1983</v>
      </c>
      <c r="R585" s="19">
        <f>VLOOKUP(A585,[1]Sheet1!$A$2:$Q$1536,15,FALSE)</f>
        <v>3348.36669921875</v>
      </c>
      <c r="S585" s="27">
        <f t="shared" si="27"/>
        <v>-2.6734327822785566</v>
      </c>
      <c r="T585" s="19">
        <f>VLOOKUP(A585,[1]Sheet1!$A$2:$Q$1536,16,FALSE)</f>
        <v>9381.9709632600825</v>
      </c>
      <c r="U585" s="27">
        <f t="shared" si="28"/>
        <v>-0.31102516178817396</v>
      </c>
      <c r="V585" s="19">
        <f>VLOOKUP(A585,[1]Sheet1!$A$2:$Q$1536,17,FALSE)</f>
        <v>3306.4248046875</v>
      </c>
      <c r="W585" s="27">
        <f t="shared" si="29"/>
        <v>-2.7200301614488129</v>
      </c>
    </row>
    <row r="586" spans="1:23" x14ac:dyDescent="0.3">
      <c r="A586" s="4" t="s">
        <v>1125</v>
      </c>
      <c r="B586" s="5">
        <v>2016</v>
      </c>
      <c r="C586" s="5" t="s">
        <v>633</v>
      </c>
      <c r="D586" s="15" t="s">
        <v>1126</v>
      </c>
      <c r="E586" s="6">
        <v>95888</v>
      </c>
      <c r="F586" s="5" t="s">
        <v>246</v>
      </c>
      <c r="G586" s="5" t="s">
        <v>16</v>
      </c>
      <c r="H586" s="5" t="s">
        <v>17</v>
      </c>
      <c r="I586" s="5" t="s">
        <v>18</v>
      </c>
      <c r="J586" s="7">
        <v>45680</v>
      </c>
      <c r="K586" s="5" t="s">
        <v>17</v>
      </c>
      <c r="L586" s="8">
        <v>43605</v>
      </c>
      <c r="M586" s="19">
        <v>264</v>
      </c>
      <c r="N586" s="19">
        <v>314</v>
      </c>
      <c r="O586" s="24">
        <v>0</v>
      </c>
      <c r="P586" s="24">
        <v>9200</v>
      </c>
      <c r="Q586" t="s">
        <v>1983</v>
      </c>
      <c r="R586" s="19">
        <f>VLOOKUP(A586,[1]Sheet1!$A$2:$Q$1536,15,FALSE)</f>
        <v>9467.0302734375</v>
      </c>
      <c r="S586" s="27">
        <f t="shared" si="27"/>
        <v>2.8206339868451769E-2</v>
      </c>
      <c r="T586" s="19">
        <f>VLOOKUP(A586,[1]Sheet1!$A$2:$Q$1536,16,FALSE)</f>
        <v>10257.4298387737</v>
      </c>
      <c r="U586" s="27">
        <f t="shared" si="28"/>
        <v>0.10308916126109405</v>
      </c>
      <c r="V586" s="19">
        <f>VLOOKUP(A586,[1]Sheet1!$A$2:$Q$1536,17,FALSE)</f>
        <v>9504.462890625</v>
      </c>
      <c r="W586" s="27">
        <f t="shared" si="29"/>
        <v>3.2033676613679632E-2</v>
      </c>
    </row>
    <row r="587" spans="1:23" x14ac:dyDescent="0.3">
      <c r="A587" s="4" t="s">
        <v>106</v>
      </c>
      <c r="B587" s="5">
        <v>2016</v>
      </c>
      <c r="C587" s="5" t="s">
        <v>96</v>
      </c>
      <c r="D587" s="15" t="s">
        <v>107</v>
      </c>
      <c r="E587" s="6">
        <v>164927</v>
      </c>
      <c r="F587" s="5" t="s">
        <v>87</v>
      </c>
      <c r="G587" s="5" t="s">
        <v>33</v>
      </c>
      <c r="H587" s="5" t="s">
        <v>17</v>
      </c>
      <c r="I587" s="5" t="s">
        <v>18</v>
      </c>
      <c r="J587" s="7">
        <v>45454</v>
      </c>
      <c r="K587" s="5" t="s">
        <v>17</v>
      </c>
      <c r="L587" s="8">
        <v>44128</v>
      </c>
      <c r="M587" s="19">
        <v>264</v>
      </c>
      <c r="N587" s="19">
        <v>314</v>
      </c>
      <c r="O587" s="24">
        <v>2350</v>
      </c>
      <c r="P587" s="24">
        <v>8200</v>
      </c>
      <c r="Q587" t="s">
        <v>1983</v>
      </c>
      <c r="R587" s="19">
        <f>VLOOKUP(A587,[1]Sheet1!$A$2:$Q$1536,15,FALSE)</f>
        <v>2195.900390625</v>
      </c>
      <c r="S587" s="27">
        <f t="shared" si="27"/>
        <v>-2.7342313135005663</v>
      </c>
      <c r="T587" s="19">
        <f>VLOOKUP(A587,[1]Sheet1!$A$2:$Q$1536,16,FALSE)</f>
        <v>9188.3846158808974</v>
      </c>
      <c r="U587" s="27">
        <f t="shared" si="28"/>
        <v>0.10756892067541518</v>
      </c>
      <c r="V587" s="19">
        <f>VLOOKUP(A587,[1]Sheet1!$A$2:$Q$1536,17,FALSE)</f>
        <v>2105.391845703125</v>
      </c>
      <c r="W587" s="27">
        <f t="shared" si="29"/>
        <v>-2.8947619260211845</v>
      </c>
    </row>
    <row r="588" spans="1:23" x14ac:dyDescent="0.3">
      <c r="A588" s="4" t="s">
        <v>966</v>
      </c>
      <c r="B588" s="5">
        <v>2014</v>
      </c>
      <c r="C588" s="5" t="s">
        <v>83</v>
      </c>
      <c r="D588" s="15" t="s">
        <v>965</v>
      </c>
      <c r="E588" s="6">
        <v>131574</v>
      </c>
      <c r="F588" s="5" t="s">
        <v>112</v>
      </c>
      <c r="G588" s="5" t="s">
        <v>22</v>
      </c>
      <c r="H588" s="5" t="s">
        <v>18</v>
      </c>
      <c r="I588" s="5" t="s">
        <v>17</v>
      </c>
      <c r="J588" s="7">
        <v>45426</v>
      </c>
      <c r="K588" s="5" t="s">
        <v>17</v>
      </c>
      <c r="L588" s="8">
        <v>44310</v>
      </c>
      <c r="M588" s="19">
        <v>235</v>
      </c>
      <c r="N588" s="19">
        <v>285</v>
      </c>
      <c r="O588" s="24">
        <v>1000</v>
      </c>
      <c r="P588" s="24">
        <v>1900</v>
      </c>
      <c r="Q588" t="s">
        <v>1983</v>
      </c>
      <c r="R588" s="19">
        <f>VLOOKUP(A588,[1]Sheet1!$A$2:$Q$1536,15,FALSE)</f>
        <v>2339.989990234375</v>
      </c>
      <c r="S588" s="27">
        <f t="shared" si="27"/>
        <v>0.18803071469135016</v>
      </c>
      <c r="T588" s="19">
        <f>VLOOKUP(A588,[1]Sheet1!$A$2:$Q$1536,16,FALSE)</f>
        <v>8752.2022910083597</v>
      </c>
      <c r="U588" s="27">
        <f t="shared" si="28"/>
        <v>0.78291178187780475</v>
      </c>
      <c r="V588" s="19">
        <f>VLOOKUP(A588,[1]Sheet1!$A$2:$Q$1536,17,FALSE)</f>
        <v>2231.85693359375</v>
      </c>
      <c r="W588" s="27">
        <f t="shared" si="29"/>
        <v>0.14869095263171367</v>
      </c>
    </row>
    <row r="589" spans="1:23" x14ac:dyDescent="0.3">
      <c r="A589" s="4" t="s">
        <v>344</v>
      </c>
      <c r="B589" s="5">
        <v>2017</v>
      </c>
      <c r="C589" s="5" t="s">
        <v>237</v>
      </c>
      <c r="D589" s="15" t="s">
        <v>310</v>
      </c>
      <c r="E589" s="6">
        <v>105129</v>
      </c>
      <c r="F589" s="5" t="s">
        <v>21</v>
      </c>
      <c r="G589" s="5" t="s">
        <v>25</v>
      </c>
      <c r="H589" s="5" t="s">
        <v>18</v>
      </c>
      <c r="I589" s="5" t="s">
        <v>17</v>
      </c>
      <c r="J589" s="7">
        <v>45594</v>
      </c>
      <c r="K589" s="5" t="s">
        <v>17</v>
      </c>
      <c r="L589" s="8">
        <v>44483</v>
      </c>
      <c r="M589" s="19">
        <v>264</v>
      </c>
      <c r="N589" s="19">
        <v>314</v>
      </c>
      <c r="O589" s="24">
        <v>3900</v>
      </c>
      <c r="P589" s="24">
        <v>10500</v>
      </c>
      <c r="Q589" t="s">
        <v>1983</v>
      </c>
      <c r="R589" s="19">
        <f>VLOOKUP(A589,[1]Sheet1!$A$2:$Q$1536,15,FALSE)</f>
        <v>1868.663330078125</v>
      </c>
      <c r="S589" s="27">
        <f t="shared" si="27"/>
        <v>-4.6189896976043388</v>
      </c>
      <c r="T589" s="19">
        <f>VLOOKUP(A589,[1]Sheet1!$A$2:$Q$1536,16,FALSE)</f>
        <v>9182.2307278232493</v>
      </c>
      <c r="U589" s="27">
        <f t="shared" si="28"/>
        <v>-0.14351297753646652</v>
      </c>
      <c r="V589" s="19">
        <f>VLOOKUP(A589,[1]Sheet1!$A$2:$Q$1536,17,FALSE)</f>
        <v>1785.74853515625</v>
      </c>
      <c r="W589" s="27">
        <f t="shared" si="29"/>
        <v>-4.8798872256004779</v>
      </c>
    </row>
    <row r="590" spans="1:23" x14ac:dyDescent="0.3">
      <c r="A590" s="4" t="s">
        <v>385</v>
      </c>
      <c r="B590" s="5">
        <v>2016</v>
      </c>
      <c r="C590" s="5" t="s">
        <v>237</v>
      </c>
      <c r="D590" s="15" t="s">
        <v>378</v>
      </c>
      <c r="E590" s="6">
        <v>141642</v>
      </c>
      <c r="F590" s="5" t="s">
        <v>103</v>
      </c>
      <c r="G590" s="5" t="s">
        <v>33</v>
      </c>
      <c r="H590" s="5" t="s">
        <v>17</v>
      </c>
      <c r="I590" s="5" t="s">
        <v>18</v>
      </c>
      <c r="J590" s="7">
        <v>45708</v>
      </c>
      <c r="K590" s="5" t="s">
        <v>17</v>
      </c>
      <c r="L590" s="8">
        <v>44203</v>
      </c>
      <c r="M590" s="19">
        <v>235</v>
      </c>
      <c r="N590" s="19">
        <v>285</v>
      </c>
      <c r="O590" s="24">
        <v>0</v>
      </c>
      <c r="P590" s="24">
        <v>16900</v>
      </c>
      <c r="Q590" t="s">
        <v>1983</v>
      </c>
      <c r="R590" s="19">
        <f>VLOOKUP(A590,[1]Sheet1!$A$2:$Q$1536,15,FALSE)</f>
        <v>5175.5224609375</v>
      </c>
      <c r="S590" s="27">
        <f t="shared" si="27"/>
        <v>-2.2653708157105967</v>
      </c>
      <c r="T590" s="19">
        <f>VLOOKUP(A590,[1]Sheet1!$A$2:$Q$1536,16,FALSE)</f>
        <v>9328.4714418519743</v>
      </c>
      <c r="U590" s="27">
        <f t="shared" si="28"/>
        <v>-0.81165800906872432</v>
      </c>
      <c r="V590" s="19">
        <f>VLOOKUP(A590,[1]Sheet1!$A$2:$Q$1536,17,FALSE)</f>
        <v>5088.087890625</v>
      </c>
      <c r="W590" s="27">
        <f t="shared" si="29"/>
        <v>-2.3214835048621913</v>
      </c>
    </row>
    <row r="591" spans="1:23" x14ac:dyDescent="0.3">
      <c r="A591" s="4" t="s">
        <v>1168</v>
      </c>
      <c r="B591" s="5">
        <v>2019</v>
      </c>
      <c r="C591" s="5" t="s">
        <v>636</v>
      </c>
      <c r="D591" s="15" t="s">
        <v>1164</v>
      </c>
      <c r="E591" s="6">
        <v>108195</v>
      </c>
      <c r="F591" s="5" t="s">
        <v>81</v>
      </c>
      <c r="G591" s="5" t="s">
        <v>25</v>
      </c>
      <c r="H591" s="5" t="s">
        <v>18</v>
      </c>
      <c r="I591" s="5" t="s">
        <v>17</v>
      </c>
      <c r="J591" s="7">
        <v>45407</v>
      </c>
      <c r="K591" s="5" t="s">
        <v>17</v>
      </c>
      <c r="L591" s="8">
        <v>43950</v>
      </c>
      <c r="M591" s="19">
        <v>264</v>
      </c>
      <c r="N591" s="19">
        <v>314</v>
      </c>
      <c r="O591" s="24">
        <v>3000</v>
      </c>
      <c r="P591" s="24">
        <v>6100</v>
      </c>
      <c r="Q591" t="s">
        <v>1983</v>
      </c>
      <c r="R591" s="19">
        <f>VLOOKUP(A591,[1]Sheet1!$A$2:$Q$1536,15,FALSE)</f>
        <v>4260.74560546875</v>
      </c>
      <c r="S591" s="27">
        <f t="shared" si="27"/>
        <v>-0.43167430418059488</v>
      </c>
      <c r="T591" s="19">
        <f>VLOOKUP(A591,[1]Sheet1!$A$2:$Q$1536,16,FALSE)</f>
        <v>8913.3658703720757</v>
      </c>
      <c r="U591" s="27">
        <f t="shared" si="28"/>
        <v>0.3156345101600363</v>
      </c>
      <c r="V591" s="19">
        <f>VLOOKUP(A591,[1]Sheet1!$A$2:$Q$1536,17,FALSE)</f>
        <v>4192.12744140625</v>
      </c>
      <c r="W591" s="27">
        <f t="shared" si="29"/>
        <v>-0.45510843486040437</v>
      </c>
    </row>
    <row r="592" spans="1:23" x14ac:dyDescent="0.3">
      <c r="A592" s="4" t="s">
        <v>1096</v>
      </c>
      <c r="B592" s="5">
        <v>2020</v>
      </c>
      <c r="C592" s="5" t="s">
        <v>1086</v>
      </c>
      <c r="D592" s="15" t="s">
        <v>1093</v>
      </c>
      <c r="E592" s="6">
        <v>56095</v>
      </c>
      <c r="F592" s="5" t="s">
        <v>21</v>
      </c>
      <c r="G592" s="5" t="s">
        <v>16</v>
      </c>
      <c r="H592" s="5" t="s">
        <v>17</v>
      </c>
      <c r="I592" s="5" t="s">
        <v>18</v>
      </c>
      <c r="J592" s="7">
        <v>45631</v>
      </c>
      <c r="K592" s="5" t="s">
        <v>17</v>
      </c>
      <c r="L592" s="8">
        <v>43617</v>
      </c>
      <c r="M592" s="19">
        <v>264</v>
      </c>
      <c r="N592" s="19">
        <v>314</v>
      </c>
      <c r="O592" s="24">
        <v>8700</v>
      </c>
      <c r="P592" s="24">
        <v>11900</v>
      </c>
      <c r="Q592" t="s">
        <v>1983</v>
      </c>
      <c r="R592" s="19">
        <f>VLOOKUP(A592,[1]Sheet1!$A$2:$Q$1536,15,FALSE)</f>
        <v>5373.763671875</v>
      </c>
      <c r="S592" s="27">
        <f t="shared" si="27"/>
        <v>-1.2144628470138663</v>
      </c>
      <c r="T592" s="19">
        <f>VLOOKUP(A592,[1]Sheet1!$A$2:$Q$1536,16,FALSE)</f>
        <v>12044.13649689476</v>
      </c>
      <c r="U592" s="27">
        <f t="shared" si="28"/>
        <v>1.1967358301852655E-2</v>
      </c>
      <c r="V592" s="19">
        <f>VLOOKUP(A592,[1]Sheet1!$A$2:$Q$1536,17,FALSE)</f>
        <v>6765.0439453125</v>
      </c>
      <c r="W592" s="27">
        <f t="shared" si="29"/>
        <v>-0.75904252746879963</v>
      </c>
    </row>
    <row r="593" spans="1:23" x14ac:dyDescent="0.3">
      <c r="A593" s="4" t="s">
        <v>1122</v>
      </c>
      <c r="B593" s="5">
        <v>2014</v>
      </c>
      <c r="C593" s="5" t="s">
        <v>633</v>
      </c>
      <c r="D593" s="15" t="s">
        <v>1121</v>
      </c>
      <c r="E593" s="6">
        <v>172541</v>
      </c>
      <c r="F593" s="5" t="s">
        <v>73</v>
      </c>
      <c r="G593" s="5" t="s">
        <v>25</v>
      </c>
      <c r="H593" s="5" t="s">
        <v>18</v>
      </c>
      <c r="I593" s="5" t="s">
        <v>17</v>
      </c>
      <c r="J593" s="7">
        <v>45603</v>
      </c>
      <c r="K593" s="5" t="s">
        <v>17</v>
      </c>
      <c r="L593" s="8">
        <v>44054</v>
      </c>
      <c r="M593" s="19">
        <v>235</v>
      </c>
      <c r="N593" s="19">
        <v>285</v>
      </c>
      <c r="O593" s="24">
        <v>0</v>
      </c>
      <c r="P593" s="24">
        <v>2200</v>
      </c>
      <c r="Q593" t="s">
        <v>1983</v>
      </c>
      <c r="R593" s="19">
        <f>VLOOKUP(A593,[1]Sheet1!$A$2:$Q$1536,15,FALSE)</f>
        <v>1832.302368164062</v>
      </c>
      <c r="S593" s="27">
        <f t="shared" si="27"/>
        <v>-0.20067519325664854</v>
      </c>
      <c r="T593" s="19">
        <f>VLOOKUP(A593,[1]Sheet1!$A$2:$Q$1536,16,FALSE)</f>
        <v>9160.0050500885336</v>
      </c>
      <c r="U593" s="27">
        <f t="shared" si="28"/>
        <v>0.75982545992387451</v>
      </c>
      <c r="V593" s="19">
        <f>VLOOKUP(A593,[1]Sheet1!$A$2:$Q$1536,17,FALSE)</f>
        <v>1755.131225585938</v>
      </c>
      <c r="W593" s="27">
        <f t="shared" si="29"/>
        <v>-0.25346752876870832</v>
      </c>
    </row>
    <row r="594" spans="1:23" x14ac:dyDescent="0.3">
      <c r="A594" s="4" t="s">
        <v>1535</v>
      </c>
      <c r="B594" s="5">
        <v>2014</v>
      </c>
      <c r="C594" s="5" t="s">
        <v>1139</v>
      </c>
      <c r="D594" s="15" t="s">
        <v>1536</v>
      </c>
      <c r="E594" s="6">
        <v>111617</v>
      </c>
      <c r="F594" s="5" t="s">
        <v>36</v>
      </c>
      <c r="G594" s="5" t="s">
        <v>28</v>
      </c>
      <c r="H594" s="5" t="s">
        <v>17</v>
      </c>
      <c r="I594" s="5" t="s">
        <v>18</v>
      </c>
      <c r="J594" s="7">
        <v>45673</v>
      </c>
      <c r="K594" s="5" t="s">
        <v>17</v>
      </c>
      <c r="L594" s="8">
        <v>44113</v>
      </c>
      <c r="M594" s="19">
        <v>264</v>
      </c>
      <c r="N594" s="19">
        <v>314</v>
      </c>
      <c r="O594" s="24">
        <v>0</v>
      </c>
      <c r="P594" s="24">
        <v>2600</v>
      </c>
      <c r="Q594" t="s">
        <v>1983</v>
      </c>
      <c r="R594" s="19">
        <f>VLOOKUP(A594,[1]Sheet1!$A$2:$Q$1536,15,FALSE)</f>
        <v>1839.23828125</v>
      </c>
      <c r="S594" s="27">
        <f t="shared" si="27"/>
        <v>-0.41362868884664805</v>
      </c>
      <c r="T594" s="19">
        <f>VLOOKUP(A594,[1]Sheet1!$A$2:$Q$1536,16,FALSE)</f>
        <v>9110.4379829700429</v>
      </c>
      <c r="U594" s="27">
        <f t="shared" si="28"/>
        <v>0.71461306197790631</v>
      </c>
      <c r="V594" s="19">
        <f>VLOOKUP(A594,[1]Sheet1!$A$2:$Q$1536,17,FALSE)</f>
        <v>1747.880249023438</v>
      </c>
      <c r="W594" s="27">
        <f t="shared" si="29"/>
        <v>-0.48751609353824538</v>
      </c>
    </row>
    <row r="595" spans="1:23" x14ac:dyDescent="0.3">
      <c r="A595" s="4" t="s">
        <v>381</v>
      </c>
      <c r="B595" s="5">
        <v>2018</v>
      </c>
      <c r="C595" s="5" t="s">
        <v>237</v>
      </c>
      <c r="D595" s="15" t="s">
        <v>376</v>
      </c>
      <c r="E595" s="6">
        <v>143766</v>
      </c>
      <c r="F595" s="5" t="s">
        <v>73</v>
      </c>
      <c r="G595" s="5" t="s">
        <v>25</v>
      </c>
      <c r="H595" s="5" t="s">
        <v>18</v>
      </c>
      <c r="I595" s="5" t="s">
        <v>17</v>
      </c>
      <c r="J595" s="7">
        <v>45678</v>
      </c>
      <c r="K595" s="5" t="s">
        <v>17</v>
      </c>
      <c r="L595" s="8">
        <v>44307</v>
      </c>
      <c r="M595" s="19">
        <v>235</v>
      </c>
      <c r="N595" s="19">
        <v>285</v>
      </c>
      <c r="O595" s="24">
        <v>0</v>
      </c>
      <c r="P595" s="24">
        <v>29200</v>
      </c>
      <c r="Q595" t="s">
        <v>1983</v>
      </c>
      <c r="R595" s="19">
        <f>VLOOKUP(A595,[1]Sheet1!$A$2:$Q$1536,15,FALSE)</f>
        <v>7336.95166015625</v>
      </c>
      <c r="S595" s="27">
        <f t="shared" si="27"/>
        <v>-2.9798544889660823</v>
      </c>
      <c r="T595" s="19">
        <f>VLOOKUP(A595,[1]Sheet1!$A$2:$Q$1536,16,FALSE)</f>
        <v>9106.428183058204</v>
      </c>
      <c r="U595" s="27">
        <f t="shared" si="28"/>
        <v>-2.2065261387910917</v>
      </c>
      <c r="V595" s="19">
        <f>VLOOKUP(A595,[1]Sheet1!$A$2:$Q$1536,17,FALSE)</f>
        <v>7289.4951171875</v>
      </c>
      <c r="W595" s="27">
        <f t="shared" si="29"/>
        <v>-3.0057643952803978</v>
      </c>
    </row>
    <row r="596" spans="1:23" x14ac:dyDescent="0.3">
      <c r="A596" s="4" t="s">
        <v>1789</v>
      </c>
      <c r="B596" s="5">
        <v>2015</v>
      </c>
      <c r="C596" s="5" t="s">
        <v>1086</v>
      </c>
      <c r="D596" s="15" t="s">
        <v>1790</v>
      </c>
      <c r="E596" s="6">
        <v>106538</v>
      </c>
      <c r="F596" s="5" t="s">
        <v>87</v>
      </c>
      <c r="G596" s="5" t="s">
        <v>25</v>
      </c>
      <c r="H596" s="5" t="s">
        <v>18</v>
      </c>
      <c r="I596" s="5" t="s">
        <v>17</v>
      </c>
      <c r="J596" s="7">
        <v>45351</v>
      </c>
      <c r="K596" s="5" t="s">
        <v>17</v>
      </c>
      <c r="L596" s="8">
        <v>44137</v>
      </c>
      <c r="M596" s="19">
        <v>280</v>
      </c>
      <c r="N596" s="19">
        <v>330</v>
      </c>
      <c r="O596" s="24">
        <v>0</v>
      </c>
      <c r="P596" s="24">
        <v>5200</v>
      </c>
      <c r="Q596" t="s">
        <v>1983</v>
      </c>
      <c r="R596" s="19">
        <f>VLOOKUP(A596,[1]Sheet1!$A$2:$Q$1536,15,FALSE)</f>
        <v>1874.889526367188</v>
      </c>
      <c r="S596" s="27">
        <f t="shared" si="27"/>
        <v>-1.7734967457392503</v>
      </c>
      <c r="T596" s="19">
        <f>VLOOKUP(A596,[1]Sheet1!$A$2:$Q$1536,16,FALSE)</f>
        <v>8589.9320430565313</v>
      </c>
      <c r="U596" s="27">
        <f t="shared" si="28"/>
        <v>0.39464014686783266</v>
      </c>
      <c r="V596" s="19">
        <f>VLOOKUP(A596,[1]Sheet1!$A$2:$Q$1536,17,FALSE)</f>
        <v>1789.094116210938</v>
      </c>
      <c r="W596" s="27">
        <f t="shared" si="29"/>
        <v>-1.9064988548578454</v>
      </c>
    </row>
    <row r="597" spans="1:23" x14ac:dyDescent="0.3">
      <c r="A597" s="4" t="s">
        <v>1153</v>
      </c>
      <c r="B597" s="5">
        <v>2017</v>
      </c>
      <c r="C597" s="5" t="s">
        <v>636</v>
      </c>
      <c r="D597" s="15" t="s">
        <v>1142</v>
      </c>
      <c r="E597" s="6">
        <v>124047</v>
      </c>
      <c r="F597" s="5" t="s">
        <v>73</v>
      </c>
      <c r="G597" s="5" t="s">
        <v>33</v>
      </c>
      <c r="H597" s="5" t="s">
        <v>17</v>
      </c>
      <c r="I597" s="5" t="s">
        <v>18</v>
      </c>
      <c r="J597" s="7">
        <v>45484</v>
      </c>
      <c r="K597" s="5" t="s">
        <v>17</v>
      </c>
      <c r="L597" s="8">
        <v>44113</v>
      </c>
      <c r="M597" s="19">
        <v>264</v>
      </c>
      <c r="N597" s="19">
        <v>314</v>
      </c>
      <c r="O597" s="24">
        <v>2100</v>
      </c>
      <c r="P597" s="24">
        <v>3800</v>
      </c>
      <c r="Q597" t="s">
        <v>1983</v>
      </c>
      <c r="R597" s="19">
        <f>VLOOKUP(A597,[1]Sheet1!$A$2:$Q$1536,15,FALSE)</f>
        <v>3177.477783203125</v>
      </c>
      <c r="S597" s="27">
        <f t="shared" si="27"/>
        <v>-0.19591709502664975</v>
      </c>
      <c r="T597" s="19">
        <f>VLOOKUP(A597,[1]Sheet1!$A$2:$Q$1536,16,FALSE)</f>
        <v>8676.5327157069787</v>
      </c>
      <c r="U597" s="27">
        <f t="shared" si="28"/>
        <v>0.5620370343189135</v>
      </c>
      <c r="V597" s="19">
        <f>VLOOKUP(A597,[1]Sheet1!$A$2:$Q$1536,17,FALSE)</f>
        <v>3050.021484375</v>
      </c>
      <c r="W597" s="27">
        <f t="shared" si="29"/>
        <v>-0.24589286320344825</v>
      </c>
    </row>
    <row r="598" spans="1:23" x14ac:dyDescent="0.3">
      <c r="A598" s="4" t="s">
        <v>1608</v>
      </c>
      <c r="B598" s="5">
        <v>2019</v>
      </c>
      <c r="C598" s="5" t="s">
        <v>519</v>
      </c>
      <c r="D598" s="15" t="s">
        <v>1607</v>
      </c>
      <c r="E598" s="6">
        <v>104589</v>
      </c>
      <c r="F598" s="5" t="s">
        <v>125</v>
      </c>
      <c r="G598" s="5" t="s">
        <v>16</v>
      </c>
      <c r="H598" s="5" t="s">
        <v>17</v>
      </c>
      <c r="I598" s="5" t="s">
        <v>18</v>
      </c>
      <c r="J598" s="7">
        <v>45720</v>
      </c>
      <c r="K598" s="5" t="s">
        <v>17</v>
      </c>
      <c r="L598" s="8">
        <v>43612</v>
      </c>
      <c r="M598" s="19">
        <v>264</v>
      </c>
      <c r="N598" s="19">
        <v>314</v>
      </c>
      <c r="O598" s="24">
        <v>8400</v>
      </c>
      <c r="P598" s="24">
        <v>17600</v>
      </c>
      <c r="Q598" t="s">
        <v>1983</v>
      </c>
      <c r="R598" s="19">
        <f>VLOOKUP(A598,[1]Sheet1!$A$2:$Q$1536,15,FALSE)</f>
        <v>8608.0302734375</v>
      </c>
      <c r="S598" s="27">
        <f t="shared" si="27"/>
        <v>-1.0446024747740204</v>
      </c>
      <c r="T598" s="19">
        <f>VLOOKUP(A598,[1]Sheet1!$A$2:$Q$1536,16,FALSE)</f>
        <v>9971.9339258126438</v>
      </c>
      <c r="U598" s="27">
        <f t="shared" si="28"/>
        <v>-0.76495353167572477</v>
      </c>
      <c r="V598" s="19">
        <f>VLOOKUP(A598,[1]Sheet1!$A$2:$Q$1536,17,FALSE)</f>
        <v>8610.6123046875</v>
      </c>
      <c r="W598" s="27">
        <f t="shared" si="29"/>
        <v>-1.0439893676804841</v>
      </c>
    </row>
    <row r="599" spans="1:23" x14ac:dyDescent="0.3">
      <c r="A599" s="4" t="s">
        <v>1091</v>
      </c>
      <c r="B599" s="5">
        <v>2020</v>
      </c>
      <c r="C599" s="5" t="s">
        <v>1089</v>
      </c>
      <c r="D599" s="15" t="s">
        <v>1090</v>
      </c>
      <c r="E599" s="6">
        <v>78057</v>
      </c>
      <c r="F599" s="5" t="s">
        <v>184</v>
      </c>
      <c r="G599" s="5" t="s">
        <v>28</v>
      </c>
      <c r="H599" s="5" t="s">
        <v>17</v>
      </c>
      <c r="I599" s="5" t="s">
        <v>18</v>
      </c>
      <c r="J599" s="7">
        <v>45678</v>
      </c>
      <c r="K599" s="5" t="s">
        <v>17</v>
      </c>
      <c r="L599" s="8">
        <v>44451</v>
      </c>
      <c r="M599" s="19">
        <v>264</v>
      </c>
      <c r="N599" s="19">
        <v>314</v>
      </c>
      <c r="O599" s="24">
        <v>8000</v>
      </c>
      <c r="P599" s="24">
        <v>11500</v>
      </c>
      <c r="Q599" t="s">
        <v>1983</v>
      </c>
      <c r="R599" s="19">
        <f>VLOOKUP(A599,[1]Sheet1!$A$2:$Q$1536,15,FALSE)</f>
        <v>9794.7109375</v>
      </c>
      <c r="S599" s="27">
        <f t="shared" si="27"/>
        <v>-0.17410305147149729</v>
      </c>
      <c r="T599" s="19">
        <f>VLOOKUP(A599,[1]Sheet1!$A$2:$Q$1536,16,FALSE)</f>
        <v>10943.94377671495</v>
      </c>
      <c r="U599" s="27">
        <f t="shared" si="28"/>
        <v>-5.0809491955555487E-2</v>
      </c>
      <c r="V599" s="19">
        <f>VLOOKUP(A599,[1]Sheet1!$A$2:$Q$1536,17,FALSE)</f>
        <v>9650.6181640625</v>
      </c>
      <c r="W599" s="27">
        <f t="shared" si="29"/>
        <v>-0.19163351036147397</v>
      </c>
    </row>
    <row r="600" spans="1:23" x14ac:dyDescent="0.3">
      <c r="A600" s="4" t="s">
        <v>1117</v>
      </c>
      <c r="B600" s="5">
        <v>2017</v>
      </c>
      <c r="C600" s="5" t="s">
        <v>1086</v>
      </c>
      <c r="D600" s="15" t="s">
        <v>1093</v>
      </c>
      <c r="E600" s="6">
        <v>69003</v>
      </c>
      <c r="F600" s="5" t="s">
        <v>27</v>
      </c>
      <c r="G600" s="5" t="s">
        <v>28</v>
      </c>
      <c r="H600" s="5" t="s">
        <v>17</v>
      </c>
      <c r="I600" s="5" t="s">
        <v>18</v>
      </c>
      <c r="J600" s="7">
        <v>45351</v>
      </c>
      <c r="K600" s="5" t="s">
        <v>17</v>
      </c>
      <c r="L600" s="8">
        <v>44451</v>
      </c>
      <c r="M600" s="19">
        <v>264</v>
      </c>
      <c r="N600" s="19">
        <v>314</v>
      </c>
      <c r="O600" s="24">
        <v>7200</v>
      </c>
      <c r="P600" s="24">
        <v>9700</v>
      </c>
      <c r="Q600" t="s">
        <v>1983</v>
      </c>
      <c r="R600" s="19">
        <f>VLOOKUP(A600,[1]Sheet1!$A$2:$Q$1536,15,FALSE)</f>
        <v>3829.053466796875</v>
      </c>
      <c r="S600" s="27">
        <f t="shared" si="27"/>
        <v>-1.5332631377734087</v>
      </c>
      <c r="T600" s="19">
        <f>VLOOKUP(A600,[1]Sheet1!$A$2:$Q$1536,16,FALSE)</f>
        <v>9153.9279268855335</v>
      </c>
      <c r="U600" s="27">
        <f t="shared" si="28"/>
        <v>-5.9654399453007073E-2</v>
      </c>
      <c r="V600" s="19">
        <f>VLOOKUP(A600,[1]Sheet1!$A$2:$Q$1536,17,FALSE)</f>
        <v>3730.173828125</v>
      </c>
      <c r="W600" s="27">
        <f t="shared" si="29"/>
        <v>-1.6004150066314142</v>
      </c>
    </row>
    <row r="601" spans="1:23" x14ac:dyDescent="0.3">
      <c r="A601" s="4" t="s">
        <v>89</v>
      </c>
      <c r="B601" s="5">
        <v>2016</v>
      </c>
      <c r="C601" s="5" t="s">
        <v>83</v>
      </c>
      <c r="D601" s="15" t="s">
        <v>84</v>
      </c>
      <c r="E601" s="6">
        <v>208579</v>
      </c>
      <c r="F601" s="5" t="s">
        <v>61</v>
      </c>
      <c r="G601" s="5" t="s">
        <v>22</v>
      </c>
      <c r="H601" s="5" t="s">
        <v>18</v>
      </c>
      <c r="I601" s="5" t="s">
        <v>17</v>
      </c>
      <c r="J601" s="7">
        <v>45692</v>
      </c>
      <c r="K601" s="5" t="s">
        <v>17</v>
      </c>
      <c r="L601" s="8">
        <v>43612</v>
      </c>
      <c r="M601" s="19">
        <v>264</v>
      </c>
      <c r="N601" s="19">
        <v>314</v>
      </c>
      <c r="O601" s="24">
        <v>500</v>
      </c>
      <c r="P601" s="24">
        <v>3200</v>
      </c>
      <c r="Q601" t="s">
        <v>1983</v>
      </c>
      <c r="R601" s="19">
        <f>VLOOKUP(A601,[1]Sheet1!$A$2:$Q$1536,15,FALSE)</f>
        <v>1878.459838867188</v>
      </c>
      <c r="S601" s="27">
        <f t="shared" si="27"/>
        <v>-0.70352324483539219</v>
      </c>
      <c r="T601" s="19">
        <f>VLOOKUP(A601,[1]Sheet1!$A$2:$Q$1536,16,FALSE)</f>
        <v>8818.6227676460039</v>
      </c>
      <c r="U601" s="27">
        <f t="shared" si="28"/>
        <v>0.63713154714585996</v>
      </c>
      <c r="V601" s="19">
        <f>VLOOKUP(A601,[1]Sheet1!$A$2:$Q$1536,17,FALSE)</f>
        <v>1783.572998046875</v>
      </c>
      <c r="W601" s="27">
        <f t="shared" si="29"/>
        <v>-0.79415140479487067</v>
      </c>
    </row>
    <row r="602" spans="1:23" x14ac:dyDescent="0.3">
      <c r="A602" s="4" t="s">
        <v>235</v>
      </c>
      <c r="B602" s="5">
        <v>2011</v>
      </c>
      <c r="C602" s="5" t="s">
        <v>83</v>
      </c>
      <c r="D602" s="15" t="s">
        <v>205</v>
      </c>
      <c r="E602" s="6">
        <v>97213</v>
      </c>
      <c r="F602" s="5" t="s">
        <v>184</v>
      </c>
      <c r="G602" s="5" t="s">
        <v>33</v>
      </c>
      <c r="H602" s="5" t="s">
        <v>17</v>
      </c>
      <c r="I602" s="5" t="s">
        <v>18</v>
      </c>
      <c r="J602" s="7">
        <v>45692</v>
      </c>
      <c r="K602" s="5" t="s">
        <v>17</v>
      </c>
      <c r="L602" s="8">
        <v>43612</v>
      </c>
      <c r="M602" s="19">
        <v>264</v>
      </c>
      <c r="N602" s="19">
        <v>314</v>
      </c>
      <c r="O602" s="24">
        <v>7200</v>
      </c>
      <c r="P602" s="24">
        <v>17868.571428571398</v>
      </c>
      <c r="Q602" t="s">
        <v>1983</v>
      </c>
      <c r="R602" s="19">
        <f>VLOOKUP(A602,[1]Sheet1!$A$2:$Q$1536,15,FALSE)</f>
        <v>4875.70263671875</v>
      </c>
      <c r="S602" s="27">
        <f t="shared" si="27"/>
        <v>-2.664819772642367</v>
      </c>
      <c r="T602" s="19">
        <f>VLOOKUP(A602,[1]Sheet1!$A$2:$Q$1536,16,FALSE)</f>
        <v>10058.639077462311</v>
      </c>
      <c r="U602" s="27">
        <f t="shared" si="28"/>
        <v>-0.77644026104965402</v>
      </c>
      <c r="V602" s="19">
        <f>VLOOKUP(A602,[1]Sheet1!$A$2:$Q$1536,17,FALSE)</f>
        <v>4735.09814453125</v>
      </c>
      <c r="W602" s="27">
        <f t="shared" si="29"/>
        <v>-2.7736433085781993</v>
      </c>
    </row>
    <row r="603" spans="1:23" x14ac:dyDescent="0.3">
      <c r="A603" s="4" t="s">
        <v>884</v>
      </c>
      <c r="B603" s="5">
        <v>2014</v>
      </c>
      <c r="C603" s="5" t="s">
        <v>391</v>
      </c>
      <c r="D603" s="15" t="s">
        <v>883</v>
      </c>
      <c r="E603" s="6">
        <v>128740</v>
      </c>
      <c r="F603" s="5" t="s">
        <v>164</v>
      </c>
      <c r="G603" s="5" t="s">
        <v>25</v>
      </c>
      <c r="H603" s="5" t="s">
        <v>18</v>
      </c>
      <c r="I603" s="5" t="s">
        <v>17</v>
      </c>
      <c r="J603" s="7">
        <v>45666</v>
      </c>
      <c r="K603" s="5" t="s">
        <v>17</v>
      </c>
      <c r="L603" s="8">
        <v>44144</v>
      </c>
      <c r="M603" s="19">
        <v>235</v>
      </c>
      <c r="N603" s="19">
        <v>285</v>
      </c>
      <c r="O603" s="24">
        <v>0</v>
      </c>
      <c r="P603" s="24">
        <v>9500</v>
      </c>
      <c r="Q603" t="s">
        <v>1983</v>
      </c>
      <c r="R603" s="19">
        <f>VLOOKUP(A603,[1]Sheet1!$A$2:$Q$1536,15,FALSE)</f>
        <v>4277.65283203125</v>
      </c>
      <c r="S603" s="27">
        <f t="shared" si="27"/>
        <v>-1.2208440874078392</v>
      </c>
      <c r="T603" s="19">
        <f>VLOOKUP(A603,[1]Sheet1!$A$2:$Q$1536,16,FALSE)</f>
        <v>9441.2701873756723</v>
      </c>
      <c r="U603" s="27">
        <f t="shared" si="28"/>
        <v>-6.2205414588026335E-3</v>
      </c>
      <c r="V603" s="19">
        <f>VLOOKUP(A603,[1]Sheet1!$A$2:$Q$1536,17,FALSE)</f>
        <v>4420.03955078125</v>
      </c>
      <c r="W603" s="27">
        <f t="shared" si="29"/>
        <v>-1.1493020347116256</v>
      </c>
    </row>
    <row r="604" spans="1:23" x14ac:dyDescent="0.3">
      <c r="A604" s="4" t="s">
        <v>1332</v>
      </c>
      <c r="B604" s="5">
        <v>2017</v>
      </c>
      <c r="C604" s="5" t="s">
        <v>1089</v>
      </c>
      <c r="D604" s="15" t="s">
        <v>1328</v>
      </c>
      <c r="E604" s="6">
        <v>129684</v>
      </c>
      <c r="F604" s="5" t="s">
        <v>61</v>
      </c>
      <c r="G604" s="5" t="s">
        <v>22</v>
      </c>
      <c r="H604" s="5" t="s">
        <v>18</v>
      </c>
      <c r="I604" s="5" t="s">
        <v>17</v>
      </c>
      <c r="J604" s="7">
        <v>45370</v>
      </c>
      <c r="K604" s="5" t="s">
        <v>17</v>
      </c>
      <c r="L604" s="8">
        <v>44451</v>
      </c>
      <c r="M604" s="19">
        <v>264</v>
      </c>
      <c r="N604" s="19">
        <v>314</v>
      </c>
      <c r="O604" s="24">
        <v>2300</v>
      </c>
      <c r="P604" s="24">
        <v>9600</v>
      </c>
      <c r="Q604" t="s">
        <v>1983</v>
      </c>
      <c r="R604" s="19">
        <f>VLOOKUP(A604,[1]Sheet1!$A$2:$Q$1536,15,FALSE)</f>
        <v>2620.6240234375</v>
      </c>
      <c r="S604" s="27">
        <f t="shared" si="27"/>
        <v>-2.6632496360189735</v>
      </c>
      <c r="T604" s="19">
        <f>VLOOKUP(A604,[1]Sheet1!$A$2:$Q$1536,16,FALSE)</f>
        <v>8550.4130384700111</v>
      </c>
      <c r="U604" s="27">
        <f t="shared" si="28"/>
        <v>-0.12275277893684061</v>
      </c>
      <c r="V604" s="19">
        <f>VLOOKUP(A604,[1]Sheet1!$A$2:$Q$1536,17,FALSE)</f>
        <v>2579.0458984375</v>
      </c>
      <c r="W604" s="27">
        <f t="shared" si="29"/>
        <v>-2.7223067669389307</v>
      </c>
    </row>
    <row r="605" spans="1:23" x14ac:dyDescent="0.3">
      <c r="A605" s="4" t="s">
        <v>680</v>
      </c>
      <c r="B605" s="5">
        <v>2012</v>
      </c>
      <c r="C605" s="5" t="s">
        <v>636</v>
      </c>
      <c r="D605" s="15" t="s">
        <v>677</v>
      </c>
      <c r="E605" s="6">
        <v>115487</v>
      </c>
      <c r="F605" s="5" t="s">
        <v>15</v>
      </c>
      <c r="G605" s="5" t="s">
        <v>28</v>
      </c>
      <c r="H605" s="5" t="s">
        <v>17</v>
      </c>
      <c r="I605" s="5" t="s">
        <v>18</v>
      </c>
      <c r="J605" s="7">
        <v>45538</v>
      </c>
      <c r="K605" s="5" t="s">
        <v>17</v>
      </c>
      <c r="L605" s="8">
        <v>44827</v>
      </c>
      <c r="M605" s="19">
        <v>128</v>
      </c>
      <c r="N605" s="19">
        <v>158</v>
      </c>
      <c r="O605" s="24">
        <v>10900</v>
      </c>
      <c r="P605" s="24">
        <v>11000</v>
      </c>
      <c r="Q605" t="s">
        <v>1983</v>
      </c>
      <c r="R605" s="19">
        <f>VLOOKUP(A605,[1]Sheet1!$A$2:$Q$1536,15,FALSE)</f>
        <v>3390.590576171875</v>
      </c>
      <c r="S605" s="27">
        <f t="shared" si="27"/>
        <v>-2.2442725692995587</v>
      </c>
      <c r="T605" s="19">
        <f>VLOOKUP(A605,[1]Sheet1!$A$2:$Q$1536,16,FALSE)</f>
        <v>10023.85132876551</v>
      </c>
      <c r="U605" s="27">
        <f t="shared" si="28"/>
        <v>-9.7382596690478676E-2</v>
      </c>
      <c r="V605" s="19">
        <f>VLOOKUP(A605,[1]Sheet1!$A$2:$Q$1536,17,FALSE)</f>
        <v>3290.729248046875</v>
      </c>
      <c r="W605" s="27">
        <f t="shared" si="29"/>
        <v>-2.3427241109333918</v>
      </c>
    </row>
    <row r="606" spans="1:23" x14ac:dyDescent="0.3">
      <c r="A606" s="4" t="s">
        <v>425</v>
      </c>
      <c r="B606" s="5">
        <v>2017</v>
      </c>
      <c r="C606" s="5" t="s">
        <v>391</v>
      </c>
      <c r="D606" s="15" t="s">
        <v>413</v>
      </c>
      <c r="E606" s="6">
        <v>102837</v>
      </c>
      <c r="F606" s="5" t="s">
        <v>87</v>
      </c>
      <c r="G606" s="5" t="s">
        <v>25</v>
      </c>
      <c r="H606" s="5" t="s">
        <v>18</v>
      </c>
      <c r="I606" s="5" t="s">
        <v>17</v>
      </c>
      <c r="J606" s="7">
        <v>45706</v>
      </c>
      <c r="K606" s="5" t="s">
        <v>17</v>
      </c>
      <c r="L606" s="8">
        <v>44451</v>
      </c>
      <c r="M606" s="19">
        <v>264</v>
      </c>
      <c r="N606" s="19">
        <v>314</v>
      </c>
      <c r="O606" s="24">
        <v>4100</v>
      </c>
      <c r="P606" s="24">
        <v>8200</v>
      </c>
      <c r="Q606" t="s">
        <v>1983</v>
      </c>
      <c r="R606" s="19">
        <f>VLOOKUP(A606,[1]Sheet1!$A$2:$Q$1536,15,FALSE)</f>
        <v>4056.3154296875</v>
      </c>
      <c r="S606" s="27">
        <f t="shared" si="27"/>
        <v>-1.0215390400819324</v>
      </c>
      <c r="T606" s="19">
        <f>VLOOKUP(A606,[1]Sheet1!$A$2:$Q$1536,16,FALSE)</f>
        <v>9245.7668132292984</v>
      </c>
      <c r="U606" s="27">
        <f t="shared" si="28"/>
        <v>0.11310763448337932</v>
      </c>
      <c r="V606" s="19">
        <f>VLOOKUP(A606,[1]Sheet1!$A$2:$Q$1536,17,FALSE)</f>
        <v>4002.080078125</v>
      </c>
      <c r="W606" s="27">
        <f t="shared" si="29"/>
        <v>-1.0489345140344499</v>
      </c>
    </row>
    <row r="607" spans="1:23" x14ac:dyDescent="0.3">
      <c r="A607" s="4" t="s">
        <v>325</v>
      </c>
      <c r="B607" s="5">
        <v>2016</v>
      </c>
      <c r="C607" s="5" t="s">
        <v>237</v>
      </c>
      <c r="D607" s="15" t="s">
        <v>306</v>
      </c>
      <c r="E607" s="6">
        <v>161310</v>
      </c>
      <c r="F607" s="5" t="s">
        <v>24</v>
      </c>
      <c r="G607" s="5" t="s">
        <v>25</v>
      </c>
      <c r="H607" s="5" t="s">
        <v>18</v>
      </c>
      <c r="I607" s="5" t="s">
        <v>17</v>
      </c>
      <c r="J607" s="7">
        <v>45463</v>
      </c>
      <c r="K607" s="5" t="s">
        <v>17</v>
      </c>
      <c r="L607" s="8">
        <v>44128</v>
      </c>
      <c r="M607" s="19">
        <v>264</v>
      </c>
      <c r="N607" s="19">
        <v>314</v>
      </c>
      <c r="O607" s="24">
        <v>0</v>
      </c>
      <c r="P607" s="24">
        <v>10200</v>
      </c>
      <c r="Q607" t="s">
        <v>1983</v>
      </c>
      <c r="R607" s="19">
        <f>VLOOKUP(A607,[1]Sheet1!$A$2:$Q$1536,15,FALSE)</f>
        <v>2810.0302734375</v>
      </c>
      <c r="S607" s="27">
        <f t="shared" si="27"/>
        <v>-2.6298541323266158</v>
      </c>
      <c r="T607" s="19">
        <f>VLOOKUP(A607,[1]Sheet1!$A$2:$Q$1536,16,FALSE)</f>
        <v>9333.2986627555219</v>
      </c>
      <c r="U607" s="27">
        <f t="shared" si="28"/>
        <v>-9.2861202513859875E-2</v>
      </c>
      <c r="V607" s="19">
        <f>VLOOKUP(A607,[1]Sheet1!$A$2:$Q$1536,17,FALSE)</f>
        <v>2645.82568359375</v>
      </c>
      <c r="W607" s="27">
        <f t="shared" si="29"/>
        <v>-2.8551292563407387</v>
      </c>
    </row>
    <row r="608" spans="1:23" x14ac:dyDescent="0.3">
      <c r="A608" s="4" t="s">
        <v>748</v>
      </c>
      <c r="B608" s="5">
        <v>2014</v>
      </c>
      <c r="C608" s="5" t="s">
        <v>83</v>
      </c>
      <c r="D608" s="15" t="s">
        <v>744</v>
      </c>
      <c r="E608" s="6">
        <v>121474</v>
      </c>
      <c r="F608" s="5" t="s">
        <v>92</v>
      </c>
      <c r="G608" s="5" t="s">
        <v>25</v>
      </c>
      <c r="H608" s="5" t="s">
        <v>18</v>
      </c>
      <c r="I608" s="5" t="s">
        <v>17</v>
      </c>
      <c r="J608" s="7">
        <v>45589</v>
      </c>
      <c r="K608" s="5" t="s">
        <v>17</v>
      </c>
      <c r="L608" s="8">
        <v>44310</v>
      </c>
      <c r="M608" s="19">
        <v>235</v>
      </c>
      <c r="N608" s="19">
        <v>285</v>
      </c>
      <c r="O608" s="24">
        <v>3400</v>
      </c>
      <c r="P608" s="24">
        <v>9000</v>
      </c>
      <c r="Q608" t="s">
        <v>1983</v>
      </c>
      <c r="R608" s="19">
        <f>VLOOKUP(A608,[1]Sheet1!$A$2:$Q$1536,15,FALSE)</f>
        <v>5372.39697265625</v>
      </c>
      <c r="S608" s="27">
        <f t="shared" si="27"/>
        <v>-0.67522989194712668</v>
      </c>
      <c r="T608" s="19">
        <f>VLOOKUP(A608,[1]Sheet1!$A$2:$Q$1536,16,FALSE)</f>
        <v>9795.8923538582549</v>
      </c>
      <c r="U608" s="27">
        <f t="shared" si="28"/>
        <v>8.124756021280502E-2</v>
      </c>
      <c r="V608" s="19">
        <f>VLOOKUP(A608,[1]Sheet1!$A$2:$Q$1536,17,FALSE)</f>
        <v>5435.9052734375</v>
      </c>
      <c r="W608" s="27">
        <f t="shared" si="29"/>
        <v>-0.6556579902115689</v>
      </c>
    </row>
    <row r="609" spans="1:23" x14ac:dyDescent="0.3">
      <c r="A609" s="4" t="s">
        <v>1548</v>
      </c>
      <c r="B609" s="5">
        <v>2019</v>
      </c>
      <c r="C609" s="5" t="s">
        <v>636</v>
      </c>
      <c r="D609" s="15" t="s">
        <v>1549</v>
      </c>
      <c r="E609" s="6">
        <v>95840</v>
      </c>
      <c r="F609" s="5" t="s">
        <v>27</v>
      </c>
      <c r="G609" s="5" t="s">
        <v>28</v>
      </c>
      <c r="H609" s="5" t="s">
        <v>18</v>
      </c>
      <c r="I609" s="5" t="s">
        <v>18</v>
      </c>
      <c r="J609" s="7">
        <v>45400</v>
      </c>
      <c r="K609" s="5" t="s">
        <v>17</v>
      </c>
      <c r="L609" s="8">
        <v>43617</v>
      </c>
      <c r="M609" s="19">
        <v>264</v>
      </c>
      <c r="N609" s="19">
        <v>314</v>
      </c>
      <c r="O609" s="24">
        <v>0</v>
      </c>
      <c r="P609" s="24">
        <v>5300</v>
      </c>
      <c r="Q609" t="s">
        <v>1983</v>
      </c>
      <c r="R609" s="19">
        <f>VLOOKUP(A609,[1]Sheet1!$A$2:$Q$1536,15,FALSE)</f>
        <v>4401.55029296875</v>
      </c>
      <c r="S609" s="27">
        <f t="shared" si="27"/>
        <v>-0.20412119531304168</v>
      </c>
      <c r="T609" s="19">
        <f>VLOOKUP(A609,[1]Sheet1!$A$2:$Q$1536,16,FALSE)</f>
        <v>9075.6383109403778</v>
      </c>
      <c r="U609" s="27">
        <f t="shared" si="28"/>
        <v>0.41601903707301474</v>
      </c>
      <c r="V609" s="19">
        <f>VLOOKUP(A609,[1]Sheet1!$A$2:$Q$1536,17,FALSE)</f>
        <v>4356.724609375</v>
      </c>
      <c r="W609" s="27">
        <f t="shared" si="29"/>
        <v>-0.21651021700917628</v>
      </c>
    </row>
    <row r="610" spans="1:23" x14ac:dyDescent="0.3">
      <c r="A610" s="4" t="s">
        <v>1794</v>
      </c>
      <c r="B610" s="5">
        <v>2017</v>
      </c>
      <c r="C610" s="5" t="s">
        <v>1086</v>
      </c>
      <c r="D610" s="15" t="s">
        <v>1795</v>
      </c>
      <c r="E610" s="6">
        <v>99045</v>
      </c>
      <c r="F610" s="5" t="s">
        <v>81</v>
      </c>
      <c r="G610" s="5" t="s">
        <v>33</v>
      </c>
      <c r="H610" s="5" t="s">
        <v>17</v>
      </c>
      <c r="I610" s="5" t="s">
        <v>18</v>
      </c>
      <c r="J610" s="7">
        <v>45736</v>
      </c>
      <c r="K610" s="5" t="s">
        <v>17</v>
      </c>
      <c r="L610" s="8">
        <v>44137</v>
      </c>
      <c r="M610" s="19">
        <v>280</v>
      </c>
      <c r="N610" s="19">
        <v>330</v>
      </c>
      <c r="O610" s="24">
        <v>0</v>
      </c>
      <c r="P610" s="24">
        <v>10800</v>
      </c>
      <c r="Q610" t="s">
        <v>1983</v>
      </c>
      <c r="R610" s="19">
        <f>VLOOKUP(A610,[1]Sheet1!$A$2:$Q$1536,15,FALSE)</f>
        <v>2666.548583984375</v>
      </c>
      <c r="S610" s="27">
        <f t="shared" si="27"/>
        <v>-3.0501793460153523</v>
      </c>
      <c r="T610" s="19">
        <f>VLOOKUP(A610,[1]Sheet1!$A$2:$Q$1536,16,FALSE)</f>
        <v>8956.2623301009899</v>
      </c>
      <c r="U610" s="27">
        <f t="shared" si="28"/>
        <v>-0.2058601682202201</v>
      </c>
      <c r="V610" s="19">
        <f>VLOOKUP(A610,[1]Sheet1!$A$2:$Q$1536,17,FALSE)</f>
        <v>2498.12890625</v>
      </c>
      <c r="W610" s="27">
        <f t="shared" si="29"/>
        <v>-3.3232356716980367</v>
      </c>
    </row>
    <row r="611" spans="1:23" x14ac:dyDescent="0.3">
      <c r="A611" s="4" t="s">
        <v>471</v>
      </c>
      <c r="B611" s="5">
        <v>2016</v>
      </c>
      <c r="C611" s="5" t="s">
        <v>391</v>
      </c>
      <c r="D611" s="15" t="s">
        <v>464</v>
      </c>
      <c r="E611" s="6">
        <v>96848</v>
      </c>
      <c r="F611" s="5" t="s">
        <v>38</v>
      </c>
      <c r="G611" s="5" t="s">
        <v>25</v>
      </c>
      <c r="H611" s="5" t="s">
        <v>18</v>
      </c>
      <c r="I611" s="5" t="s">
        <v>17</v>
      </c>
      <c r="J611" s="7">
        <v>45328</v>
      </c>
      <c r="K611" s="5" t="s">
        <v>17</v>
      </c>
      <c r="L611" s="8">
        <v>44483</v>
      </c>
      <c r="M611" s="19">
        <v>264</v>
      </c>
      <c r="N611" s="19">
        <v>314</v>
      </c>
      <c r="O611" s="24">
        <v>2900</v>
      </c>
      <c r="P611" s="24">
        <v>8800</v>
      </c>
      <c r="Q611" t="s">
        <v>1983</v>
      </c>
      <c r="R611" s="19">
        <f>VLOOKUP(A611,[1]Sheet1!$A$2:$Q$1536,15,FALSE)</f>
        <v>3538.259521484375</v>
      </c>
      <c r="S611" s="27">
        <f t="shared" si="27"/>
        <v>-1.4870985145567313</v>
      </c>
      <c r="T611" s="19">
        <f>VLOOKUP(A611,[1]Sheet1!$A$2:$Q$1536,16,FALSE)</f>
        <v>9423.6180175878726</v>
      </c>
      <c r="U611" s="27">
        <f t="shared" si="28"/>
        <v>6.6176071273684509E-2</v>
      </c>
      <c r="V611" s="19">
        <f>VLOOKUP(A611,[1]Sheet1!$A$2:$Q$1536,17,FALSE)</f>
        <v>3581.365234375</v>
      </c>
      <c r="W611" s="27">
        <f t="shared" si="29"/>
        <v>-1.4571635184077301</v>
      </c>
    </row>
    <row r="612" spans="1:23" x14ac:dyDescent="0.3">
      <c r="A612" s="4" t="s">
        <v>1689</v>
      </c>
      <c r="B612" s="5">
        <v>2017</v>
      </c>
      <c r="C612" s="5" t="s">
        <v>1089</v>
      </c>
      <c r="D612" s="15" t="s">
        <v>1090</v>
      </c>
      <c r="E612" s="6">
        <v>129459</v>
      </c>
      <c r="F612" s="5" t="s">
        <v>40</v>
      </c>
      <c r="G612" s="5" t="s">
        <v>28</v>
      </c>
      <c r="H612" s="5" t="s">
        <v>17</v>
      </c>
      <c r="I612" s="5" t="s">
        <v>18</v>
      </c>
      <c r="J612" s="7">
        <v>45512</v>
      </c>
      <c r="K612" s="5" t="s">
        <v>17</v>
      </c>
      <c r="L612" s="8">
        <v>44035</v>
      </c>
      <c r="M612" s="19">
        <v>222</v>
      </c>
      <c r="N612" s="19">
        <v>272</v>
      </c>
      <c r="O612" s="24">
        <v>3900</v>
      </c>
      <c r="P612" s="24">
        <v>4000</v>
      </c>
      <c r="Q612" t="s">
        <v>1983</v>
      </c>
      <c r="R612" s="19">
        <f>VLOOKUP(A612,[1]Sheet1!$A$2:$Q$1536,15,FALSE)</f>
        <v>2449.953857421875</v>
      </c>
      <c r="S612" s="27">
        <f t="shared" si="27"/>
        <v>-0.63268381071032209</v>
      </c>
      <c r="T612" s="19">
        <f>VLOOKUP(A612,[1]Sheet1!$A$2:$Q$1536,16,FALSE)</f>
        <v>8744.5901235586989</v>
      </c>
      <c r="U612" s="27">
        <f t="shared" si="28"/>
        <v>0.54257432955906693</v>
      </c>
      <c r="V612" s="19">
        <f>VLOOKUP(A612,[1]Sheet1!$A$2:$Q$1536,17,FALSE)</f>
        <v>2319.4345703125</v>
      </c>
      <c r="W612" s="27">
        <f t="shared" si="29"/>
        <v>-0.72455823983906364</v>
      </c>
    </row>
    <row r="613" spans="1:23" x14ac:dyDescent="0.3">
      <c r="A613" s="4" t="s">
        <v>942</v>
      </c>
      <c r="B613" s="5">
        <v>2019</v>
      </c>
      <c r="C613" s="5" t="s">
        <v>96</v>
      </c>
      <c r="D613" s="15" t="s">
        <v>943</v>
      </c>
      <c r="E613" s="6">
        <v>50819</v>
      </c>
      <c r="F613" s="5" t="s">
        <v>644</v>
      </c>
      <c r="G613" s="5" t="s">
        <v>16</v>
      </c>
      <c r="H613" s="5" t="s">
        <v>17</v>
      </c>
      <c r="I613" s="5" t="s">
        <v>18</v>
      </c>
      <c r="J613" s="7">
        <v>45323</v>
      </c>
      <c r="K613" s="5" t="s">
        <v>17</v>
      </c>
      <c r="L613" s="8">
        <v>44707</v>
      </c>
      <c r="M613" s="19">
        <v>222</v>
      </c>
      <c r="N613" s="19">
        <v>272</v>
      </c>
      <c r="O613" s="24">
        <v>0</v>
      </c>
      <c r="P613" s="24">
        <v>12600</v>
      </c>
      <c r="Q613" t="s">
        <v>1983</v>
      </c>
      <c r="R613" s="19">
        <f>VLOOKUP(A613,[1]Sheet1!$A$2:$Q$1536,15,FALSE)</f>
        <v>15638.6259765625</v>
      </c>
      <c r="S613" s="27">
        <f t="shared" si="27"/>
        <v>0.19430261847277808</v>
      </c>
      <c r="T613" s="19">
        <f>VLOOKUP(A613,[1]Sheet1!$A$2:$Q$1536,16,FALSE)</f>
        <v>12547.459144300959</v>
      </c>
      <c r="U613" s="27">
        <f t="shared" si="28"/>
        <v>-4.1873701356425251E-3</v>
      </c>
      <c r="V613" s="19">
        <f>VLOOKUP(A613,[1]Sheet1!$A$2:$Q$1536,17,FALSE)</f>
        <v>15629.8251953125</v>
      </c>
      <c r="W613" s="27">
        <f t="shared" si="29"/>
        <v>0.19384894952127596</v>
      </c>
    </row>
    <row r="614" spans="1:23" x14ac:dyDescent="0.3">
      <c r="A614" s="4" t="s">
        <v>539</v>
      </c>
      <c r="B614" s="5">
        <v>2014</v>
      </c>
      <c r="C614" s="5" t="s">
        <v>535</v>
      </c>
      <c r="D614" s="15" t="s">
        <v>540</v>
      </c>
      <c r="E614" s="6">
        <v>108695</v>
      </c>
      <c r="F614" s="5" t="s">
        <v>24</v>
      </c>
      <c r="G614" s="5" t="s">
        <v>22</v>
      </c>
      <c r="H614" s="5" t="s">
        <v>18</v>
      </c>
      <c r="I614" s="5" t="s">
        <v>17</v>
      </c>
      <c r="J614" s="7">
        <v>45384</v>
      </c>
      <c r="K614" s="5" t="s">
        <v>17</v>
      </c>
      <c r="L614" s="8">
        <v>43605</v>
      </c>
      <c r="M614" s="19">
        <v>264</v>
      </c>
      <c r="N614" s="19">
        <v>314</v>
      </c>
      <c r="O614" s="24">
        <v>2700</v>
      </c>
      <c r="P614" s="24">
        <v>8900</v>
      </c>
      <c r="Q614" t="s">
        <v>1983</v>
      </c>
      <c r="R614" s="19">
        <f>VLOOKUP(A614,[1]Sheet1!$A$2:$Q$1536,15,FALSE)</f>
        <v>3044.396728515625</v>
      </c>
      <c r="S614" s="27">
        <f t="shared" si="27"/>
        <v>-1.9234034830734519</v>
      </c>
      <c r="T614" s="19">
        <f>VLOOKUP(A614,[1]Sheet1!$A$2:$Q$1536,16,FALSE)</f>
        <v>9008.9694441851625</v>
      </c>
      <c r="U614" s="27">
        <f t="shared" si="28"/>
        <v>1.2095661425014247E-2</v>
      </c>
      <c r="V614" s="19">
        <f>VLOOKUP(A614,[1]Sheet1!$A$2:$Q$1536,17,FALSE)</f>
        <v>2896.08837890625</v>
      </c>
      <c r="W614" s="27">
        <f t="shared" si="29"/>
        <v>-2.0731106359955822</v>
      </c>
    </row>
    <row r="615" spans="1:23" x14ac:dyDescent="0.3">
      <c r="A615" s="4" t="s">
        <v>836</v>
      </c>
      <c r="B615" s="5">
        <v>2014</v>
      </c>
      <c r="C615" s="5" t="s">
        <v>391</v>
      </c>
      <c r="D615" s="15" t="s">
        <v>580</v>
      </c>
      <c r="E615" s="6">
        <v>95875</v>
      </c>
      <c r="F615" s="5" t="s">
        <v>161</v>
      </c>
      <c r="G615" s="5" t="s">
        <v>16</v>
      </c>
      <c r="H615" s="5" t="s">
        <v>17</v>
      </c>
      <c r="I615" s="5" t="s">
        <v>18</v>
      </c>
      <c r="J615" s="7">
        <v>45407</v>
      </c>
      <c r="K615" s="5" t="s">
        <v>17</v>
      </c>
      <c r="L615" s="8">
        <v>43605</v>
      </c>
      <c r="M615" s="19">
        <v>264</v>
      </c>
      <c r="N615" s="19">
        <v>314</v>
      </c>
      <c r="O615" s="24">
        <v>0</v>
      </c>
      <c r="P615" s="24">
        <v>4200</v>
      </c>
      <c r="Q615" t="s">
        <v>1983</v>
      </c>
      <c r="R615" s="19">
        <f>VLOOKUP(A615,[1]Sheet1!$A$2:$Q$1536,15,FALSE)</f>
        <v>8334.2578125</v>
      </c>
      <c r="S615" s="27">
        <f t="shared" si="27"/>
        <v>0.49605590629789509</v>
      </c>
      <c r="T615" s="19">
        <f>VLOOKUP(A615,[1]Sheet1!$A$2:$Q$1536,16,FALSE)</f>
        <v>10357.084160726539</v>
      </c>
      <c r="U615" s="27">
        <f t="shared" si="28"/>
        <v>0.59448046044405478</v>
      </c>
      <c r="V615" s="19">
        <f>VLOOKUP(A615,[1]Sheet1!$A$2:$Q$1536,17,FALSE)</f>
        <v>8255.8642578125</v>
      </c>
      <c r="W615" s="27">
        <f t="shared" si="29"/>
        <v>0.49127070542305096</v>
      </c>
    </row>
    <row r="616" spans="1:23" x14ac:dyDescent="0.3">
      <c r="A616" s="4" t="s">
        <v>1656</v>
      </c>
      <c r="B616" s="5">
        <v>2020</v>
      </c>
      <c r="C616" s="5" t="s">
        <v>391</v>
      </c>
      <c r="D616" s="15" t="s">
        <v>1654</v>
      </c>
      <c r="E616" s="6">
        <v>60027</v>
      </c>
      <c r="F616" s="5" t="s">
        <v>103</v>
      </c>
      <c r="G616" s="5" t="s">
        <v>28</v>
      </c>
      <c r="H616" s="5" t="s">
        <v>17</v>
      </c>
      <c r="I616" s="5" t="s">
        <v>18</v>
      </c>
      <c r="J616" s="7">
        <v>45342</v>
      </c>
      <c r="K616" s="5" t="s">
        <v>17</v>
      </c>
      <c r="L616" s="8">
        <v>44067</v>
      </c>
      <c r="M616" s="19">
        <v>235</v>
      </c>
      <c r="N616" s="19">
        <v>285</v>
      </c>
      <c r="O616" s="24">
        <v>8000</v>
      </c>
      <c r="P616" s="24">
        <v>13900</v>
      </c>
      <c r="Q616" t="s">
        <v>1983</v>
      </c>
      <c r="R616" s="19">
        <f>VLOOKUP(A616,[1]Sheet1!$A$2:$Q$1536,15,FALSE)</f>
        <v>15861.7841796875</v>
      </c>
      <c r="S616" s="27">
        <f t="shared" si="27"/>
        <v>0.1236799188202137</v>
      </c>
      <c r="T616" s="19">
        <f>VLOOKUP(A616,[1]Sheet1!$A$2:$Q$1536,16,FALSE)</f>
        <v>12634.726024588401</v>
      </c>
      <c r="U616" s="27">
        <f t="shared" si="28"/>
        <v>-0.10014257317089847</v>
      </c>
      <c r="V616" s="19">
        <f>VLOOKUP(A616,[1]Sheet1!$A$2:$Q$1536,17,FALSE)</f>
        <v>15945.18359375</v>
      </c>
      <c r="W616" s="27">
        <f t="shared" si="29"/>
        <v>0.12826340830290886</v>
      </c>
    </row>
    <row r="617" spans="1:23" x14ac:dyDescent="0.3">
      <c r="A617" s="4" t="s">
        <v>193</v>
      </c>
      <c r="B617" s="5">
        <v>2015</v>
      </c>
      <c r="C617" s="5" t="s">
        <v>96</v>
      </c>
      <c r="D617" s="15" t="s">
        <v>190</v>
      </c>
      <c r="E617" s="6">
        <v>112104</v>
      </c>
      <c r="F617" s="5" t="s">
        <v>81</v>
      </c>
      <c r="G617" s="5" t="s">
        <v>33</v>
      </c>
      <c r="H617" s="5" t="s">
        <v>17</v>
      </c>
      <c r="I617" s="5" t="s">
        <v>18</v>
      </c>
      <c r="J617" s="7">
        <v>45701</v>
      </c>
      <c r="K617" s="5" t="s">
        <v>17</v>
      </c>
      <c r="L617" s="8">
        <v>43612</v>
      </c>
      <c r="M617" s="19">
        <v>264</v>
      </c>
      <c r="N617" s="19">
        <v>314</v>
      </c>
      <c r="O617" s="24">
        <v>0</v>
      </c>
      <c r="P617" s="24">
        <v>10400</v>
      </c>
      <c r="Q617" t="s">
        <v>1983</v>
      </c>
      <c r="R617" s="19">
        <f>VLOOKUP(A617,[1]Sheet1!$A$2:$Q$1536,15,FALSE)</f>
        <v>2776.596435546875</v>
      </c>
      <c r="S617" s="27">
        <f t="shared" si="27"/>
        <v>-2.7455929377621739</v>
      </c>
      <c r="T617" s="19">
        <f>VLOOKUP(A617,[1]Sheet1!$A$2:$Q$1536,16,FALSE)</f>
        <v>9232.7221954143643</v>
      </c>
      <c r="U617" s="27">
        <f t="shared" si="28"/>
        <v>-0.12642834690351565</v>
      </c>
      <c r="V617" s="19">
        <f>VLOOKUP(A617,[1]Sheet1!$A$2:$Q$1536,17,FALSE)</f>
        <v>2637.05224609375</v>
      </c>
      <c r="W617" s="27">
        <f t="shared" si="29"/>
        <v>-2.943797478948496</v>
      </c>
    </row>
    <row r="618" spans="1:23" x14ac:dyDescent="0.3">
      <c r="A618" s="4" t="s">
        <v>1070</v>
      </c>
      <c r="B618" s="5">
        <v>2020</v>
      </c>
      <c r="C618" s="5" t="s">
        <v>391</v>
      </c>
      <c r="D618" s="15" t="s">
        <v>1071</v>
      </c>
      <c r="E618" s="6">
        <v>68851</v>
      </c>
      <c r="F618" s="5" t="s">
        <v>92</v>
      </c>
      <c r="G618" s="5" t="s">
        <v>28</v>
      </c>
      <c r="H618" s="5" t="s">
        <v>17</v>
      </c>
      <c r="I618" s="5" t="s">
        <v>18</v>
      </c>
      <c r="J618" s="7">
        <v>45426</v>
      </c>
      <c r="K618" s="5" t="s">
        <v>17</v>
      </c>
      <c r="L618" s="8">
        <v>44035</v>
      </c>
      <c r="M618" s="19">
        <v>222</v>
      </c>
      <c r="N618" s="19">
        <v>272</v>
      </c>
      <c r="O618" s="24">
        <v>17750</v>
      </c>
      <c r="P618" s="24">
        <v>24400</v>
      </c>
      <c r="Q618" t="s">
        <v>1983</v>
      </c>
      <c r="R618" s="19">
        <f>VLOOKUP(A618,[1]Sheet1!$A$2:$Q$1536,15,FALSE)</f>
        <v>14913.5625</v>
      </c>
      <c r="S618" s="27">
        <f t="shared" si="27"/>
        <v>-0.63609466215734833</v>
      </c>
      <c r="T618" s="19">
        <f>VLOOKUP(A618,[1]Sheet1!$A$2:$Q$1536,16,FALSE)</f>
        <v>12155.540567339671</v>
      </c>
      <c r="U618" s="27">
        <f t="shared" si="28"/>
        <v>-1.0073150893477802</v>
      </c>
      <c r="V618" s="19">
        <f>VLOOKUP(A618,[1]Sheet1!$A$2:$Q$1536,17,FALSE)</f>
        <v>15282.5029296875</v>
      </c>
      <c r="W618" s="27">
        <f t="shared" si="29"/>
        <v>-0.596597109273313</v>
      </c>
    </row>
    <row r="619" spans="1:23" x14ac:dyDescent="0.3">
      <c r="A619" s="4" t="s">
        <v>1954</v>
      </c>
      <c r="B619" s="5">
        <v>2016</v>
      </c>
      <c r="C619" s="5" t="s">
        <v>96</v>
      </c>
      <c r="D619" s="15" t="s">
        <v>1955</v>
      </c>
      <c r="E619" s="6">
        <v>103604</v>
      </c>
      <c r="F619" s="5" t="s">
        <v>24</v>
      </c>
      <c r="G619" s="5" t="s">
        <v>28</v>
      </c>
      <c r="H619" s="5" t="s">
        <v>17</v>
      </c>
      <c r="I619" s="5" t="s">
        <v>18</v>
      </c>
      <c r="J619" s="7">
        <v>45463</v>
      </c>
      <c r="K619" s="5" t="s">
        <v>17</v>
      </c>
      <c r="L619" s="8">
        <v>44067</v>
      </c>
      <c r="M619" s="19">
        <v>235</v>
      </c>
      <c r="N619" s="19">
        <v>285</v>
      </c>
      <c r="O619" s="24">
        <v>0</v>
      </c>
      <c r="P619" s="24">
        <v>11400</v>
      </c>
      <c r="Q619" t="s">
        <v>1983</v>
      </c>
      <c r="R619" s="19">
        <f>VLOOKUP(A619,[1]Sheet1!$A$2:$Q$1536,15,FALSE)</f>
        <v>3994.066162109375</v>
      </c>
      <c r="S619" s="27">
        <f t="shared" si="27"/>
        <v>-1.8542341406731604</v>
      </c>
      <c r="T619" s="19">
        <f>VLOOKUP(A619,[1]Sheet1!$A$2:$Q$1536,16,FALSE)</f>
        <v>9338.7847903853872</v>
      </c>
      <c r="U619" s="27">
        <f t="shared" si="28"/>
        <v>-0.22071557016033902</v>
      </c>
      <c r="V619" s="19">
        <f>VLOOKUP(A619,[1]Sheet1!$A$2:$Q$1536,17,FALSE)</f>
        <v>3890.6611328125</v>
      </c>
      <c r="W619" s="27">
        <f t="shared" si="29"/>
        <v>-1.9300932697161195</v>
      </c>
    </row>
    <row r="620" spans="1:23" x14ac:dyDescent="0.3">
      <c r="A620" s="4" t="s">
        <v>1700</v>
      </c>
      <c r="B620" s="5">
        <v>2017</v>
      </c>
      <c r="C620" s="5" t="s">
        <v>1089</v>
      </c>
      <c r="D620" s="15" t="s">
        <v>1328</v>
      </c>
      <c r="E620" s="6">
        <v>178319</v>
      </c>
      <c r="F620" s="5" t="s">
        <v>112</v>
      </c>
      <c r="G620" s="5" t="s">
        <v>22</v>
      </c>
      <c r="H620" s="5" t="s">
        <v>18</v>
      </c>
      <c r="I620" s="5" t="s">
        <v>17</v>
      </c>
      <c r="J620" s="7">
        <v>45680</v>
      </c>
      <c r="K620" s="5" t="s">
        <v>17</v>
      </c>
      <c r="L620" s="8">
        <v>44035</v>
      </c>
      <c r="M620" s="19">
        <v>222</v>
      </c>
      <c r="N620" s="19">
        <v>272</v>
      </c>
      <c r="O620" s="24">
        <v>600</v>
      </c>
      <c r="P620" s="24">
        <v>3100</v>
      </c>
      <c r="Q620" t="s">
        <v>1983</v>
      </c>
      <c r="R620" s="19">
        <f>VLOOKUP(A620,[1]Sheet1!$A$2:$Q$1536,15,FALSE)</f>
        <v>1350.629150390625</v>
      </c>
      <c r="S620" s="27">
        <f t="shared" si="27"/>
        <v>-1.2952266350118589</v>
      </c>
      <c r="T620" s="19">
        <f>VLOOKUP(A620,[1]Sheet1!$A$2:$Q$1536,16,FALSE)</f>
        <v>8590.6956953856516</v>
      </c>
      <c r="U620" s="27">
        <f t="shared" si="28"/>
        <v>0.63914447561387688</v>
      </c>
      <c r="V620" s="19">
        <f>VLOOKUP(A620,[1]Sheet1!$A$2:$Q$1536,17,FALSE)</f>
        <v>1390.846557617188</v>
      </c>
      <c r="W620" s="27">
        <f t="shared" si="29"/>
        <v>-1.2288583762330696</v>
      </c>
    </row>
    <row r="621" spans="1:23" x14ac:dyDescent="0.3">
      <c r="A621" s="4" t="s">
        <v>34</v>
      </c>
      <c r="B621" s="5">
        <v>2012</v>
      </c>
      <c r="C621" s="5" t="s">
        <v>30</v>
      </c>
      <c r="D621" s="15" t="s">
        <v>31</v>
      </c>
      <c r="E621" s="6">
        <v>112635</v>
      </c>
      <c r="F621" s="5" t="s">
        <v>21</v>
      </c>
      <c r="G621" s="5" t="s">
        <v>25</v>
      </c>
      <c r="H621" s="5" t="s">
        <v>17</v>
      </c>
      <c r="I621" s="5" t="s">
        <v>18</v>
      </c>
      <c r="J621" s="7">
        <v>45468</v>
      </c>
      <c r="K621" s="5" t="s">
        <v>17</v>
      </c>
      <c r="L621" s="8">
        <v>44135</v>
      </c>
      <c r="M621" s="19">
        <v>235</v>
      </c>
      <c r="N621" s="19">
        <v>285</v>
      </c>
      <c r="O621" s="24">
        <v>3700</v>
      </c>
      <c r="P621" s="24">
        <v>9500</v>
      </c>
      <c r="Q621" t="s">
        <v>1983</v>
      </c>
      <c r="R621" s="19">
        <f>VLOOKUP(A621,[1]Sheet1!$A$2:$Q$1536,15,FALSE)</f>
        <v>2516.2861328125</v>
      </c>
      <c r="S621" s="27">
        <f t="shared" si="27"/>
        <v>-2.7754052991508056</v>
      </c>
      <c r="T621" s="19">
        <f>VLOOKUP(A621,[1]Sheet1!$A$2:$Q$1536,16,FALSE)</f>
        <v>9039.3269783441665</v>
      </c>
      <c r="U621" s="27">
        <f t="shared" si="28"/>
        <v>-5.0963199224840973E-2</v>
      </c>
      <c r="V621" s="19">
        <f>VLOOKUP(A621,[1]Sheet1!$A$2:$Q$1536,17,FALSE)</f>
        <v>2338.3408203125</v>
      </c>
      <c r="W621" s="27">
        <f t="shared" si="29"/>
        <v>-3.0627097288283252</v>
      </c>
    </row>
    <row r="622" spans="1:23" x14ac:dyDescent="0.3">
      <c r="A622" s="4" t="s">
        <v>1047</v>
      </c>
      <c r="B622" s="5">
        <v>2019</v>
      </c>
      <c r="C622" s="5" t="s">
        <v>391</v>
      </c>
      <c r="D622" s="15" t="s">
        <v>580</v>
      </c>
      <c r="E622" s="6">
        <v>147119</v>
      </c>
      <c r="F622" s="5" t="s">
        <v>15</v>
      </c>
      <c r="G622" s="5" t="s">
        <v>25</v>
      </c>
      <c r="H622" s="5" t="s">
        <v>18</v>
      </c>
      <c r="I622" s="5" t="s">
        <v>17</v>
      </c>
      <c r="J622" s="7">
        <v>45414</v>
      </c>
      <c r="K622" s="5" t="s">
        <v>17</v>
      </c>
      <c r="L622" s="8">
        <v>44662</v>
      </c>
      <c r="M622" s="19">
        <v>235</v>
      </c>
      <c r="N622" s="19">
        <v>285</v>
      </c>
      <c r="O622" s="24">
        <v>0</v>
      </c>
      <c r="P622" s="24">
        <v>15800</v>
      </c>
      <c r="Q622" t="s">
        <v>1983</v>
      </c>
      <c r="R622" s="19">
        <f>VLOOKUP(A622,[1]Sheet1!$A$2:$Q$1536,15,FALSE)</f>
        <v>9593.60546875</v>
      </c>
      <c r="S622" s="27">
        <f t="shared" si="27"/>
        <v>-0.64693034870639343</v>
      </c>
      <c r="T622" s="19">
        <f>VLOOKUP(A622,[1]Sheet1!$A$2:$Q$1536,16,FALSE)</f>
        <v>10353.334376442899</v>
      </c>
      <c r="U622" s="27">
        <f t="shared" si="28"/>
        <v>-0.52607840387633797</v>
      </c>
      <c r="V622" s="19">
        <f>VLOOKUP(A622,[1]Sheet1!$A$2:$Q$1536,17,FALSE)</f>
        <v>9722.689453125</v>
      </c>
      <c r="W622" s="27">
        <f t="shared" si="29"/>
        <v>-0.62506475972259634</v>
      </c>
    </row>
    <row r="623" spans="1:23" x14ac:dyDescent="0.3">
      <c r="A623" s="4" t="s">
        <v>302</v>
      </c>
      <c r="B623" s="5">
        <v>2016</v>
      </c>
      <c r="C623" s="5" t="s">
        <v>237</v>
      </c>
      <c r="D623" s="15" t="s">
        <v>303</v>
      </c>
      <c r="E623" s="6">
        <v>115689</v>
      </c>
      <c r="F623" s="5" t="s">
        <v>36</v>
      </c>
      <c r="G623" s="5" t="s">
        <v>25</v>
      </c>
      <c r="H623" s="5" t="s">
        <v>18</v>
      </c>
      <c r="I623" s="5" t="s">
        <v>17</v>
      </c>
      <c r="J623" s="7">
        <v>45729</v>
      </c>
      <c r="K623" s="5" t="s">
        <v>17</v>
      </c>
      <c r="L623" s="8">
        <v>44224</v>
      </c>
      <c r="M623" s="19">
        <v>235</v>
      </c>
      <c r="N623" s="19">
        <v>285</v>
      </c>
      <c r="O623" s="24">
        <v>0</v>
      </c>
      <c r="P623" s="24">
        <v>9600</v>
      </c>
      <c r="Q623" t="s">
        <v>1983</v>
      </c>
      <c r="R623" s="19">
        <f>VLOOKUP(A623,[1]Sheet1!$A$2:$Q$1536,15,FALSE)</f>
        <v>3190.58203125</v>
      </c>
      <c r="S623" s="27">
        <f t="shared" si="27"/>
        <v>-2.0088554081898753</v>
      </c>
      <c r="T623" s="19">
        <f>VLOOKUP(A623,[1]Sheet1!$A$2:$Q$1536,16,FALSE)</f>
        <v>9332.5506399017504</v>
      </c>
      <c r="U623" s="27">
        <f t="shared" si="28"/>
        <v>-2.8657691816292699E-2</v>
      </c>
      <c r="V623" s="19">
        <f>VLOOKUP(A623,[1]Sheet1!$A$2:$Q$1536,17,FALSE)</f>
        <v>3089.48779296875</v>
      </c>
      <c r="W623" s="27">
        <f t="shared" si="29"/>
        <v>-2.1073111930878259</v>
      </c>
    </row>
    <row r="624" spans="1:23" x14ac:dyDescent="0.3">
      <c r="A624" s="4" t="s">
        <v>606</v>
      </c>
      <c r="B624" s="5">
        <v>2016</v>
      </c>
      <c r="C624" s="5" t="s">
        <v>391</v>
      </c>
      <c r="D624" s="15" t="s">
        <v>587</v>
      </c>
      <c r="E624" s="6">
        <v>125252</v>
      </c>
      <c r="F624" s="5" t="s">
        <v>59</v>
      </c>
      <c r="G624" s="5" t="s">
        <v>28</v>
      </c>
      <c r="H624" s="5" t="s">
        <v>17</v>
      </c>
      <c r="I624" s="5" t="s">
        <v>18</v>
      </c>
      <c r="J624" s="7">
        <v>45314</v>
      </c>
      <c r="K624" s="5" t="s">
        <v>17</v>
      </c>
      <c r="L624" s="8">
        <v>44483</v>
      </c>
      <c r="M624" s="19">
        <v>264</v>
      </c>
      <c r="N624" s="19">
        <v>314</v>
      </c>
      <c r="O624" s="24">
        <v>8500</v>
      </c>
      <c r="P624" s="24">
        <v>12500</v>
      </c>
      <c r="Q624" t="s">
        <v>1983</v>
      </c>
      <c r="R624" s="19">
        <f>VLOOKUP(A624,[1]Sheet1!$A$2:$Q$1536,15,FALSE)</f>
        <v>7872.95361328125</v>
      </c>
      <c r="S624" s="27">
        <f t="shared" si="27"/>
        <v>-0.58771416853176561</v>
      </c>
      <c r="T624" s="19">
        <f>VLOOKUP(A624,[1]Sheet1!$A$2:$Q$1536,16,FALSE)</f>
        <v>10042.71913232513</v>
      </c>
      <c r="U624" s="27">
        <f t="shared" si="28"/>
        <v>-0.24468282297823762</v>
      </c>
      <c r="V624" s="19">
        <f>VLOOKUP(A624,[1]Sheet1!$A$2:$Q$1536,17,FALSE)</f>
        <v>7889.59326171875</v>
      </c>
      <c r="W624" s="27">
        <f t="shared" si="29"/>
        <v>-0.58436557948449575</v>
      </c>
    </row>
    <row r="625" spans="1:23" x14ac:dyDescent="0.3">
      <c r="A625" s="4" t="s">
        <v>1413</v>
      </c>
      <c r="B625" s="5">
        <v>2012</v>
      </c>
      <c r="C625" s="5" t="s">
        <v>1086</v>
      </c>
      <c r="D625" s="15" t="s">
        <v>1411</v>
      </c>
      <c r="E625" s="6">
        <v>123272</v>
      </c>
      <c r="F625" s="5" t="s">
        <v>27</v>
      </c>
      <c r="G625" s="5" t="s">
        <v>33</v>
      </c>
      <c r="H625" s="5" t="s">
        <v>17</v>
      </c>
      <c r="I625" s="5" t="s">
        <v>18</v>
      </c>
      <c r="J625" s="7">
        <v>45356</v>
      </c>
      <c r="K625" s="5" t="s">
        <v>17</v>
      </c>
      <c r="L625" s="8">
        <v>44310</v>
      </c>
      <c r="M625" s="19">
        <v>235</v>
      </c>
      <c r="N625" s="19">
        <v>285</v>
      </c>
      <c r="O625" s="24">
        <v>2600</v>
      </c>
      <c r="P625" s="24">
        <v>6500</v>
      </c>
      <c r="Q625" t="s">
        <v>1983</v>
      </c>
      <c r="R625" s="19">
        <f>VLOOKUP(A625,[1]Sheet1!$A$2:$Q$1536,15,FALSE)</f>
        <v>1025.654663085938</v>
      </c>
      <c r="S625" s="27">
        <f t="shared" si="27"/>
        <v>-5.3374157344959841</v>
      </c>
      <c r="T625" s="19">
        <f>VLOOKUP(A625,[1]Sheet1!$A$2:$Q$1536,16,FALSE)</f>
        <v>8547.7021453542784</v>
      </c>
      <c r="U625" s="27">
        <f t="shared" si="28"/>
        <v>0.23956171033255005</v>
      </c>
      <c r="V625" s="19">
        <f>VLOOKUP(A625,[1]Sheet1!$A$2:$Q$1536,17,FALSE)</f>
        <v>1175.75244140625</v>
      </c>
      <c r="W625" s="27">
        <f t="shared" si="29"/>
        <v>-4.528374657020251</v>
      </c>
    </row>
    <row r="626" spans="1:23" x14ac:dyDescent="0.3">
      <c r="A626" s="4" t="s">
        <v>313</v>
      </c>
      <c r="B626" s="5">
        <v>2019</v>
      </c>
      <c r="C626" s="5" t="s">
        <v>237</v>
      </c>
      <c r="D626" s="15" t="s">
        <v>306</v>
      </c>
      <c r="E626" s="6">
        <v>119369</v>
      </c>
      <c r="F626" s="5" t="s">
        <v>44</v>
      </c>
      <c r="G626" s="5" t="s">
        <v>25</v>
      </c>
      <c r="H626" s="5" t="s">
        <v>18</v>
      </c>
      <c r="I626" s="5" t="s">
        <v>17</v>
      </c>
      <c r="J626" s="7">
        <v>45701</v>
      </c>
      <c r="K626" s="5" t="s">
        <v>17</v>
      </c>
      <c r="L626" s="8">
        <v>44907</v>
      </c>
      <c r="M626" s="19">
        <v>128</v>
      </c>
      <c r="N626" s="19">
        <v>158</v>
      </c>
      <c r="O626" s="24">
        <v>0</v>
      </c>
      <c r="P626" s="24">
        <v>9000</v>
      </c>
      <c r="Q626" t="s">
        <v>1983</v>
      </c>
      <c r="R626" s="19">
        <f>VLOOKUP(A626,[1]Sheet1!$A$2:$Q$1536,15,FALSE)</f>
        <v>9147.0908203125</v>
      </c>
      <c r="S626" s="27">
        <f t="shared" si="27"/>
        <v>1.6080612207966992E-2</v>
      </c>
      <c r="T626" s="19">
        <f>VLOOKUP(A626,[1]Sheet1!$A$2:$Q$1536,16,FALSE)</f>
        <v>9403.0774890316879</v>
      </c>
      <c r="U626" s="27">
        <f t="shared" si="28"/>
        <v>4.2866549754786307E-2</v>
      </c>
      <c r="V626" s="19">
        <f>VLOOKUP(A626,[1]Sheet1!$A$2:$Q$1536,17,FALSE)</f>
        <v>9199.7333984375</v>
      </c>
      <c r="W626" s="27">
        <f t="shared" si="29"/>
        <v>2.1710781148443183E-2</v>
      </c>
    </row>
    <row r="627" spans="1:23" x14ac:dyDescent="0.3">
      <c r="A627" s="4" t="s">
        <v>869</v>
      </c>
      <c r="B627" s="5">
        <v>2020</v>
      </c>
      <c r="C627" s="5" t="s">
        <v>391</v>
      </c>
      <c r="D627" s="15" t="s">
        <v>580</v>
      </c>
      <c r="E627" s="6">
        <v>110574</v>
      </c>
      <c r="F627" s="5" t="s">
        <v>132</v>
      </c>
      <c r="G627" s="5" t="s">
        <v>25</v>
      </c>
      <c r="H627" s="5" t="s">
        <v>18</v>
      </c>
      <c r="I627" s="5" t="s">
        <v>17</v>
      </c>
      <c r="J627" s="7">
        <v>45337</v>
      </c>
      <c r="K627" s="5" t="s">
        <v>17</v>
      </c>
      <c r="L627" s="8">
        <v>43612</v>
      </c>
      <c r="M627" s="19">
        <v>264</v>
      </c>
      <c r="N627" s="19">
        <v>314</v>
      </c>
      <c r="O627" s="24">
        <v>0</v>
      </c>
      <c r="P627" s="24">
        <v>19000</v>
      </c>
      <c r="Q627" t="s">
        <v>1983</v>
      </c>
      <c r="R627" s="19">
        <f>VLOOKUP(A627,[1]Sheet1!$A$2:$Q$1536,15,FALSE)</f>
        <v>6331.216796875</v>
      </c>
      <c r="S627" s="27">
        <f t="shared" si="27"/>
        <v>-2.0010029050621254</v>
      </c>
      <c r="T627" s="19">
        <f>VLOOKUP(A627,[1]Sheet1!$A$2:$Q$1536,16,FALSE)</f>
        <v>10672.47019970908</v>
      </c>
      <c r="U627" s="27">
        <f t="shared" si="28"/>
        <v>-0.78028138232870592</v>
      </c>
      <c r="V627" s="19">
        <f>VLOOKUP(A627,[1]Sheet1!$A$2:$Q$1536,17,FALSE)</f>
        <v>5960.42333984375</v>
      </c>
      <c r="W627" s="27">
        <f t="shared" si="29"/>
        <v>-2.1876930406923205</v>
      </c>
    </row>
    <row r="628" spans="1:23" x14ac:dyDescent="0.3">
      <c r="A628" s="4" t="s">
        <v>1372</v>
      </c>
      <c r="B628" s="5">
        <v>2019</v>
      </c>
      <c r="C628" s="5" t="s">
        <v>1089</v>
      </c>
      <c r="D628" s="15" t="s">
        <v>1363</v>
      </c>
      <c r="E628" s="6">
        <v>136414</v>
      </c>
      <c r="F628" s="5" t="s">
        <v>32</v>
      </c>
      <c r="G628" s="5" t="s">
        <v>25</v>
      </c>
      <c r="H628" s="5" t="s">
        <v>18</v>
      </c>
      <c r="I628" s="5" t="s">
        <v>17</v>
      </c>
      <c r="J628" s="7">
        <v>45552</v>
      </c>
      <c r="K628" s="5" t="s">
        <v>17</v>
      </c>
      <c r="L628" s="8">
        <v>44451</v>
      </c>
      <c r="M628" s="19">
        <v>264</v>
      </c>
      <c r="N628" s="19">
        <v>314</v>
      </c>
      <c r="O628" s="24">
        <v>3300</v>
      </c>
      <c r="P628" s="24">
        <v>8900</v>
      </c>
      <c r="Q628" t="s">
        <v>1983</v>
      </c>
      <c r="R628" s="19">
        <f>VLOOKUP(A628,[1]Sheet1!$A$2:$Q$1536,15,FALSE)</f>
        <v>3288.023193359375</v>
      </c>
      <c r="S628" s="27">
        <f t="shared" si="27"/>
        <v>-1.7067935585049403</v>
      </c>
      <c r="T628" s="19">
        <f>VLOOKUP(A628,[1]Sheet1!$A$2:$Q$1536,16,FALSE)</f>
        <v>8684.9255109717506</v>
      </c>
      <c r="U628" s="27">
        <f t="shared" si="28"/>
        <v>-2.4764114413709567E-2</v>
      </c>
      <c r="V628" s="19">
        <f>VLOOKUP(A628,[1]Sheet1!$A$2:$Q$1536,17,FALSE)</f>
        <v>3210.5380859375</v>
      </c>
      <c r="W628" s="27">
        <f t="shared" si="29"/>
        <v>-1.7721209846358625</v>
      </c>
    </row>
    <row r="629" spans="1:23" x14ac:dyDescent="0.3">
      <c r="A629" s="4" t="s">
        <v>1383</v>
      </c>
      <c r="B629" s="5">
        <v>2019</v>
      </c>
      <c r="C629" s="5" t="s">
        <v>1089</v>
      </c>
      <c r="D629" s="15" t="s">
        <v>1363</v>
      </c>
      <c r="E629" s="6">
        <v>70755</v>
      </c>
      <c r="F629" s="5" t="s">
        <v>144</v>
      </c>
      <c r="G629" s="5" t="s">
        <v>33</v>
      </c>
      <c r="H629" s="5" t="s">
        <v>17</v>
      </c>
      <c r="I629" s="5" t="s">
        <v>18</v>
      </c>
      <c r="J629" s="7">
        <v>45645</v>
      </c>
      <c r="K629" s="5" t="s">
        <v>17</v>
      </c>
      <c r="L629" s="8">
        <v>44113</v>
      </c>
      <c r="M629" s="19">
        <v>264</v>
      </c>
      <c r="N629" s="19">
        <v>314</v>
      </c>
      <c r="O629" s="24">
        <v>3000</v>
      </c>
      <c r="P629" s="24">
        <v>12600</v>
      </c>
      <c r="Q629" t="s">
        <v>1983</v>
      </c>
      <c r="R629" s="19">
        <f>VLOOKUP(A629,[1]Sheet1!$A$2:$Q$1536,15,FALSE)</f>
        <v>3977.971923828125</v>
      </c>
      <c r="S629" s="27">
        <f t="shared" si="27"/>
        <v>-2.1674431698539069</v>
      </c>
      <c r="T629" s="19">
        <f>VLOOKUP(A629,[1]Sheet1!$A$2:$Q$1536,16,FALSE)</f>
        <v>9128.2706208378113</v>
      </c>
      <c r="U629" s="27">
        <f t="shared" si="28"/>
        <v>-0.38032717514279241</v>
      </c>
      <c r="V629" s="19">
        <f>VLOOKUP(A629,[1]Sheet1!$A$2:$Q$1536,17,FALSE)</f>
        <v>3881.8876953125</v>
      </c>
      <c r="W629" s="27">
        <f t="shared" si="29"/>
        <v>-2.245843514539303</v>
      </c>
    </row>
    <row r="630" spans="1:23" x14ac:dyDescent="0.3">
      <c r="A630" s="4" t="s">
        <v>1337</v>
      </c>
      <c r="B630" s="5">
        <v>2018</v>
      </c>
      <c r="C630" s="5" t="s">
        <v>1089</v>
      </c>
      <c r="D630" s="15" t="s">
        <v>1328</v>
      </c>
      <c r="E630" s="6">
        <v>97735</v>
      </c>
      <c r="F630" s="5" t="s">
        <v>158</v>
      </c>
      <c r="G630" s="5" t="s">
        <v>16</v>
      </c>
      <c r="H630" s="5" t="s">
        <v>17</v>
      </c>
      <c r="I630" s="5" t="s">
        <v>18</v>
      </c>
      <c r="J630" s="7">
        <v>45505</v>
      </c>
      <c r="K630" s="5" t="s">
        <v>17</v>
      </c>
      <c r="L630" s="8">
        <v>44310</v>
      </c>
      <c r="M630" s="19">
        <v>235</v>
      </c>
      <c r="N630" s="19">
        <v>285</v>
      </c>
      <c r="O630" s="24">
        <v>8500</v>
      </c>
      <c r="P630" s="24">
        <v>11200</v>
      </c>
      <c r="Q630" t="s">
        <v>1983</v>
      </c>
      <c r="R630" s="19">
        <f>VLOOKUP(A630,[1]Sheet1!$A$2:$Q$1536,15,FALSE)</f>
        <v>9151.3017578125</v>
      </c>
      <c r="S630" s="27">
        <f t="shared" si="27"/>
        <v>-0.22386959761637396</v>
      </c>
      <c r="T630" s="19">
        <f>VLOOKUP(A630,[1]Sheet1!$A$2:$Q$1536,16,FALSE)</f>
        <v>9640.0930576050268</v>
      </c>
      <c r="U630" s="27">
        <f t="shared" si="28"/>
        <v>-0.16181451082200596</v>
      </c>
      <c r="V630" s="19">
        <f>VLOOKUP(A630,[1]Sheet1!$A$2:$Q$1536,17,FALSE)</f>
        <v>9365.9794921875</v>
      </c>
      <c r="W630" s="27">
        <f t="shared" si="29"/>
        <v>-0.19581726709334804</v>
      </c>
    </row>
    <row r="631" spans="1:23" x14ac:dyDescent="0.3">
      <c r="A631" s="4" t="s">
        <v>167</v>
      </c>
      <c r="B631" s="5">
        <v>2017</v>
      </c>
      <c r="C631" s="5" t="s">
        <v>96</v>
      </c>
      <c r="D631" s="15" t="s">
        <v>154</v>
      </c>
      <c r="E631" s="6">
        <v>162171</v>
      </c>
      <c r="F631" s="5" t="s">
        <v>144</v>
      </c>
      <c r="G631" s="5" t="s">
        <v>25</v>
      </c>
      <c r="H631" s="5" t="s">
        <v>18</v>
      </c>
      <c r="I631" s="5" t="s">
        <v>17</v>
      </c>
      <c r="J631" s="7">
        <v>45580</v>
      </c>
      <c r="K631" s="5" t="s">
        <v>17</v>
      </c>
      <c r="L631" s="8">
        <v>43950</v>
      </c>
      <c r="M631" s="19">
        <v>264</v>
      </c>
      <c r="N631" s="19">
        <v>314</v>
      </c>
      <c r="O631" s="24">
        <v>3200</v>
      </c>
      <c r="P631" s="24">
        <v>12400</v>
      </c>
      <c r="Q631" t="s">
        <v>1983</v>
      </c>
      <c r="R631" s="19">
        <f>VLOOKUP(A631,[1]Sheet1!$A$2:$Q$1536,15,FALSE)</f>
        <v>2421.65185546875</v>
      </c>
      <c r="S631" s="27">
        <f t="shared" si="27"/>
        <v>-4.1204717854044217</v>
      </c>
      <c r="T631" s="19">
        <f>VLOOKUP(A631,[1]Sheet1!$A$2:$Q$1536,16,FALSE)</f>
        <v>9208.4688923253671</v>
      </c>
      <c r="U631" s="27">
        <f t="shared" si="28"/>
        <v>-0.34658651128577489</v>
      </c>
      <c r="V631" s="19">
        <f>VLOOKUP(A631,[1]Sheet1!$A$2:$Q$1536,17,FALSE)</f>
        <v>2321.60986328125</v>
      </c>
      <c r="W631" s="27">
        <f t="shared" si="29"/>
        <v>-4.341121346923658</v>
      </c>
    </row>
    <row r="632" spans="1:23" x14ac:dyDescent="0.3">
      <c r="A632" s="4" t="s">
        <v>1344</v>
      </c>
      <c r="B632" s="5">
        <v>2018</v>
      </c>
      <c r="C632" s="5" t="s">
        <v>1089</v>
      </c>
      <c r="D632" s="15" t="s">
        <v>1328</v>
      </c>
      <c r="E632" s="6">
        <v>78628</v>
      </c>
      <c r="F632" s="5" t="s">
        <v>81</v>
      </c>
      <c r="G632" s="5" t="s">
        <v>28</v>
      </c>
      <c r="H632" s="5" t="s">
        <v>17</v>
      </c>
      <c r="I632" s="5" t="s">
        <v>18</v>
      </c>
      <c r="J632" s="7">
        <v>45596</v>
      </c>
      <c r="K632" s="5" t="s">
        <v>17</v>
      </c>
      <c r="L632" s="8">
        <v>43605</v>
      </c>
      <c r="M632" s="19">
        <v>264</v>
      </c>
      <c r="N632" s="19">
        <v>314</v>
      </c>
      <c r="O632" s="24">
        <v>8000</v>
      </c>
      <c r="P632" s="24">
        <v>9000</v>
      </c>
      <c r="Q632" t="s">
        <v>1983</v>
      </c>
      <c r="R632" s="19">
        <f>VLOOKUP(A632,[1]Sheet1!$A$2:$Q$1536,15,FALSE)</f>
        <v>3867.195556640625</v>
      </c>
      <c r="S632" s="27">
        <f t="shared" si="27"/>
        <v>-1.3272678787979797</v>
      </c>
      <c r="T632" s="19">
        <f>VLOOKUP(A632,[1]Sheet1!$A$2:$Q$1536,16,FALSE)</f>
        <v>8973.3504581089455</v>
      </c>
      <c r="U632" s="27">
        <f t="shared" si="28"/>
        <v>-2.9698541270024824E-3</v>
      </c>
      <c r="V632" s="19">
        <f>VLOOKUP(A632,[1]Sheet1!$A$2:$Q$1536,17,FALSE)</f>
        <v>3803.46435546875</v>
      </c>
      <c r="W632" s="27">
        <f t="shared" si="29"/>
        <v>-1.3662637950213716</v>
      </c>
    </row>
    <row r="633" spans="1:23" x14ac:dyDescent="0.3">
      <c r="A633" s="4" t="s">
        <v>814</v>
      </c>
      <c r="B633" s="5">
        <v>2017</v>
      </c>
      <c r="C633" s="5" t="s">
        <v>559</v>
      </c>
      <c r="D633" s="15" t="s">
        <v>760</v>
      </c>
      <c r="E633" s="6">
        <v>77896</v>
      </c>
      <c r="F633" s="5" t="s">
        <v>144</v>
      </c>
      <c r="G633" s="5" t="s">
        <v>22</v>
      </c>
      <c r="H633" s="5" t="s">
        <v>18</v>
      </c>
      <c r="I633" s="5" t="s">
        <v>17</v>
      </c>
      <c r="J633" s="7">
        <v>45664</v>
      </c>
      <c r="K633" s="5" t="s">
        <v>17</v>
      </c>
      <c r="L633" s="8">
        <v>43612</v>
      </c>
      <c r="M633" s="19">
        <v>264</v>
      </c>
      <c r="N633" s="19">
        <v>314</v>
      </c>
      <c r="O633" s="24">
        <v>3700</v>
      </c>
      <c r="P633" s="24">
        <v>15200</v>
      </c>
      <c r="Q633" t="s">
        <v>1983</v>
      </c>
      <c r="R633" s="19">
        <f>VLOOKUP(A633,[1]Sheet1!$A$2:$Q$1536,15,FALSE)</f>
        <v>5704.93701171875</v>
      </c>
      <c r="S633" s="27">
        <f t="shared" si="27"/>
        <v>-1.6643589523910682</v>
      </c>
      <c r="T633" s="19">
        <f>VLOOKUP(A633,[1]Sheet1!$A$2:$Q$1536,16,FALSE)</f>
        <v>10248.263877268861</v>
      </c>
      <c r="U633" s="27">
        <f t="shared" si="28"/>
        <v>-0.48317804674353937</v>
      </c>
      <c r="V633" s="19">
        <f>VLOOKUP(A633,[1]Sheet1!$A$2:$Q$1536,17,FALSE)</f>
        <v>5443.36279296875</v>
      </c>
      <c r="W633" s="27">
        <f t="shared" si="29"/>
        <v>-1.7923915010100011</v>
      </c>
    </row>
    <row r="634" spans="1:23" x14ac:dyDescent="0.3">
      <c r="A634" s="4" t="s">
        <v>1030</v>
      </c>
      <c r="B634" s="5">
        <v>2012</v>
      </c>
      <c r="C634" s="5" t="s">
        <v>237</v>
      </c>
      <c r="D634" s="15" t="s">
        <v>1031</v>
      </c>
      <c r="E634" s="6">
        <v>174845</v>
      </c>
      <c r="F634" s="5" t="s">
        <v>24</v>
      </c>
      <c r="G634" s="5" t="s">
        <v>25</v>
      </c>
      <c r="H634" s="5" t="s">
        <v>18</v>
      </c>
      <c r="I634" s="5" t="s">
        <v>17</v>
      </c>
      <c r="J634" s="7">
        <v>45610</v>
      </c>
      <c r="K634" s="5" t="s">
        <v>17</v>
      </c>
      <c r="L634" s="8">
        <v>44307</v>
      </c>
      <c r="M634" s="19">
        <v>235</v>
      </c>
      <c r="N634" s="19">
        <v>285</v>
      </c>
      <c r="O634" s="24">
        <v>0</v>
      </c>
      <c r="P634" s="24">
        <v>6900</v>
      </c>
      <c r="Q634" t="s">
        <v>1983</v>
      </c>
      <c r="R634" s="19">
        <f>VLOOKUP(A634,[1]Sheet1!$A$2:$Q$1536,15,FALSE)</f>
        <v>1352.293701171875</v>
      </c>
      <c r="S634" s="27">
        <f t="shared" si="27"/>
        <v>-4.1024418689672046</v>
      </c>
      <c r="T634" s="19">
        <f>VLOOKUP(A634,[1]Sheet1!$A$2:$Q$1536,16,FALSE)</f>
        <v>9301.2068014746692</v>
      </c>
      <c r="U634" s="27">
        <f t="shared" si="28"/>
        <v>0.25816077985643404</v>
      </c>
      <c r="V634" s="19">
        <f>VLOOKUP(A634,[1]Sheet1!$A$2:$Q$1536,17,FALSE)</f>
        <v>1414.7646484375</v>
      </c>
      <c r="W634" s="27">
        <f t="shared" si="29"/>
        <v>-3.8771362838480066</v>
      </c>
    </row>
    <row r="635" spans="1:23" x14ac:dyDescent="0.3">
      <c r="A635" s="4" t="s">
        <v>1625</v>
      </c>
      <c r="B635" s="5">
        <v>2016</v>
      </c>
      <c r="C635" s="5" t="s">
        <v>519</v>
      </c>
      <c r="D635" s="15" t="s">
        <v>1623</v>
      </c>
      <c r="E635" s="6">
        <v>84122</v>
      </c>
      <c r="F635" s="5" t="s">
        <v>59</v>
      </c>
      <c r="G635" s="5" t="s">
        <v>25</v>
      </c>
      <c r="H635" s="5" t="s">
        <v>18</v>
      </c>
      <c r="I635" s="5" t="s">
        <v>17</v>
      </c>
      <c r="J635" s="7">
        <v>45645</v>
      </c>
      <c r="K635" s="5" t="s">
        <v>17</v>
      </c>
      <c r="L635" s="8">
        <v>44310</v>
      </c>
      <c r="M635" s="19">
        <v>235</v>
      </c>
      <c r="N635" s="19">
        <v>285</v>
      </c>
      <c r="O635" s="24">
        <v>0</v>
      </c>
      <c r="P635" s="24">
        <v>9300</v>
      </c>
      <c r="Q635" t="s">
        <v>1983</v>
      </c>
      <c r="R635" s="19">
        <f>VLOOKUP(A635,[1]Sheet1!$A$2:$Q$1536,15,FALSE)</f>
        <v>8640.9921875</v>
      </c>
      <c r="S635" s="27">
        <f t="shared" si="27"/>
        <v>-7.6265294331976846E-2</v>
      </c>
      <c r="T635" s="19">
        <f>VLOOKUP(A635,[1]Sheet1!$A$2:$Q$1536,16,FALSE)</f>
        <v>10034.07664708958</v>
      </c>
      <c r="U635" s="27">
        <f t="shared" si="28"/>
        <v>7.3158365528581168E-2</v>
      </c>
      <c r="V635" s="19">
        <f>VLOOKUP(A635,[1]Sheet1!$A$2:$Q$1536,17,FALSE)</f>
        <v>8592.533203125</v>
      </c>
      <c r="W635" s="27">
        <f t="shared" si="29"/>
        <v>-8.2335066987893973E-2</v>
      </c>
    </row>
    <row r="636" spans="1:23" x14ac:dyDescent="0.3">
      <c r="A636" s="4" t="s">
        <v>888</v>
      </c>
      <c r="B636" s="5">
        <v>2015</v>
      </c>
      <c r="C636" s="5" t="s">
        <v>391</v>
      </c>
      <c r="D636" s="15" t="s">
        <v>590</v>
      </c>
      <c r="E636" s="6">
        <v>116310</v>
      </c>
      <c r="F636" s="5" t="s">
        <v>27</v>
      </c>
      <c r="G636" s="5" t="s">
        <v>33</v>
      </c>
      <c r="H636" s="5" t="s">
        <v>17</v>
      </c>
      <c r="I636" s="5" t="s">
        <v>18</v>
      </c>
      <c r="J636" s="7">
        <v>45715</v>
      </c>
      <c r="K636" s="5" t="s">
        <v>17</v>
      </c>
      <c r="L636" s="8">
        <v>44224</v>
      </c>
      <c r="M636" s="19">
        <v>235</v>
      </c>
      <c r="N636" s="19">
        <v>285</v>
      </c>
      <c r="O636" s="24">
        <v>0</v>
      </c>
      <c r="P636" s="24">
        <v>5600</v>
      </c>
      <c r="Q636" t="s">
        <v>1983</v>
      </c>
      <c r="R636" s="19">
        <f>VLOOKUP(A636,[1]Sheet1!$A$2:$Q$1536,15,FALSE)</f>
        <v>2533.370849609375</v>
      </c>
      <c r="S636" s="27">
        <f t="shared" si="27"/>
        <v>-1.2104935804655186</v>
      </c>
      <c r="T636" s="19">
        <f>VLOOKUP(A636,[1]Sheet1!$A$2:$Q$1536,16,FALSE)</f>
        <v>9330.2606788747144</v>
      </c>
      <c r="U636" s="27">
        <f t="shared" si="28"/>
        <v>0.39980240716324833</v>
      </c>
      <c r="V636" s="19">
        <f>VLOOKUP(A636,[1]Sheet1!$A$2:$Q$1536,17,FALSE)</f>
        <v>2382.8828125</v>
      </c>
      <c r="W636" s="27">
        <f t="shared" si="29"/>
        <v>-1.3500945873728316</v>
      </c>
    </row>
    <row r="637" spans="1:23" x14ac:dyDescent="0.3">
      <c r="A637" s="4" t="s">
        <v>698</v>
      </c>
      <c r="B637" s="5">
        <v>2018</v>
      </c>
      <c r="C637" s="5" t="s">
        <v>684</v>
      </c>
      <c r="D637" s="15" t="s">
        <v>691</v>
      </c>
      <c r="E637" s="6">
        <v>51460</v>
      </c>
      <c r="F637" s="5" t="s">
        <v>158</v>
      </c>
      <c r="G637" s="5" t="s">
        <v>16</v>
      </c>
      <c r="H637" s="5" t="s">
        <v>17</v>
      </c>
      <c r="I637" s="5" t="s">
        <v>18</v>
      </c>
      <c r="J637" s="7">
        <v>45344</v>
      </c>
      <c r="K637" s="5" t="s">
        <v>17</v>
      </c>
      <c r="L637" s="8">
        <v>44203</v>
      </c>
      <c r="M637" s="19">
        <v>235</v>
      </c>
      <c r="N637" s="19">
        <v>285</v>
      </c>
      <c r="O637" s="24">
        <v>0</v>
      </c>
      <c r="P637" s="24">
        <v>9600</v>
      </c>
      <c r="Q637" t="s">
        <v>1983</v>
      </c>
      <c r="R637" s="19">
        <f>VLOOKUP(A637,[1]Sheet1!$A$2:$Q$1536,15,FALSE)</f>
        <v>12371.923828125</v>
      </c>
      <c r="S637" s="27">
        <f t="shared" si="27"/>
        <v>0.22404953882949125</v>
      </c>
      <c r="T637" s="19">
        <f>VLOOKUP(A637,[1]Sheet1!$A$2:$Q$1536,16,FALSE)</f>
        <v>11934.8817688073</v>
      </c>
      <c r="U637" s="27">
        <f t="shared" si="28"/>
        <v>0.1956350983643329</v>
      </c>
      <c r="V637" s="19">
        <f>VLOOKUP(A637,[1]Sheet1!$A$2:$Q$1536,17,FALSE)</f>
        <v>12070.8740234375</v>
      </c>
      <c r="W637" s="27">
        <f t="shared" si="29"/>
        <v>0.20469719248497745</v>
      </c>
    </row>
    <row r="638" spans="1:23" x14ac:dyDescent="0.3">
      <c r="A638" s="4" t="s">
        <v>1151</v>
      </c>
      <c r="B638" s="5">
        <v>2018</v>
      </c>
      <c r="C638" s="5" t="s">
        <v>636</v>
      </c>
      <c r="D638" s="15" t="s">
        <v>1142</v>
      </c>
      <c r="E638" s="6">
        <v>103450</v>
      </c>
      <c r="F638" s="5" t="s">
        <v>44</v>
      </c>
      <c r="G638" s="5" t="s">
        <v>25</v>
      </c>
      <c r="H638" s="5" t="s">
        <v>18</v>
      </c>
      <c r="I638" s="5" t="s">
        <v>17</v>
      </c>
      <c r="J638" s="7">
        <v>45330</v>
      </c>
      <c r="K638" s="5" t="s">
        <v>17</v>
      </c>
      <c r="L638" s="8">
        <v>44113</v>
      </c>
      <c r="M638" s="19">
        <v>264</v>
      </c>
      <c r="N638" s="19">
        <v>314</v>
      </c>
      <c r="O638" s="24">
        <v>3500</v>
      </c>
      <c r="P638" s="24">
        <v>8800</v>
      </c>
      <c r="Q638" t="s">
        <v>1983</v>
      </c>
      <c r="R638" s="19">
        <f>VLOOKUP(A638,[1]Sheet1!$A$2:$Q$1536,15,FALSE)</f>
        <v>6884.19677734375</v>
      </c>
      <c r="S638" s="27">
        <f t="shared" si="27"/>
        <v>-0.27829001474235282</v>
      </c>
      <c r="T638" s="19">
        <f>VLOOKUP(A638,[1]Sheet1!$A$2:$Q$1536,16,FALSE)</f>
        <v>8844.2382864753563</v>
      </c>
      <c r="U638" s="27">
        <f t="shared" si="28"/>
        <v>5.0019329016729062E-3</v>
      </c>
      <c r="V638" s="19">
        <f>VLOOKUP(A638,[1]Sheet1!$A$2:$Q$1536,17,FALSE)</f>
        <v>6875.48193359375</v>
      </c>
      <c r="W638" s="27">
        <f t="shared" si="29"/>
        <v>-0.27991027901666266</v>
      </c>
    </row>
    <row r="639" spans="1:23" x14ac:dyDescent="0.3">
      <c r="A639" s="4" t="s">
        <v>1923</v>
      </c>
      <c r="B639" s="5">
        <v>2014</v>
      </c>
      <c r="C639" s="5" t="s">
        <v>1921</v>
      </c>
      <c r="D639" s="15" t="s">
        <v>1924</v>
      </c>
      <c r="E639" s="6">
        <v>112158</v>
      </c>
      <c r="F639" s="5" t="s">
        <v>199</v>
      </c>
      <c r="G639" s="5" t="s">
        <v>33</v>
      </c>
      <c r="H639" s="5" t="s">
        <v>17</v>
      </c>
      <c r="I639" s="5" t="s">
        <v>18</v>
      </c>
      <c r="J639" s="7">
        <v>45706</v>
      </c>
      <c r="K639" s="5" t="s">
        <v>17</v>
      </c>
      <c r="L639" s="8">
        <v>44128</v>
      </c>
      <c r="M639" s="19">
        <v>264</v>
      </c>
      <c r="N639" s="19">
        <v>314</v>
      </c>
      <c r="O639" s="24">
        <v>7000</v>
      </c>
      <c r="P639" s="24">
        <v>10766.666666666701</v>
      </c>
      <c r="Q639" t="s">
        <v>1983</v>
      </c>
      <c r="R639" s="19">
        <f>VLOOKUP(A639,[1]Sheet1!$A$2:$Q$1536,15,FALSE)</f>
        <v>9897.046875</v>
      </c>
      <c r="S639" s="27">
        <f t="shared" si="27"/>
        <v>-8.7866593201994969E-2</v>
      </c>
      <c r="T639" s="19">
        <f>VLOOKUP(A639,[1]Sheet1!$A$2:$Q$1536,16,FALSE)</f>
        <v>13547.53214223909</v>
      </c>
      <c r="U639" s="27">
        <f t="shared" si="28"/>
        <v>0.20526730967495438</v>
      </c>
      <c r="V639" s="19">
        <f>VLOOKUP(A639,[1]Sheet1!$A$2:$Q$1536,17,FALSE)</f>
        <v>9900.642578125</v>
      </c>
      <c r="W639" s="27">
        <f t="shared" si="29"/>
        <v>-8.7471503158304056E-2</v>
      </c>
    </row>
    <row r="640" spans="1:23" x14ac:dyDescent="0.3">
      <c r="A640" s="4" t="s">
        <v>318</v>
      </c>
      <c r="B640" s="5">
        <v>2018</v>
      </c>
      <c r="C640" s="5" t="s">
        <v>237</v>
      </c>
      <c r="D640" s="15" t="s">
        <v>306</v>
      </c>
      <c r="E640" s="6">
        <v>92013</v>
      </c>
      <c r="F640" s="5" t="s">
        <v>79</v>
      </c>
      <c r="G640" s="5" t="s">
        <v>22</v>
      </c>
      <c r="H640" s="5" t="s">
        <v>18</v>
      </c>
      <c r="I640" s="5" t="s">
        <v>17</v>
      </c>
      <c r="J640" s="7">
        <v>45603</v>
      </c>
      <c r="K640" s="5" t="s">
        <v>17</v>
      </c>
      <c r="L640" s="8">
        <v>44113</v>
      </c>
      <c r="M640" s="19">
        <v>264</v>
      </c>
      <c r="N640" s="19">
        <v>314</v>
      </c>
      <c r="O640" s="24">
        <v>0</v>
      </c>
      <c r="P640" s="24">
        <v>10600</v>
      </c>
      <c r="Q640" t="s">
        <v>1983</v>
      </c>
      <c r="R640" s="19">
        <f>VLOOKUP(A640,[1]Sheet1!$A$2:$Q$1536,15,FALSE)</f>
        <v>5811.56201171875</v>
      </c>
      <c r="S640" s="27">
        <f t="shared" si="27"/>
        <v>-0.82395025272475508</v>
      </c>
      <c r="T640" s="19">
        <f>VLOOKUP(A640,[1]Sheet1!$A$2:$Q$1536,16,FALSE)</f>
        <v>9483.3905650650413</v>
      </c>
      <c r="U640" s="27">
        <f t="shared" si="28"/>
        <v>-0.11774369380591893</v>
      </c>
      <c r="V640" s="19">
        <f>VLOOKUP(A640,[1]Sheet1!$A$2:$Q$1536,17,FALSE)</f>
        <v>5905.64599609375</v>
      </c>
      <c r="W640" s="27">
        <f t="shared" si="29"/>
        <v>-0.79489254977546897</v>
      </c>
    </row>
    <row r="641" spans="1:23" x14ac:dyDescent="0.3">
      <c r="A641" s="4" t="s">
        <v>839</v>
      </c>
      <c r="B641" s="5">
        <v>2016</v>
      </c>
      <c r="C641" s="5" t="s">
        <v>391</v>
      </c>
      <c r="D641" s="15" t="s">
        <v>582</v>
      </c>
      <c r="E641" s="6">
        <v>86386</v>
      </c>
      <c r="F641" s="5" t="s">
        <v>27</v>
      </c>
      <c r="G641" s="5" t="s">
        <v>22</v>
      </c>
      <c r="H641" s="5" t="s">
        <v>18</v>
      </c>
      <c r="I641" s="5" t="s">
        <v>17</v>
      </c>
      <c r="J641" s="7">
        <v>45314</v>
      </c>
      <c r="K641" s="5" t="s">
        <v>17</v>
      </c>
      <c r="L641" s="8">
        <v>43608</v>
      </c>
      <c r="M641" s="19">
        <v>264</v>
      </c>
      <c r="N641" s="19">
        <v>314</v>
      </c>
      <c r="O641" s="24">
        <v>3800</v>
      </c>
      <c r="P641" s="24">
        <v>7200</v>
      </c>
      <c r="Q641" t="s">
        <v>1983</v>
      </c>
      <c r="R641" s="19">
        <f>VLOOKUP(A641,[1]Sheet1!$A$2:$Q$1536,15,FALSE)</f>
        <v>4112.31591796875</v>
      </c>
      <c r="S641" s="27">
        <f t="shared" si="27"/>
        <v>-0.75083824872005223</v>
      </c>
      <c r="T641" s="19">
        <f>VLOOKUP(A641,[1]Sheet1!$A$2:$Q$1536,16,FALSE)</f>
        <v>9450.8748842148616</v>
      </c>
      <c r="U641" s="27">
        <f t="shared" si="28"/>
        <v>0.23816576896752079</v>
      </c>
      <c r="V641" s="19">
        <f>VLOOKUP(A641,[1]Sheet1!$A$2:$Q$1536,17,FALSE)</f>
        <v>4161.6396484375</v>
      </c>
      <c r="W641" s="27">
        <f t="shared" si="29"/>
        <v>-0.73008732332297477</v>
      </c>
    </row>
    <row r="642" spans="1:23" x14ac:dyDescent="0.3">
      <c r="A642" s="4" t="s">
        <v>424</v>
      </c>
      <c r="B642" s="5">
        <v>2017</v>
      </c>
      <c r="C642" s="5" t="s">
        <v>391</v>
      </c>
      <c r="D642" s="15" t="s">
        <v>413</v>
      </c>
      <c r="E642" s="6">
        <v>163987</v>
      </c>
      <c r="F642" s="5" t="s">
        <v>73</v>
      </c>
      <c r="G642" s="5" t="s">
        <v>25</v>
      </c>
      <c r="H642" s="5" t="s">
        <v>18</v>
      </c>
      <c r="I642" s="5" t="s">
        <v>17</v>
      </c>
      <c r="J642" s="7">
        <v>45552</v>
      </c>
      <c r="K642" s="5" t="s">
        <v>17</v>
      </c>
      <c r="L642" s="8">
        <v>44128</v>
      </c>
      <c r="M642" s="19">
        <v>264</v>
      </c>
      <c r="N642" s="19">
        <v>314</v>
      </c>
      <c r="O642" s="24">
        <v>4600</v>
      </c>
      <c r="P642" s="24">
        <v>9800</v>
      </c>
      <c r="Q642" t="s">
        <v>1983</v>
      </c>
      <c r="R642" s="19">
        <f>VLOOKUP(A642,[1]Sheet1!$A$2:$Q$1536,15,FALSE)</f>
        <v>3006.138427734375</v>
      </c>
      <c r="S642" s="27">
        <f t="shared" si="27"/>
        <v>-2.2599962495359631</v>
      </c>
      <c r="T642" s="19">
        <f>VLOOKUP(A642,[1]Sheet1!$A$2:$Q$1536,16,FALSE)</f>
        <v>9211.4457973254139</v>
      </c>
      <c r="U642" s="27">
        <f t="shared" si="28"/>
        <v>-6.3893792095642096E-2</v>
      </c>
      <c r="V642" s="19">
        <f>VLOOKUP(A642,[1]Sheet1!$A$2:$Q$1536,17,FALSE)</f>
        <v>2870.62841796875</v>
      </c>
      <c r="W642" s="27">
        <f t="shared" si="29"/>
        <v>-2.413886638429664</v>
      </c>
    </row>
    <row r="643" spans="1:23" x14ac:dyDescent="0.3">
      <c r="A643" s="4" t="s">
        <v>901</v>
      </c>
      <c r="B643" s="5">
        <v>2012</v>
      </c>
      <c r="C643" s="5" t="s">
        <v>391</v>
      </c>
      <c r="D643" s="15" t="s">
        <v>582</v>
      </c>
      <c r="E643" s="6">
        <v>99472</v>
      </c>
      <c r="F643" s="5" t="s">
        <v>73</v>
      </c>
      <c r="G643" s="5" t="s">
        <v>25</v>
      </c>
      <c r="H643" s="5" t="s">
        <v>18</v>
      </c>
      <c r="I643" s="5" t="s">
        <v>17</v>
      </c>
      <c r="J643" s="7">
        <v>45734</v>
      </c>
      <c r="K643" s="5" t="s">
        <v>17</v>
      </c>
      <c r="L643" s="8">
        <v>44451</v>
      </c>
      <c r="M643" s="19">
        <v>264</v>
      </c>
      <c r="N643" s="19">
        <v>314</v>
      </c>
      <c r="O643" s="24">
        <v>0</v>
      </c>
      <c r="P643" s="24">
        <v>4100</v>
      </c>
      <c r="Q643" t="s">
        <v>1983</v>
      </c>
      <c r="R643" s="19">
        <f>VLOOKUP(A643,[1]Sheet1!$A$2:$Q$1536,15,FALSE)</f>
        <v>2099.927001953125</v>
      </c>
      <c r="S643" s="27">
        <f t="shared" ref="S643:S706" si="30">(R643-$P643)/R643</f>
        <v>-0.95244882140504095</v>
      </c>
      <c r="T643" s="19">
        <f>VLOOKUP(A643,[1]Sheet1!$A$2:$Q$1536,16,FALSE)</f>
        <v>9387.7308426328436</v>
      </c>
      <c r="U643" s="27">
        <f t="shared" ref="U643:U706" si="31">(T643-$P643)/T643</f>
        <v>0.56325974096098697</v>
      </c>
      <c r="V643" s="19">
        <f>VLOOKUP(A643,[1]Sheet1!$A$2:$Q$1536,17,FALSE)</f>
        <v>2092.387939453125</v>
      </c>
      <c r="W643" s="27">
        <f t="shared" ref="W643:W706" si="32">(V643-$P643)/V643</f>
        <v>-0.9594836706388169</v>
      </c>
    </row>
    <row r="644" spans="1:23" x14ac:dyDescent="0.3">
      <c r="A644" s="4" t="s">
        <v>1704</v>
      </c>
      <c r="B644" s="5">
        <v>2013</v>
      </c>
      <c r="C644" s="5" t="s">
        <v>1089</v>
      </c>
      <c r="D644" s="15" t="s">
        <v>1328</v>
      </c>
      <c r="E644" s="6">
        <v>114887</v>
      </c>
      <c r="F644" s="5" t="s">
        <v>38</v>
      </c>
      <c r="G644" s="5" t="s">
        <v>33</v>
      </c>
      <c r="H644" s="5" t="s">
        <v>17</v>
      </c>
      <c r="I644" s="5" t="s">
        <v>18</v>
      </c>
      <c r="J644" s="7">
        <v>45678</v>
      </c>
      <c r="K644" s="5" t="s">
        <v>17</v>
      </c>
      <c r="L644" s="8">
        <v>43935</v>
      </c>
      <c r="M644" s="19">
        <v>222</v>
      </c>
      <c r="N644" s="19">
        <v>272</v>
      </c>
      <c r="O644" s="24">
        <v>1100</v>
      </c>
      <c r="P644" s="24">
        <v>3200</v>
      </c>
      <c r="Q644" t="s">
        <v>1983</v>
      </c>
      <c r="R644" s="19">
        <f>VLOOKUP(A644,[1]Sheet1!$A$2:$Q$1536,15,FALSE)</f>
        <v>930.87908935546875</v>
      </c>
      <c r="S644" s="27">
        <f t="shared" si="30"/>
        <v>-2.437610788116046</v>
      </c>
      <c r="T644" s="19">
        <f>VLOOKUP(A644,[1]Sheet1!$A$2:$Q$1536,16,FALSE)</f>
        <v>8564.0321684423925</v>
      </c>
      <c r="U644" s="27">
        <f t="shared" si="31"/>
        <v>0.62634423399392614</v>
      </c>
      <c r="V644" s="19">
        <f>VLOOKUP(A644,[1]Sheet1!$A$2:$Q$1536,17,FALSE)</f>
        <v>1094.4677734375</v>
      </c>
      <c r="W644" s="27">
        <f t="shared" si="32"/>
        <v>-1.9237955448879529</v>
      </c>
    </row>
    <row r="645" spans="1:23" x14ac:dyDescent="0.3">
      <c r="A645" s="4" t="s">
        <v>864</v>
      </c>
      <c r="B645" s="5">
        <v>2013</v>
      </c>
      <c r="C645" s="5" t="s">
        <v>391</v>
      </c>
      <c r="D645" s="15" t="s">
        <v>580</v>
      </c>
      <c r="E645" s="6">
        <v>143649</v>
      </c>
      <c r="F645" s="5" t="s">
        <v>79</v>
      </c>
      <c r="G645" s="5" t="s">
        <v>22</v>
      </c>
      <c r="H645" s="5" t="s">
        <v>18</v>
      </c>
      <c r="I645" s="5" t="s">
        <v>17</v>
      </c>
      <c r="J645" s="7">
        <v>45680</v>
      </c>
      <c r="K645" s="5" t="s">
        <v>17</v>
      </c>
      <c r="L645" s="8">
        <v>43950</v>
      </c>
      <c r="M645" s="19">
        <v>264</v>
      </c>
      <c r="N645" s="19">
        <v>314</v>
      </c>
      <c r="O645" s="24">
        <v>0</v>
      </c>
      <c r="P645" s="24">
        <v>3000</v>
      </c>
      <c r="Q645" t="s">
        <v>1983</v>
      </c>
      <c r="R645" s="19">
        <f>VLOOKUP(A645,[1]Sheet1!$A$2:$Q$1536,15,FALSE)</f>
        <v>1490.528564453125</v>
      </c>
      <c r="S645" s="27">
        <f t="shared" si="30"/>
        <v>-1.0127088279590939</v>
      </c>
      <c r="T645" s="19">
        <f>VLOOKUP(A645,[1]Sheet1!$A$2:$Q$1536,16,FALSE)</f>
        <v>9331.0664918475941</v>
      </c>
      <c r="U645" s="27">
        <f t="shared" si="31"/>
        <v>0.67849334236112746</v>
      </c>
      <c r="V645" s="19">
        <f>VLOOKUP(A645,[1]Sheet1!$A$2:$Q$1536,17,FALSE)</f>
        <v>1429.882080078125</v>
      </c>
      <c r="W645" s="27">
        <f t="shared" si="32"/>
        <v>-1.0980751082887115</v>
      </c>
    </row>
    <row r="646" spans="1:23" x14ac:dyDescent="0.3">
      <c r="A646" s="4" t="s">
        <v>875</v>
      </c>
      <c r="B646" s="5">
        <v>2020</v>
      </c>
      <c r="C646" s="5" t="s">
        <v>391</v>
      </c>
      <c r="D646" s="15" t="s">
        <v>580</v>
      </c>
      <c r="E646" s="6">
        <v>90526</v>
      </c>
      <c r="F646" s="5" t="s">
        <v>103</v>
      </c>
      <c r="G646" s="5" t="s">
        <v>16</v>
      </c>
      <c r="H646" s="5" t="s">
        <v>17</v>
      </c>
      <c r="I646" s="5" t="s">
        <v>18</v>
      </c>
      <c r="J646" s="7">
        <v>45645</v>
      </c>
      <c r="K646" s="5" t="s">
        <v>17</v>
      </c>
      <c r="L646" s="8">
        <v>44067</v>
      </c>
      <c r="M646" s="19">
        <v>235</v>
      </c>
      <c r="N646" s="19">
        <v>285</v>
      </c>
      <c r="O646" s="24">
        <v>0</v>
      </c>
      <c r="P646" s="24">
        <v>17000</v>
      </c>
      <c r="Q646" t="s">
        <v>1983</v>
      </c>
      <c r="R646" s="19">
        <f>VLOOKUP(A646,[1]Sheet1!$A$2:$Q$1536,15,FALSE)</f>
        <v>12349.099609375</v>
      </c>
      <c r="S646" s="27">
        <f t="shared" si="30"/>
        <v>-0.37661858254784836</v>
      </c>
      <c r="T646" s="19">
        <f>VLOOKUP(A646,[1]Sheet1!$A$2:$Q$1536,16,FALSE)</f>
        <v>11020.860067679119</v>
      </c>
      <c r="U646" s="27">
        <f t="shared" si="31"/>
        <v>-0.54252933941661297</v>
      </c>
      <c r="V646" s="19">
        <f>VLOOKUP(A646,[1]Sheet1!$A$2:$Q$1536,17,FALSE)</f>
        <v>12199.5048828125</v>
      </c>
      <c r="W646" s="27">
        <f t="shared" si="32"/>
        <v>-0.39349917585186323</v>
      </c>
    </row>
    <row r="647" spans="1:23" x14ac:dyDescent="0.3">
      <c r="A647" s="4" t="s">
        <v>1726</v>
      </c>
      <c r="B647" s="5">
        <v>2016</v>
      </c>
      <c r="C647" s="5" t="s">
        <v>1089</v>
      </c>
      <c r="D647" s="15" t="s">
        <v>1720</v>
      </c>
      <c r="E647" s="6">
        <v>149576</v>
      </c>
      <c r="F647" s="5" t="s">
        <v>81</v>
      </c>
      <c r="G647" s="5" t="s">
        <v>28</v>
      </c>
      <c r="H647" s="5" t="s">
        <v>17</v>
      </c>
      <c r="I647" s="5" t="s">
        <v>18</v>
      </c>
      <c r="J647" s="7">
        <v>45561</v>
      </c>
      <c r="K647" s="5" t="s">
        <v>17</v>
      </c>
      <c r="L647" s="8">
        <v>44307</v>
      </c>
      <c r="M647" s="19">
        <v>235</v>
      </c>
      <c r="N647" s="19">
        <v>285</v>
      </c>
      <c r="O647" s="24">
        <v>3300</v>
      </c>
      <c r="P647" s="24">
        <v>10800</v>
      </c>
      <c r="Q647" t="s">
        <v>1983</v>
      </c>
      <c r="R647" s="19">
        <f>VLOOKUP(A647,[1]Sheet1!$A$2:$Q$1536,15,FALSE)</f>
        <v>1380.7998046875</v>
      </c>
      <c r="S647" s="27">
        <f t="shared" si="30"/>
        <v>-6.8215538294084821</v>
      </c>
      <c r="T647" s="19">
        <f>VLOOKUP(A647,[1]Sheet1!$A$2:$Q$1536,16,FALSE)</f>
        <v>8743.9703324256698</v>
      </c>
      <c r="U647" s="27">
        <f t="shared" si="31"/>
        <v>-0.23513685310091462</v>
      </c>
      <c r="V647" s="19">
        <f>VLOOKUP(A647,[1]Sheet1!$A$2:$Q$1536,17,FALSE)</f>
        <v>1385.325439453125</v>
      </c>
      <c r="W647" s="27">
        <f t="shared" si="32"/>
        <v>-6.7960020746196923</v>
      </c>
    </row>
    <row r="648" spans="1:23" x14ac:dyDescent="0.3">
      <c r="A648" s="4" t="s">
        <v>1299</v>
      </c>
      <c r="B648" s="5">
        <v>2014</v>
      </c>
      <c r="C648" s="5" t="s">
        <v>636</v>
      </c>
      <c r="D648" s="15" t="s">
        <v>1300</v>
      </c>
      <c r="E648" s="6">
        <v>193862</v>
      </c>
      <c r="F648" s="5" t="s">
        <v>77</v>
      </c>
      <c r="G648" s="5" t="s">
        <v>25</v>
      </c>
      <c r="H648" s="5" t="s">
        <v>18</v>
      </c>
      <c r="I648" s="5" t="s">
        <v>17</v>
      </c>
      <c r="J648" s="7">
        <v>45484</v>
      </c>
      <c r="K648" s="5" t="s">
        <v>17</v>
      </c>
      <c r="L648" s="8">
        <v>44451</v>
      </c>
      <c r="M648" s="19">
        <v>264</v>
      </c>
      <c r="N648" s="19">
        <v>314</v>
      </c>
      <c r="O648" s="24">
        <v>0</v>
      </c>
      <c r="P648" s="24">
        <v>4800</v>
      </c>
      <c r="Q648" t="s">
        <v>1983</v>
      </c>
      <c r="R648" s="19">
        <f>VLOOKUP(A648,[1]Sheet1!$A$2:$Q$1536,15,FALSE)</f>
        <v>2682.054931640625</v>
      </c>
      <c r="S648" s="27">
        <f t="shared" si="30"/>
        <v>-0.78967251690994211</v>
      </c>
      <c r="T648" s="19">
        <f>VLOOKUP(A648,[1]Sheet1!$A$2:$Q$1536,16,FALSE)</f>
        <v>8892.0246738245442</v>
      </c>
      <c r="U648" s="27">
        <f t="shared" si="31"/>
        <v>0.46019043175512531</v>
      </c>
      <c r="V648" s="19">
        <f>VLOOKUP(A648,[1]Sheet1!$A$2:$Q$1536,17,FALSE)</f>
        <v>2498.12890625</v>
      </c>
      <c r="W648" s="27">
        <f t="shared" si="32"/>
        <v>-0.92143807631023844</v>
      </c>
    </row>
    <row r="649" spans="1:23" x14ac:dyDescent="0.3">
      <c r="A649" s="4" t="s">
        <v>1290</v>
      </c>
      <c r="B649" s="5">
        <v>2014</v>
      </c>
      <c r="C649" s="5" t="s">
        <v>636</v>
      </c>
      <c r="D649" s="15" t="s">
        <v>1286</v>
      </c>
      <c r="E649" s="6">
        <v>87621</v>
      </c>
      <c r="F649" s="5" t="s">
        <v>61</v>
      </c>
      <c r="G649" s="5" t="s">
        <v>22</v>
      </c>
      <c r="H649" s="5" t="s">
        <v>18</v>
      </c>
      <c r="I649" s="5" t="s">
        <v>17</v>
      </c>
      <c r="J649" s="7">
        <v>45328</v>
      </c>
      <c r="K649" s="5" t="s">
        <v>17</v>
      </c>
      <c r="L649" s="8">
        <v>44128</v>
      </c>
      <c r="M649" s="19">
        <v>264</v>
      </c>
      <c r="N649" s="19">
        <v>314</v>
      </c>
      <c r="O649" s="24">
        <v>3200</v>
      </c>
      <c r="P649" s="24">
        <v>12500</v>
      </c>
      <c r="Q649" t="s">
        <v>1983</v>
      </c>
      <c r="R649" s="19">
        <f>VLOOKUP(A649,[1]Sheet1!$A$2:$Q$1536,15,FALSE)</f>
        <v>2396.675048828125</v>
      </c>
      <c r="S649" s="27">
        <f t="shared" si="30"/>
        <v>-4.2155589495171588</v>
      </c>
      <c r="T649" s="19">
        <f>VLOOKUP(A649,[1]Sheet1!$A$2:$Q$1536,16,FALSE)</f>
        <v>9085.6398723538041</v>
      </c>
      <c r="U649" s="27">
        <f t="shared" si="31"/>
        <v>-0.37579743150898653</v>
      </c>
      <c r="V649" s="19">
        <f>VLOOKUP(A649,[1]Sheet1!$A$2:$Q$1536,17,FALSE)</f>
        <v>2314.35888671875</v>
      </c>
      <c r="W649" s="27">
        <f t="shared" si="32"/>
        <v>-4.4010637985892673</v>
      </c>
    </row>
    <row r="650" spans="1:23" x14ac:dyDescent="0.3">
      <c r="A650" s="4" t="s">
        <v>1588</v>
      </c>
      <c r="B650" s="5">
        <v>2013</v>
      </c>
      <c r="C650" s="5" t="s">
        <v>920</v>
      </c>
      <c r="D650" s="15" t="s">
        <v>1587</v>
      </c>
      <c r="E650" s="6">
        <v>134770</v>
      </c>
      <c r="F650" s="5" t="s">
        <v>36</v>
      </c>
      <c r="G650" s="5" t="s">
        <v>28</v>
      </c>
      <c r="H650" s="5" t="s">
        <v>17</v>
      </c>
      <c r="I650" s="5" t="s">
        <v>18</v>
      </c>
      <c r="J650" s="7">
        <v>45538</v>
      </c>
      <c r="K650" s="5" t="s">
        <v>17</v>
      </c>
      <c r="L650" s="8">
        <v>44483</v>
      </c>
      <c r="M650" s="19">
        <v>264</v>
      </c>
      <c r="N650" s="19">
        <v>314</v>
      </c>
      <c r="O650" s="24">
        <v>6900</v>
      </c>
      <c r="P650" s="24">
        <v>15898.7951807229</v>
      </c>
      <c r="Q650" t="s">
        <v>1983</v>
      </c>
      <c r="R650" s="19">
        <f>VLOOKUP(A650,[1]Sheet1!$A$2:$Q$1536,15,FALSE)</f>
        <v>3176.52685546875</v>
      </c>
      <c r="S650" s="27">
        <f t="shared" si="30"/>
        <v>-4.0050876016839991</v>
      </c>
      <c r="T650" s="19">
        <f>VLOOKUP(A650,[1]Sheet1!$A$2:$Q$1536,16,FALSE)</f>
        <v>9436.1470966533834</v>
      </c>
      <c r="U650" s="27">
        <f t="shared" si="31"/>
        <v>-0.68488208353190616</v>
      </c>
      <c r="V650" s="19">
        <f>VLOOKUP(A650,[1]Sheet1!$A$2:$Q$1536,17,FALSE)</f>
        <v>3186.73779296875</v>
      </c>
      <c r="W650" s="27">
        <f t="shared" si="32"/>
        <v>-3.9890503121411998</v>
      </c>
    </row>
    <row r="651" spans="1:23" x14ac:dyDescent="0.3">
      <c r="A651" s="4" t="s">
        <v>1387</v>
      </c>
      <c r="B651" s="5">
        <v>2016</v>
      </c>
      <c r="C651" s="5" t="s">
        <v>1089</v>
      </c>
      <c r="D651" s="15" t="s">
        <v>1363</v>
      </c>
      <c r="E651" s="6">
        <v>116298</v>
      </c>
      <c r="F651" s="5" t="s">
        <v>24</v>
      </c>
      <c r="G651" s="5" t="s">
        <v>33</v>
      </c>
      <c r="H651" s="5" t="s">
        <v>17</v>
      </c>
      <c r="I651" s="5" t="s">
        <v>18</v>
      </c>
      <c r="J651" s="7">
        <v>45701</v>
      </c>
      <c r="K651" s="5" t="s">
        <v>17</v>
      </c>
      <c r="L651" s="8">
        <v>44113</v>
      </c>
      <c r="M651" s="19">
        <v>264</v>
      </c>
      <c r="N651" s="19">
        <v>314</v>
      </c>
      <c r="O651" s="24">
        <v>2000</v>
      </c>
      <c r="P651" s="24">
        <v>4400</v>
      </c>
      <c r="Q651" t="s">
        <v>1983</v>
      </c>
      <c r="R651" s="19">
        <f>VLOOKUP(A651,[1]Sheet1!$A$2:$Q$1536,15,FALSE)</f>
        <v>1701.625244140625</v>
      </c>
      <c r="S651" s="27">
        <f t="shared" si="30"/>
        <v>-1.5857632373232335</v>
      </c>
      <c r="T651" s="19">
        <f>VLOOKUP(A651,[1]Sheet1!$A$2:$Q$1536,16,FALSE)</f>
        <v>8719.4761005823711</v>
      </c>
      <c r="U651" s="27">
        <f t="shared" si="31"/>
        <v>0.49538252651370585</v>
      </c>
      <c r="V651" s="19">
        <f>VLOOKUP(A651,[1]Sheet1!$A$2:$Q$1536,17,FALSE)</f>
        <v>1678.0625</v>
      </c>
      <c r="W651" s="27">
        <f t="shared" si="32"/>
        <v>-1.6220715855339118</v>
      </c>
    </row>
    <row r="652" spans="1:23" x14ac:dyDescent="0.3">
      <c r="A652" s="4" t="s">
        <v>136</v>
      </c>
      <c r="B652" s="5">
        <v>2017</v>
      </c>
      <c r="C652" s="5" t="s">
        <v>96</v>
      </c>
      <c r="D652" s="15" t="s">
        <v>127</v>
      </c>
      <c r="E652" s="6">
        <v>89170</v>
      </c>
      <c r="F652" s="5" t="s">
        <v>24</v>
      </c>
      <c r="G652" s="5" t="s">
        <v>33</v>
      </c>
      <c r="H652" s="5" t="s">
        <v>17</v>
      </c>
      <c r="I652" s="5" t="s">
        <v>18</v>
      </c>
      <c r="J652" s="7">
        <v>45722</v>
      </c>
      <c r="K652" s="5" t="s">
        <v>17</v>
      </c>
      <c r="L652" s="8">
        <v>43935</v>
      </c>
      <c r="M652" s="19">
        <v>222</v>
      </c>
      <c r="N652" s="19">
        <v>272</v>
      </c>
      <c r="O652" s="24">
        <v>0</v>
      </c>
      <c r="P652" s="24">
        <v>4000</v>
      </c>
      <c r="Q652" t="s">
        <v>1983</v>
      </c>
      <c r="R652" s="19">
        <f>VLOOKUP(A652,[1]Sheet1!$A$2:$Q$1536,15,FALSE)</f>
        <v>5000.39794921875</v>
      </c>
      <c r="S652" s="27">
        <f t="shared" si="30"/>
        <v>0.20006366680776871</v>
      </c>
      <c r="T652" s="19">
        <f>VLOOKUP(A652,[1]Sheet1!$A$2:$Q$1536,16,FALSE)</f>
        <v>9431.3595788650073</v>
      </c>
      <c r="U652" s="27">
        <f t="shared" si="31"/>
        <v>0.57588299263197329</v>
      </c>
      <c r="V652" s="19">
        <f>VLOOKUP(A652,[1]Sheet1!$A$2:$Q$1536,17,FALSE)</f>
        <v>4997.07080078125</v>
      </c>
      <c r="W652" s="27">
        <f t="shared" si="32"/>
        <v>0.1995310533973956</v>
      </c>
    </row>
    <row r="653" spans="1:23" x14ac:dyDescent="0.3">
      <c r="A653" s="4" t="s">
        <v>281</v>
      </c>
      <c r="B653" s="5">
        <v>2018</v>
      </c>
      <c r="C653" s="5" t="s">
        <v>237</v>
      </c>
      <c r="D653" s="15" t="s">
        <v>282</v>
      </c>
      <c r="E653" s="6">
        <v>84906</v>
      </c>
      <c r="F653" s="5" t="s">
        <v>24</v>
      </c>
      <c r="G653" s="5" t="s">
        <v>25</v>
      </c>
      <c r="H653" s="5" t="s">
        <v>18</v>
      </c>
      <c r="I653" s="5" t="s">
        <v>17</v>
      </c>
      <c r="J653" s="7">
        <v>45645</v>
      </c>
      <c r="K653" s="5" t="s">
        <v>17</v>
      </c>
      <c r="L653" s="8">
        <v>44113</v>
      </c>
      <c r="M653" s="19">
        <v>264</v>
      </c>
      <c r="N653" s="19">
        <v>314</v>
      </c>
      <c r="O653" s="24">
        <v>0</v>
      </c>
      <c r="P653" s="24">
        <v>4502.1505376344103</v>
      </c>
      <c r="Q653" t="s">
        <v>1983</v>
      </c>
      <c r="R653" s="19">
        <f>VLOOKUP(A653,[1]Sheet1!$A$2:$Q$1536,15,FALSE)</f>
        <v>5854.953125</v>
      </c>
      <c r="S653" s="27">
        <f t="shared" si="30"/>
        <v>0.23105267599654603</v>
      </c>
      <c r="T653" s="19">
        <f>VLOOKUP(A653,[1]Sheet1!$A$2:$Q$1536,16,FALSE)</f>
        <v>9593.5942605931232</v>
      </c>
      <c r="U653" s="27">
        <f t="shared" si="31"/>
        <v>0.53071284699546328</v>
      </c>
      <c r="V653" s="19">
        <f>VLOOKUP(A653,[1]Sheet1!$A$2:$Q$1536,17,FALSE)</f>
        <v>5958.72900390625</v>
      </c>
      <c r="W653" s="27">
        <f t="shared" si="32"/>
        <v>0.24444448897021134</v>
      </c>
    </row>
    <row r="654" spans="1:23" x14ac:dyDescent="0.3">
      <c r="A654" s="4" t="s">
        <v>143</v>
      </c>
      <c r="B654" s="5">
        <v>2016</v>
      </c>
      <c r="C654" s="5" t="s">
        <v>96</v>
      </c>
      <c r="D654" s="15" t="s">
        <v>140</v>
      </c>
      <c r="E654" s="6">
        <v>139325</v>
      </c>
      <c r="F654" s="5" t="s">
        <v>144</v>
      </c>
      <c r="G654" s="5" t="s">
        <v>25</v>
      </c>
      <c r="H654" s="5" t="s">
        <v>18</v>
      </c>
      <c r="I654" s="5" t="s">
        <v>17</v>
      </c>
      <c r="J654" s="7">
        <v>45645</v>
      </c>
      <c r="K654" s="5" t="s">
        <v>17</v>
      </c>
      <c r="L654" s="8">
        <v>44451</v>
      </c>
      <c r="M654" s="19">
        <v>264</v>
      </c>
      <c r="N654" s="19">
        <v>314</v>
      </c>
      <c r="O654" s="24">
        <v>0</v>
      </c>
      <c r="P654" s="24">
        <v>2100</v>
      </c>
      <c r="Q654" t="s">
        <v>1983</v>
      </c>
      <c r="R654" s="19">
        <f>VLOOKUP(A654,[1]Sheet1!$A$2:$Q$1536,15,FALSE)</f>
        <v>2196.023193359375</v>
      </c>
      <c r="S654" s="27">
        <f t="shared" si="30"/>
        <v>4.3725946815927362E-2</v>
      </c>
      <c r="T654" s="19">
        <f>VLOOKUP(A654,[1]Sheet1!$A$2:$Q$1536,16,FALSE)</f>
        <v>9224.559686926641</v>
      </c>
      <c r="U654" s="27">
        <f t="shared" si="31"/>
        <v>0.77234685759839672</v>
      </c>
      <c r="V654" s="19">
        <f>VLOOKUP(A654,[1]Sheet1!$A$2:$Q$1536,17,FALSE)</f>
        <v>2105.391845703125</v>
      </c>
      <c r="W654" s="27">
        <f t="shared" si="32"/>
        <v>2.5609701653063624E-3</v>
      </c>
    </row>
    <row r="655" spans="1:23" x14ac:dyDescent="0.3">
      <c r="A655" s="4" t="s">
        <v>1188</v>
      </c>
      <c r="B655" s="5">
        <v>2016</v>
      </c>
      <c r="C655" s="5" t="s">
        <v>684</v>
      </c>
      <c r="D655" s="15" t="s">
        <v>1187</v>
      </c>
      <c r="E655" s="6">
        <v>123465</v>
      </c>
      <c r="F655" s="5" t="s">
        <v>112</v>
      </c>
      <c r="G655" s="5" t="s">
        <v>134</v>
      </c>
      <c r="H655" s="5" t="s">
        <v>18</v>
      </c>
      <c r="I655" s="5" t="s">
        <v>17</v>
      </c>
      <c r="J655" s="7">
        <v>45561</v>
      </c>
      <c r="K655" s="5" t="s">
        <v>17</v>
      </c>
      <c r="L655" s="8">
        <v>44113</v>
      </c>
      <c r="M655" s="19">
        <v>264</v>
      </c>
      <c r="N655" s="19">
        <v>314</v>
      </c>
      <c r="O655" s="24">
        <v>650</v>
      </c>
      <c r="P655" s="24">
        <v>13400</v>
      </c>
      <c r="Q655" t="s">
        <v>1983</v>
      </c>
      <c r="R655" s="19">
        <f>VLOOKUP(A655,[1]Sheet1!$A$2:$Q$1536,15,FALSE)</f>
        <v>1555.973388671875</v>
      </c>
      <c r="S655" s="27">
        <f t="shared" si="30"/>
        <v>-7.6119724781654368</v>
      </c>
      <c r="T655" s="19">
        <f>VLOOKUP(A655,[1]Sheet1!$A$2:$Q$1536,16,FALSE)</f>
        <v>8834.3780200945403</v>
      </c>
      <c r="U655" s="27">
        <f t="shared" si="31"/>
        <v>-0.51680174535440593</v>
      </c>
      <c r="V655" s="19">
        <f>VLOOKUP(A655,[1]Sheet1!$A$2:$Q$1536,17,FALSE)</f>
        <v>1524.272094726562</v>
      </c>
      <c r="W655" s="27">
        <f t="shared" si="32"/>
        <v>-7.791081360315669</v>
      </c>
    </row>
    <row r="656" spans="1:23" x14ac:dyDescent="0.3">
      <c r="A656" s="4" t="s">
        <v>1431</v>
      </c>
      <c r="B656" s="5">
        <v>2020</v>
      </c>
      <c r="C656" s="5" t="s">
        <v>1086</v>
      </c>
      <c r="D656" s="15" t="s">
        <v>1411</v>
      </c>
      <c r="E656" s="6">
        <v>99654</v>
      </c>
      <c r="F656" s="5" t="s">
        <v>15</v>
      </c>
      <c r="G656" s="5" t="s">
        <v>28</v>
      </c>
      <c r="H656" s="5" t="s">
        <v>17</v>
      </c>
      <c r="I656" s="5" t="s">
        <v>18</v>
      </c>
      <c r="J656" s="7">
        <v>45701</v>
      </c>
      <c r="K656" s="5" t="s">
        <v>17</v>
      </c>
      <c r="L656" s="8">
        <v>43608</v>
      </c>
      <c r="M656" s="19">
        <v>264</v>
      </c>
      <c r="N656" s="19">
        <v>314</v>
      </c>
      <c r="O656" s="24">
        <v>10100</v>
      </c>
      <c r="P656" s="24">
        <v>11200</v>
      </c>
      <c r="Q656" t="s">
        <v>1983</v>
      </c>
      <c r="R656" s="19">
        <f>VLOOKUP(A656,[1]Sheet1!$A$2:$Q$1536,15,FALSE)</f>
        <v>7214.4306640625</v>
      </c>
      <c r="S656" s="27">
        <f t="shared" si="30"/>
        <v>-0.55244405574385214</v>
      </c>
      <c r="T656" s="19">
        <f>VLOOKUP(A656,[1]Sheet1!$A$2:$Q$1536,16,FALSE)</f>
        <v>11149.08764072041</v>
      </c>
      <c r="U656" s="27">
        <f t="shared" si="31"/>
        <v>-4.5665045356392724E-3</v>
      </c>
      <c r="V656" s="19">
        <f>VLOOKUP(A656,[1]Sheet1!$A$2:$Q$1536,17,FALSE)</f>
        <v>6883.49609375</v>
      </c>
      <c r="W656" s="27">
        <f t="shared" si="32"/>
        <v>-0.62708017081163903</v>
      </c>
    </row>
    <row r="657" spans="1:23" x14ac:dyDescent="0.3">
      <c r="A657" s="4" t="s">
        <v>189</v>
      </c>
      <c r="B657" s="5">
        <v>2016</v>
      </c>
      <c r="C657" s="5" t="s">
        <v>96</v>
      </c>
      <c r="D657" s="15" t="s">
        <v>190</v>
      </c>
      <c r="E657" s="6">
        <v>147600</v>
      </c>
      <c r="F657" s="5" t="s">
        <v>87</v>
      </c>
      <c r="G657" s="5" t="s">
        <v>28</v>
      </c>
      <c r="H657" s="5" t="s">
        <v>17</v>
      </c>
      <c r="I657" s="5" t="s">
        <v>18</v>
      </c>
      <c r="J657" s="7">
        <v>45666</v>
      </c>
      <c r="K657" s="5" t="s">
        <v>17</v>
      </c>
      <c r="L657" s="8">
        <v>44310</v>
      </c>
      <c r="M657" s="19">
        <v>235</v>
      </c>
      <c r="N657" s="19">
        <v>285</v>
      </c>
      <c r="O657" s="24">
        <v>0</v>
      </c>
      <c r="P657" s="24">
        <v>9800</v>
      </c>
      <c r="Q657" t="s">
        <v>1983</v>
      </c>
      <c r="R657" s="19">
        <f>VLOOKUP(A657,[1]Sheet1!$A$2:$Q$1536,15,FALSE)</f>
        <v>2401.001953125</v>
      </c>
      <c r="S657" s="27">
        <f t="shared" si="30"/>
        <v>-3.0816293328062097</v>
      </c>
      <c r="T657" s="19">
        <f>VLOOKUP(A657,[1]Sheet1!$A$2:$Q$1536,16,FALSE)</f>
        <v>9137.3335443210544</v>
      </c>
      <c r="U657" s="27">
        <f t="shared" si="31"/>
        <v>-7.2522957870001306E-2</v>
      </c>
      <c r="V657" s="19">
        <f>VLOOKUP(A657,[1]Sheet1!$A$2:$Q$1536,17,FALSE)</f>
        <v>2314.35888671875</v>
      </c>
      <c r="W657" s="27">
        <f t="shared" si="32"/>
        <v>-3.2344340180939857</v>
      </c>
    </row>
    <row r="658" spans="1:23" x14ac:dyDescent="0.3">
      <c r="A658" s="4" t="s">
        <v>1458</v>
      </c>
      <c r="B658" s="5">
        <v>2018</v>
      </c>
      <c r="C658" s="5" t="s">
        <v>1086</v>
      </c>
      <c r="D658" s="15" t="s">
        <v>1439</v>
      </c>
      <c r="E658" s="6">
        <v>175311</v>
      </c>
      <c r="F658" s="5" t="s">
        <v>92</v>
      </c>
      <c r="G658" s="5" t="s">
        <v>25</v>
      </c>
      <c r="H658" s="5" t="s">
        <v>18</v>
      </c>
      <c r="I658" s="5" t="s">
        <v>17</v>
      </c>
      <c r="J658" s="7">
        <v>45608</v>
      </c>
      <c r="K658" s="5" t="s">
        <v>17</v>
      </c>
      <c r="L658" s="8">
        <v>43935</v>
      </c>
      <c r="M658" s="19">
        <v>222</v>
      </c>
      <c r="N658" s="19">
        <v>272</v>
      </c>
      <c r="O658" s="24">
        <v>3100</v>
      </c>
      <c r="P658" s="24">
        <v>9900</v>
      </c>
      <c r="Q658" t="s">
        <v>1983</v>
      </c>
      <c r="R658" s="19">
        <f>VLOOKUP(A658,[1]Sheet1!$A$2:$Q$1536,15,FALSE)</f>
        <v>3082.037841796875</v>
      </c>
      <c r="S658" s="27">
        <f t="shared" si="30"/>
        <v>-2.2121604302652393</v>
      </c>
      <c r="T658" s="19">
        <f>VLOOKUP(A658,[1]Sheet1!$A$2:$Q$1536,16,FALSE)</f>
        <v>9709.7248263136753</v>
      </c>
      <c r="U658" s="27">
        <f t="shared" si="31"/>
        <v>-1.9596350781298424E-2</v>
      </c>
      <c r="V658" s="19">
        <f>VLOOKUP(A658,[1]Sheet1!$A$2:$Q$1536,17,FALSE)</f>
        <v>3090.05078125</v>
      </c>
      <c r="W658" s="27">
        <f t="shared" si="32"/>
        <v>-2.2038308431925548</v>
      </c>
    </row>
    <row r="659" spans="1:23" x14ac:dyDescent="0.3">
      <c r="A659" s="4" t="s">
        <v>52</v>
      </c>
      <c r="B659" s="5">
        <v>2015</v>
      </c>
      <c r="C659" s="5" t="s">
        <v>46</v>
      </c>
      <c r="D659" s="15" t="s">
        <v>53</v>
      </c>
      <c r="E659" s="6">
        <v>175148</v>
      </c>
      <c r="F659" s="5" t="s">
        <v>32</v>
      </c>
      <c r="G659" s="5" t="s">
        <v>25</v>
      </c>
      <c r="H659" s="5" t="s">
        <v>18</v>
      </c>
      <c r="I659" s="5" t="s">
        <v>17</v>
      </c>
      <c r="J659" s="7">
        <v>45435</v>
      </c>
      <c r="K659" s="5" t="s">
        <v>17</v>
      </c>
      <c r="L659" s="8">
        <v>44128</v>
      </c>
      <c r="M659" s="19">
        <v>264</v>
      </c>
      <c r="N659" s="19">
        <v>314</v>
      </c>
      <c r="O659" s="24">
        <v>0</v>
      </c>
      <c r="P659" s="24">
        <v>9500</v>
      </c>
      <c r="Q659" t="s">
        <v>1983</v>
      </c>
      <c r="R659" s="19">
        <f>VLOOKUP(A659,[1]Sheet1!$A$2:$Q$1536,15,FALSE)</f>
        <v>1173.910400390625</v>
      </c>
      <c r="S659" s="27">
        <f t="shared" si="30"/>
        <v>-7.0926108132603849</v>
      </c>
      <c r="T659" s="19">
        <f>VLOOKUP(A659,[1]Sheet1!$A$2:$Q$1536,16,FALSE)</f>
        <v>8782.288646543524</v>
      </c>
      <c r="U659" s="27">
        <f t="shared" si="31"/>
        <v>-8.1722587624007109E-2</v>
      </c>
      <c r="V659" s="19">
        <f>VLOOKUP(A659,[1]Sheet1!$A$2:$Q$1536,17,FALSE)</f>
        <v>1281.388061523438</v>
      </c>
      <c r="W659" s="27">
        <f t="shared" si="32"/>
        <v>-6.4138352660360223</v>
      </c>
    </row>
    <row r="660" spans="1:23" x14ac:dyDescent="0.3">
      <c r="A660" s="4" t="s">
        <v>736</v>
      </c>
      <c r="B660" s="5">
        <v>2012</v>
      </c>
      <c r="C660" s="5" t="s">
        <v>46</v>
      </c>
      <c r="D660" s="15" t="s">
        <v>737</v>
      </c>
      <c r="E660" s="6">
        <v>160510</v>
      </c>
      <c r="F660" s="5" t="s">
        <v>144</v>
      </c>
      <c r="G660" s="5" t="s">
        <v>22</v>
      </c>
      <c r="H660" s="5" t="s">
        <v>18</v>
      </c>
      <c r="I660" s="5" t="s">
        <v>17</v>
      </c>
      <c r="J660" s="7">
        <v>45407</v>
      </c>
      <c r="K660" s="5" t="s">
        <v>17</v>
      </c>
      <c r="L660" s="8">
        <v>44310</v>
      </c>
      <c r="M660" s="19">
        <v>235</v>
      </c>
      <c r="N660" s="19">
        <v>285</v>
      </c>
      <c r="O660" s="24">
        <v>800</v>
      </c>
      <c r="P660" s="24">
        <v>2700</v>
      </c>
      <c r="Q660" t="s">
        <v>1983</v>
      </c>
      <c r="R660" s="19">
        <f>VLOOKUP(A660,[1]Sheet1!$A$2:$Q$1536,15,FALSE)</f>
        <v>749.35577392578125</v>
      </c>
      <c r="S660" s="27">
        <f t="shared" si="30"/>
        <v>-2.6030949436140824</v>
      </c>
      <c r="T660" s="19">
        <f>VLOOKUP(A660,[1]Sheet1!$A$2:$Q$1536,16,FALSE)</f>
        <v>8662.7065595077001</v>
      </c>
      <c r="U660" s="27">
        <f t="shared" si="31"/>
        <v>0.68831912042124621</v>
      </c>
      <c r="V660" s="19">
        <f>VLOOKUP(A660,[1]Sheet1!$A$2:$Q$1536,17,FALSE)</f>
        <v>932.59674072265625</v>
      </c>
      <c r="W660" s="27">
        <f t="shared" si="32"/>
        <v>-1.8951420073673082</v>
      </c>
    </row>
    <row r="661" spans="1:23" x14ac:dyDescent="0.3">
      <c r="A661" s="4" t="s">
        <v>1500</v>
      </c>
      <c r="B661" s="5">
        <v>2016</v>
      </c>
      <c r="C661" s="5" t="s">
        <v>1228</v>
      </c>
      <c r="D661" s="15" t="s">
        <v>1232</v>
      </c>
      <c r="E661" s="6">
        <v>121117</v>
      </c>
      <c r="F661" s="5" t="s">
        <v>32</v>
      </c>
      <c r="G661" s="5" t="s">
        <v>25</v>
      </c>
      <c r="H661" s="5" t="s">
        <v>18</v>
      </c>
      <c r="I661" s="5" t="s">
        <v>17</v>
      </c>
      <c r="J661" s="7">
        <v>45594</v>
      </c>
      <c r="K661" s="5" t="s">
        <v>17</v>
      </c>
      <c r="L661" s="8">
        <v>44028</v>
      </c>
      <c r="M661" s="19">
        <v>235</v>
      </c>
      <c r="N661" s="19">
        <v>285</v>
      </c>
      <c r="O661" s="24">
        <v>1700</v>
      </c>
      <c r="P661" s="24">
        <v>8000</v>
      </c>
      <c r="Q661" t="s">
        <v>1983</v>
      </c>
      <c r="R661" s="19">
        <f>VLOOKUP(A661,[1]Sheet1!$A$2:$Q$1536,15,FALSE)</f>
        <v>2750.813720703125</v>
      </c>
      <c r="S661" s="27">
        <f t="shared" si="30"/>
        <v>-1.9082303682690482</v>
      </c>
      <c r="T661" s="19">
        <f>VLOOKUP(A661,[1]Sheet1!$A$2:$Q$1536,16,FALSE)</f>
        <v>9023.2769722181292</v>
      </c>
      <c r="U661" s="27">
        <f t="shared" si="31"/>
        <v>0.11340414079814999</v>
      </c>
      <c r="V661" s="19">
        <f>VLOOKUP(A661,[1]Sheet1!$A$2:$Q$1536,17,FALSE)</f>
        <v>2601.28369140625</v>
      </c>
      <c r="W661" s="27">
        <f t="shared" si="32"/>
        <v>-2.0754046651771425</v>
      </c>
    </row>
    <row r="662" spans="1:23" x14ac:dyDescent="0.3">
      <c r="A662" s="4" t="s">
        <v>515</v>
      </c>
      <c r="B662" s="5">
        <v>2016</v>
      </c>
      <c r="C662" s="5" t="s">
        <v>391</v>
      </c>
      <c r="D662" s="15" t="s">
        <v>394</v>
      </c>
      <c r="E662" s="6">
        <v>129751</v>
      </c>
      <c r="F662" s="5" t="s">
        <v>36</v>
      </c>
      <c r="G662" s="5" t="s">
        <v>28</v>
      </c>
      <c r="H662" s="5" t="s">
        <v>17</v>
      </c>
      <c r="I662" s="5" t="s">
        <v>18</v>
      </c>
      <c r="J662" s="7">
        <v>45412</v>
      </c>
      <c r="K662" s="5" t="s">
        <v>17</v>
      </c>
      <c r="L662" s="8">
        <v>44054</v>
      </c>
      <c r="M662" s="19">
        <v>235</v>
      </c>
      <c r="N662" s="19">
        <v>285</v>
      </c>
      <c r="O662" s="24">
        <v>6900</v>
      </c>
      <c r="P662" s="24">
        <v>12100</v>
      </c>
      <c r="Q662" t="s">
        <v>1983</v>
      </c>
      <c r="R662" s="19">
        <f>VLOOKUP(A662,[1]Sheet1!$A$2:$Q$1536,15,FALSE)</f>
        <v>2137.161376953125</v>
      </c>
      <c r="S662" s="27">
        <f t="shared" si="30"/>
        <v>-4.6617156432288418</v>
      </c>
      <c r="T662" s="19">
        <f>VLOOKUP(A662,[1]Sheet1!$A$2:$Q$1536,16,FALSE)</f>
        <v>9374.3162398944296</v>
      </c>
      <c r="U662" s="27">
        <f t="shared" si="31"/>
        <v>-0.29076080754624362</v>
      </c>
      <c r="V662" s="19">
        <f>VLOOKUP(A662,[1]Sheet1!$A$2:$Q$1536,17,FALSE)</f>
        <v>2133.613525390625</v>
      </c>
      <c r="W662" s="27">
        <f t="shared" si="32"/>
        <v>-4.6711301536133236</v>
      </c>
    </row>
    <row r="663" spans="1:23" x14ac:dyDescent="0.3">
      <c r="A663" s="4" t="s">
        <v>757</v>
      </c>
      <c r="B663" s="5">
        <v>2019</v>
      </c>
      <c r="C663" s="5" t="s">
        <v>83</v>
      </c>
      <c r="D663" s="15" t="s">
        <v>744</v>
      </c>
      <c r="E663" s="6">
        <v>99870</v>
      </c>
      <c r="F663" s="5" t="s">
        <v>170</v>
      </c>
      <c r="G663" s="5" t="s">
        <v>28</v>
      </c>
      <c r="H663" s="5" t="s">
        <v>17</v>
      </c>
      <c r="I663" s="5" t="s">
        <v>18</v>
      </c>
      <c r="J663" s="7">
        <v>45454</v>
      </c>
      <c r="K663" s="5" t="s">
        <v>17</v>
      </c>
      <c r="L663" s="8">
        <v>43950</v>
      </c>
      <c r="M663" s="19">
        <v>264</v>
      </c>
      <c r="N663" s="19">
        <v>314</v>
      </c>
      <c r="O663" s="24">
        <v>10100</v>
      </c>
      <c r="P663" s="24">
        <v>12800</v>
      </c>
      <c r="Q663" t="s">
        <v>1983</v>
      </c>
      <c r="R663" s="19">
        <f>VLOOKUP(A663,[1]Sheet1!$A$2:$Q$1536,15,FALSE)</f>
        <v>10884.8515625</v>
      </c>
      <c r="S663" s="27">
        <f t="shared" si="30"/>
        <v>-0.17594621538965061</v>
      </c>
      <c r="T663" s="19">
        <f>VLOOKUP(A663,[1]Sheet1!$A$2:$Q$1536,16,FALSE)</f>
        <v>9227.3594776494865</v>
      </c>
      <c r="U663" s="27">
        <f t="shared" si="31"/>
        <v>-0.38717907663662227</v>
      </c>
      <c r="V663" s="19">
        <f>VLOOKUP(A663,[1]Sheet1!$A$2:$Q$1536,17,FALSE)</f>
        <v>10826.7060546875</v>
      </c>
      <c r="W663" s="27">
        <f t="shared" si="32"/>
        <v>-0.18226170871778202</v>
      </c>
    </row>
    <row r="664" spans="1:23" x14ac:dyDescent="0.3">
      <c r="A664" s="4" t="s">
        <v>307</v>
      </c>
      <c r="B664" s="5">
        <v>2019</v>
      </c>
      <c r="C664" s="5" t="s">
        <v>237</v>
      </c>
      <c r="D664" s="15" t="s">
        <v>306</v>
      </c>
      <c r="E664" s="6">
        <v>128448</v>
      </c>
      <c r="F664" s="5" t="s">
        <v>184</v>
      </c>
      <c r="G664" s="5" t="s">
        <v>25</v>
      </c>
      <c r="H664" s="5" t="s">
        <v>18</v>
      </c>
      <c r="I664" s="5" t="s">
        <v>17</v>
      </c>
      <c r="J664" s="7">
        <v>45666</v>
      </c>
      <c r="K664" s="5" t="s">
        <v>17</v>
      </c>
      <c r="L664" s="8">
        <v>44137</v>
      </c>
      <c r="M664" s="19">
        <v>280</v>
      </c>
      <c r="N664" s="19">
        <v>330</v>
      </c>
      <c r="O664" s="24">
        <v>0</v>
      </c>
      <c r="P664" s="24">
        <v>9000</v>
      </c>
      <c r="Q664" t="s">
        <v>1983</v>
      </c>
      <c r="R664" s="19">
        <f>VLOOKUP(A664,[1]Sheet1!$A$2:$Q$1536,15,FALSE)</f>
        <v>8570.5224609375</v>
      </c>
      <c r="S664" s="27">
        <f t="shared" si="30"/>
        <v>-5.0111010270372819E-2</v>
      </c>
      <c r="T664" s="19">
        <f>VLOOKUP(A664,[1]Sheet1!$A$2:$Q$1536,16,FALSE)</f>
        <v>10110.30526507749</v>
      </c>
      <c r="U664" s="27">
        <f t="shared" si="31"/>
        <v>0.10981916331573595</v>
      </c>
      <c r="V664" s="19">
        <f>VLOOKUP(A664,[1]Sheet1!$A$2:$Q$1536,17,FALSE)</f>
        <v>8541.11328125</v>
      </c>
      <c r="W664" s="27">
        <f t="shared" si="32"/>
        <v>-5.3726803946902046E-2</v>
      </c>
    </row>
    <row r="665" spans="1:23" x14ac:dyDescent="0.3">
      <c r="A665" s="4" t="s">
        <v>1356</v>
      </c>
      <c r="B665" s="5">
        <v>2015</v>
      </c>
      <c r="C665" s="5" t="s">
        <v>1089</v>
      </c>
      <c r="D665" s="15" t="s">
        <v>1328</v>
      </c>
      <c r="E665" s="6">
        <v>125538</v>
      </c>
      <c r="F665" s="5" t="s">
        <v>66</v>
      </c>
      <c r="G665" s="5" t="s">
        <v>25</v>
      </c>
      <c r="H665" s="5" t="s">
        <v>18</v>
      </c>
      <c r="I665" s="5" t="s">
        <v>17</v>
      </c>
      <c r="J665" s="7">
        <v>45722</v>
      </c>
      <c r="K665" s="5" t="s">
        <v>17</v>
      </c>
      <c r="L665" s="8">
        <v>44137</v>
      </c>
      <c r="M665" s="19">
        <v>280</v>
      </c>
      <c r="N665" s="19">
        <v>330</v>
      </c>
      <c r="O665" s="24">
        <v>1500</v>
      </c>
      <c r="P665" s="24">
        <v>6200</v>
      </c>
      <c r="Q665" t="s">
        <v>1983</v>
      </c>
      <c r="R665" s="19">
        <f>VLOOKUP(A665,[1]Sheet1!$A$2:$Q$1536,15,FALSE)</f>
        <v>1291.3369140625</v>
      </c>
      <c r="S665" s="27">
        <f t="shared" si="30"/>
        <v>-3.8012257161417469</v>
      </c>
      <c r="T665" s="19">
        <f>VLOOKUP(A665,[1]Sheet1!$A$2:$Q$1536,16,FALSE)</f>
        <v>8609.1318526267241</v>
      </c>
      <c r="U665" s="27">
        <f t="shared" si="31"/>
        <v>0.27983447040501258</v>
      </c>
      <c r="V665" s="19">
        <f>VLOOKUP(A665,[1]Sheet1!$A$2:$Q$1536,17,FALSE)</f>
        <v>1336.184326171875</v>
      </c>
      <c r="W665" s="27">
        <f t="shared" si="32"/>
        <v>-3.640078377331966</v>
      </c>
    </row>
    <row r="666" spans="1:23" x14ac:dyDescent="0.3">
      <c r="A666" s="4" t="s">
        <v>1320</v>
      </c>
      <c r="B666" s="5">
        <v>2020</v>
      </c>
      <c r="C666" s="5" t="s">
        <v>1089</v>
      </c>
      <c r="D666" s="15" t="s">
        <v>1317</v>
      </c>
      <c r="E666" s="6">
        <v>87973</v>
      </c>
      <c r="F666" s="5" t="s">
        <v>158</v>
      </c>
      <c r="G666" s="5" t="s">
        <v>25</v>
      </c>
      <c r="H666" s="5" t="s">
        <v>18</v>
      </c>
      <c r="I666" s="5" t="s">
        <v>17</v>
      </c>
      <c r="J666" s="7">
        <v>45720</v>
      </c>
      <c r="K666" s="5" t="s">
        <v>17</v>
      </c>
      <c r="L666" s="8">
        <v>43950</v>
      </c>
      <c r="M666" s="19">
        <v>264</v>
      </c>
      <c r="N666" s="19">
        <v>314</v>
      </c>
      <c r="O666" s="24">
        <v>11700</v>
      </c>
      <c r="P666" s="24">
        <v>14800</v>
      </c>
      <c r="Q666" t="s">
        <v>1983</v>
      </c>
      <c r="R666" s="19">
        <f>VLOOKUP(A666,[1]Sheet1!$A$2:$Q$1536,15,FALSE)</f>
        <v>9995.51171875</v>
      </c>
      <c r="S666" s="27">
        <f t="shared" si="30"/>
        <v>-0.48066456389996914</v>
      </c>
      <c r="T666" s="19">
        <f>VLOOKUP(A666,[1]Sheet1!$A$2:$Q$1536,16,FALSE)</f>
        <v>11111.21369036636</v>
      </c>
      <c r="U666" s="27">
        <f t="shared" si="31"/>
        <v>-0.33198770291240914</v>
      </c>
      <c r="V666" s="19">
        <f>VLOOKUP(A666,[1]Sheet1!$A$2:$Q$1536,17,FALSE)</f>
        <v>9754.384765625</v>
      </c>
      <c r="W666" s="27">
        <f t="shared" si="32"/>
        <v>-0.51726637359600902</v>
      </c>
    </row>
    <row r="667" spans="1:23" x14ac:dyDescent="0.3">
      <c r="A667" s="4" t="s">
        <v>131</v>
      </c>
      <c r="B667" s="5">
        <v>2014</v>
      </c>
      <c r="C667" s="5" t="s">
        <v>96</v>
      </c>
      <c r="D667" s="15" t="s">
        <v>127</v>
      </c>
      <c r="E667" s="6">
        <v>134623</v>
      </c>
      <c r="F667" s="5" t="s">
        <v>132</v>
      </c>
      <c r="G667" s="5" t="s">
        <v>25</v>
      </c>
      <c r="H667" s="5" t="s">
        <v>18</v>
      </c>
      <c r="I667" s="5" t="s">
        <v>17</v>
      </c>
      <c r="J667" s="7">
        <v>45701</v>
      </c>
      <c r="K667" s="5" t="s">
        <v>17</v>
      </c>
      <c r="L667" s="8">
        <v>44128</v>
      </c>
      <c r="M667" s="19">
        <v>264</v>
      </c>
      <c r="N667" s="19">
        <v>314</v>
      </c>
      <c r="O667" s="24">
        <v>0</v>
      </c>
      <c r="P667" s="24">
        <v>3000</v>
      </c>
      <c r="Q667" t="s">
        <v>1983</v>
      </c>
      <c r="R667" s="19">
        <f>VLOOKUP(A667,[1]Sheet1!$A$2:$Q$1536,15,FALSE)</f>
        <v>1727.49072265625</v>
      </c>
      <c r="S667" s="27">
        <f t="shared" si="30"/>
        <v>-0.73662292981064192</v>
      </c>
      <c r="T667" s="19">
        <f>VLOOKUP(A667,[1]Sheet1!$A$2:$Q$1536,16,FALSE)</f>
        <v>9122.5184998862842</v>
      </c>
      <c r="U667" s="27">
        <f t="shared" si="31"/>
        <v>0.67114344574501039</v>
      </c>
      <c r="V667" s="19">
        <f>VLOOKUP(A667,[1]Sheet1!$A$2:$Q$1536,17,FALSE)</f>
        <v>1672.987060546875</v>
      </c>
      <c r="W667" s="27">
        <f t="shared" si="32"/>
        <v>-0.79319976271624237</v>
      </c>
    </row>
    <row r="668" spans="1:23" x14ac:dyDescent="0.3">
      <c r="A668" s="4" t="s">
        <v>335</v>
      </c>
      <c r="B668" s="5">
        <v>2017</v>
      </c>
      <c r="C668" s="5" t="s">
        <v>237</v>
      </c>
      <c r="D668" s="15" t="s">
        <v>306</v>
      </c>
      <c r="E668" s="6">
        <v>106815</v>
      </c>
      <c r="F668" s="5" t="s">
        <v>170</v>
      </c>
      <c r="G668" s="5" t="s">
        <v>25</v>
      </c>
      <c r="H668" s="5" t="s">
        <v>18</v>
      </c>
      <c r="I668" s="5" t="s">
        <v>17</v>
      </c>
      <c r="J668" s="7">
        <v>45456</v>
      </c>
      <c r="K668" s="5" t="s">
        <v>17</v>
      </c>
      <c r="L668" s="8">
        <v>43935</v>
      </c>
      <c r="M668" s="19">
        <v>222</v>
      </c>
      <c r="N668" s="19">
        <v>272</v>
      </c>
      <c r="O668" s="24">
        <v>0</v>
      </c>
      <c r="P668" s="24">
        <v>10400</v>
      </c>
      <c r="Q668" t="s">
        <v>1983</v>
      </c>
      <c r="R668" s="19">
        <f>VLOOKUP(A668,[1]Sheet1!$A$2:$Q$1536,15,FALSE)</f>
        <v>9187.9853515625</v>
      </c>
      <c r="S668" s="27">
        <f t="shared" si="30"/>
        <v>-0.13191299311675392</v>
      </c>
      <c r="T668" s="19">
        <f>VLOOKUP(A668,[1]Sheet1!$A$2:$Q$1536,16,FALSE)</f>
        <v>9333.2986627555219</v>
      </c>
      <c r="U668" s="27">
        <f t="shared" si="31"/>
        <v>-0.1142898535435434</v>
      </c>
      <c r="V668" s="19">
        <f>VLOOKUP(A668,[1]Sheet1!$A$2:$Q$1536,17,FALSE)</f>
        <v>9488.697265625</v>
      </c>
      <c r="W668" s="27">
        <f t="shared" si="32"/>
        <v>-9.604086934846208E-2</v>
      </c>
    </row>
    <row r="669" spans="1:23" x14ac:dyDescent="0.3">
      <c r="A669" s="4" t="s">
        <v>1378</v>
      </c>
      <c r="B669" s="5">
        <v>2018</v>
      </c>
      <c r="C669" s="5" t="s">
        <v>1089</v>
      </c>
      <c r="D669" s="15" t="s">
        <v>1363</v>
      </c>
      <c r="E669" s="6">
        <v>98193</v>
      </c>
      <c r="F669" s="5" t="s">
        <v>66</v>
      </c>
      <c r="G669" s="5" t="s">
        <v>33</v>
      </c>
      <c r="H669" s="5" t="s">
        <v>17</v>
      </c>
      <c r="I669" s="5" t="s">
        <v>18</v>
      </c>
      <c r="J669" s="7">
        <v>45589</v>
      </c>
      <c r="K669" s="5" t="s">
        <v>17</v>
      </c>
      <c r="L669" s="8">
        <v>44067</v>
      </c>
      <c r="M669" s="19">
        <v>235</v>
      </c>
      <c r="N669" s="19">
        <v>285</v>
      </c>
      <c r="O669" s="24">
        <v>3500</v>
      </c>
      <c r="P669" s="24">
        <v>5800</v>
      </c>
      <c r="Q669" t="s">
        <v>1983</v>
      </c>
      <c r="R669" s="19">
        <f>VLOOKUP(A669,[1]Sheet1!$A$2:$Q$1536,15,FALSE)</f>
        <v>3188.6806640625</v>
      </c>
      <c r="S669" s="27">
        <f t="shared" si="30"/>
        <v>-0.81893410192119398</v>
      </c>
      <c r="T669" s="19">
        <f>VLOOKUP(A669,[1]Sheet1!$A$2:$Q$1536,16,FALSE)</f>
        <v>8911.5084246015558</v>
      </c>
      <c r="U669" s="27">
        <f t="shared" si="31"/>
        <v>0.34915620076302345</v>
      </c>
      <c r="V669" s="19">
        <f>VLOOKUP(A669,[1]Sheet1!$A$2:$Q$1536,17,FALSE)</f>
        <v>3044.94580078125</v>
      </c>
      <c r="W669" s="27">
        <f t="shared" si="32"/>
        <v>-0.90479580901304657</v>
      </c>
    </row>
    <row r="670" spans="1:23" x14ac:dyDescent="0.3">
      <c r="A670" s="4" t="s">
        <v>640</v>
      </c>
      <c r="B670" s="5">
        <v>2014</v>
      </c>
      <c r="C670" s="5" t="s">
        <v>636</v>
      </c>
      <c r="D670" s="15" t="s">
        <v>641</v>
      </c>
      <c r="E670" s="6">
        <v>176170</v>
      </c>
      <c r="F670" s="5" t="s">
        <v>164</v>
      </c>
      <c r="G670" s="5" t="s">
        <v>25</v>
      </c>
      <c r="H670" s="5" t="s">
        <v>18</v>
      </c>
      <c r="I670" s="5" t="s">
        <v>17</v>
      </c>
      <c r="J670" s="7">
        <v>45589</v>
      </c>
      <c r="K670" s="5" t="s">
        <v>17</v>
      </c>
      <c r="L670" s="8">
        <v>44451</v>
      </c>
      <c r="M670" s="19">
        <v>264</v>
      </c>
      <c r="N670" s="19">
        <v>314</v>
      </c>
      <c r="O670" s="24">
        <v>0</v>
      </c>
      <c r="P670" s="24">
        <v>9500</v>
      </c>
      <c r="Q670" t="s">
        <v>1983</v>
      </c>
      <c r="R670" s="19">
        <f>VLOOKUP(A670,[1]Sheet1!$A$2:$Q$1536,15,FALSE)</f>
        <v>2590.61328125</v>
      </c>
      <c r="S670" s="27">
        <f t="shared" si="30"/>
        <v>-2.6670853456815999</v>
      </c>
      <c r="T670" s="19">
        <f>VLOOKUP(A670,[1]Sheet1!$A$2:$Q$1536,16,FALSE)</f>
        <v>8888.0032658938781</v>
      </c>
      <c r="U670" s="27">
        <f t="shared" si="31"/>
        <v>-6.8856492937457603E-2</v>
      </c>
      <c r="V670" s="19">
        <f>VLOOKUP(A670,[1]Sheet1!$A$2:$Q$1536,17,FALSE)</f>
        <v>2395.5732421875</v>
      </c>
      <c r="W670" s="27">
        <f t="shared" si="32"/>
        <v>-2.9656479011784023</v>
      </c>
    </row>
    <row r="671" spans="1:23" x14ac:dyDescent="0.3">
      <c r="A671" s="4" t="s">
        <v>1243</v>
      </c>
      <c r="B671" s="5">
        <v>2014</v>
      </c>
      <c r="C671" s="5" t="s">
        <v>920</v>
      </c>
      <c r="D671" s="15" t="s">
        <v>1238</v>
      </c>
      <c r="E671" s="6">
        <v>126688</v>
      </c>
      <c r="F671" s="5" t="s">
        <v>42</v>
      </c>
      <c r="G671" s="5" t="s">
        <v>28</v>
      </c>
      <c r="H671" s="5" t="s">
        <v>17</v>
      </c>
      <c r="I671" s="5" t="s">
        <v>18</v>
      </c>
      <c r="J671" s="7">
        <v>45729</v>
      </c>
      <c r="K671" s="5" t="s">
        <v>17</v>
      </c>
      <c r="L671" s="8">
        <v>44224</v>
      </c>
      <c r="M671" s="19">
        <v>235</v>
      </c>
      <c r="N671" s="19">
        <v>285</v>
      </c>
      <c r="O671" s="24">
        <v>0</v>
      </c>
      <c r="P671" s="24">
        <v>13300</v>
      </c>
      <c r="Q671" t="s">
        <v>1983</v>
      </c>
      <c r="R671" s="19">
        <f>VLOOKUP(A671,[1]Sheet1!$A$2:$Q$1536,15,FALSE)</f>
        <v>4046.0625</v>
      </c>
      <c r="S671" s="27">
        <f t="shared" si="30"/>
        <v>-2.2871464541143394</v>
      </c>
      <c r="T671" s="19">
        <f>VLOOKUP(A671,[1]Sheet1!$A$2:$Q$1536,16,FALSE)</f>
        <v>9470.3666690083246</v>
      </c>
      <c r="U671" s="27">
        <f t="shared" si="31"/>
        <v>-0.40438068185090553</v>
      </c>
      <c r="V671" s="19">
        <f>VLOOKUP(A671,[1]Sheet1!$A$2:$Q$1536,17,FALSE)</f>
        <v>4058.1806640625</v>
      </c>
      <c r="W671" s="27">
        <f t="shared" si="32"/>
        <v>-2.2773306811545062</v>
      </c>
    </row>
    <row r="672" spans="1:23" x14ac:dyDescent="0.3">
      <c r="A672" s="4" t="s">
        <v>1674</v>
      </c>
      <c r="B672" s="5">
        <v>2012</v>
      </c>
      <c r="C672" s="5" t="s">
        <v>1089</v>
      </c>
      <c r="D672" s="15" t="s">
        <v>1663</v>
      </c>
      <c r="E672" s="6">
        <v>108364</v>
      </c>
      <c r="F672" s="5" t="s">
        <v>61</v>
      </c>
      <c r="G672" s="5" t="s">
        <v>25</v>
      </c>
      <c r="H672" s="5" t="s">
        <v>18</v>
      </c>
      <c r="I672" s="5" t="s">
        <v>17</v>
      </c>
      <c r="J672" s="7">
        <v>45309</v>
      </c>
      <c r="K672" s="5" t="s">
        <v>17</v>
      </c>
      <c r="L672" s="8">
        <v>44128</v>
      </c>
      <c r="M672" s="19">
        <v>264</v>
      </c>
      <c r="N672" s="19">
        <v>314</v>
      </c>
      <c r="O672" s="24">
        <v>0</v>
      </c>
      <c r="P672" s="24">
        <v>8000</v>
      </c>
      <c r="Q672" t="s">
        <v>1983</v>
      </c>
      <c r="R672" s="19">
        <f>VLOOKUP(A672,[1]Sheet1!$A$2:$Q$1536,15,FALSE)</f>
        <v>1329.045166015625</v>
      </c>
      <c r="S672" s="27">
        <f t="shared" si="30"/>
        <v>-5.0193590139478736</v>
      </c>
      <c r="T672" s="19">
        <f>VLOOKUP(A672,[1]Sheet1!$A$2:$Q$1536,16,FALSE)</f>
        <v>8666.2069323753731</v>
      </c>
      <c r="U672" s="27">
        <f t="shared" si="31"/>
        <v>7.6874108542982642E-2</v>
      </c>
      <c r="V672" s="19">
        <f>VLOOKUP(A672,[1]Sheet1!$A$2:$Q$1536,17,FALSE)</f>
        <v>1330.663208007812</v>
      </c>
      <c r="W672" s="27">
        <f t="shared" si="32"/>
        <v>-5.0120396745447806</v>
      </c>
    </row>
    <row r="673" spans="1:23" x14ac:dyDescent="0.3">
      <c r="A673" s="4" t="s">
        <v>500</v>
      </c>
      <c r="B673" s="5">
        <v>2019</v>
      </c>
      <c r="C673" s="5" t="s">
        <v>391</v>
      </c>
      <c r="D673" s="15" t="s">
        <v>394</v>
      </c>
      <c r="E673" s="6">
        <v>115057</v>
      </c>
      <c r="F673" s="5" t="s">
        <v>36</v>
      </c>
      <c r="G673" s="5" t="s">
        <v>28</v>
      </c>
      <c r="H673" s="5" t="s">
        <v>17</v>
      </c>
      <c r="I673" s="5" t="s">
        <v>18</v>
      </c>
      <c r="J673" s="7">
        <v>45608</v>
      </c>
      <c r="K673" s="5" t="s">
        <v>17</v>
      </c>
      <c r="L673" s="8">
        <v>43608</v>
      </c>
      <c r="M673" s="19">
        <v>264</v>
      </c>
      <c r="N673" s="19">
        <v>314</v>
      </c>
      <c r="O673" s="24">
        <v>7800</v>
      </c>
      <c r="P673" s="24">
        <v>10800</v>
      </c>
      <c r="Q673" t="s">
        <v>1983</v>
      </c>
      <c r="R673" s="19">
        <f>VLOOKUP(A673,[1]Sheet1!$A$2:$Q$1536,15,FALSE)</f>
        <v>2915.872802734375</v>
      </c>
      <c r="S673" s="27">
        <f t="shared" si="30"/>
        <v>-2.7038652680158899</v>
      </c>
      <c r="T673" s="19">
        <f>VLOOKUP(A673,[1]Sheet1!$A$2:$Q$1536,16,FALSE)</f>
        <v>9498.4547027368662</v>
      </c>
      <c r="U673" s="27">
        <f t="shared" si="31"/>
        <v>-0.1370270573473503</v>
      </c>
      <c r="V673" s="19">
        <f>VLOOKUP(A673,[1]Sheet1!$A$2:$Q$1536,17,FALSE)</f>
        <v>2804.68310546875</v>
      </c>
      <c r="W673" s="27">
        <f t="shared" si="32"/>
        <v>-2.8507024123122755</v>
      </c>
    </row>
    <row r="674" spans="1:23" x14ac:dyDescent="0.3">
      <c r="A674" s="4" t="s">
        <v>631</v>
      </c>
      <c r="B674" s="5">
        <v>2010</v>
      </c>
      <c r="C674" s="5" t="s">
        <v>96</v>
      </c>
      <c r="D674" s="15" t="s">
        <v>211</v>
      </c>
      <c r="E674" s="6">
        <v>108230</v>
      </c>
      <c r="F674" s="5" t="s">
        <v>32</v>
      </c>
      <c r="G674" s="5" t="s">
        <v>22</v>
      </c>
      <c r="H674" s="5" t="s">
        <v>18</v>
      </c>
      <c r="I674" s="5" t="s">
        <v>17</v>
      </c>
      <c r="J674" s="7">
        <v>45496</v>
      </c>
      <c r="K674" s="5" t="s">
        <v>17</v>
      </c>
      <c r="L674" s="8">
        <v>43605</v>
      </c>
      <c r="M674" s="19">
        <v>264</v>
      </c>
      <c r="N674" s="19">
        <v>314</v>
      </c>
      <c r="O674" s="24">
        <v>500</v>
      </c>
      <c r="P674" s="24">
        <v>3500</v>
      </c>
      <c r="Q674" t="s">
        <v>1983</v>
      </c>
      <c r="R674" s="19">
        <f>VLOOKUP(A674,[1]Sheet1!$A$2:$Q$1536,15,FALSE)</f>
        <v>2137.870361328125</v>
      </c>
      <c r="S674" s="27">
        <f t="shared" si="30"/>
        <v>-0.63714323530154049</v>
      </c>
      <c r="T674" s="19">
        <f>VLOOKUP(A674,[1]Sheet1!$A$2:$Q$1536,16,FALSE)</f>
        <v>8872.3201502417905</v>
      </c>
      <c r="U674" s="27">
        <f t="shared" si="31"/>
        <v>0.6055146860424534</v>
      </c>
      <c r="V674" s="19">
        <f>VLOOKUP(A674,[1]Sheet1!$A$2:$Q$1536,17,FALSE)</f>
        <v>2079.332763671875</v>
      </c>
      <c r="W674" s="27">
        <f t="shared" si="32"/>
        <v>-0.68323226620994593</v>
      </c>
    </row>
    <row r="675" spans="1:23" x14ac:dyDescent="0.3">
      <c r="A675" s="4" t="s">
        <v>837</v>
      </c>
      <c r="B675" s="5">
        <v>2015</v>
      </c>
      <c r="C675" s="5" t="s">
        <v>391</v>
      </c>
      <c r="D675" s="15" t="s">
        <v>580</v>
      </c>
      <c r="E675" s="6">
        <v>169145</v>
      </c>
      <c r="F675" s="5" t="s">
        <v>24</v>
      </c>
      <c r="G675" s="5" t="s">
        <v>22</v>
      </c>
      <c r="H675" s="5" t="s">
        <v>18</v>
      </c>
      <c r="I675" s="5" t="s">
        <v>17</v>
      </c>
      <c r="J675" s="7">
        <v>45610</v>
      </c>
      <c r="K675" s="5" t="s">
        <v>17</v>
      </c>
      <c r="L675" s="8">
        <v>43605</v>
      </c>
      <c r="M675" s="19">
        <v>264</v>
      </c>
      <c r="N675" s="19">
        <v>314</v>
      </c>
      <c r="O675" s="24">
        <v>0</v>
      </c>
      <c r="P675" s="24">
        <v>9000</v>
      </c>
      <c r="Q675" t="s">
        <v>1983</v>
      </c>
      <c r="R675" s="19">
        <f>VLOOKUP(A675,[1]Sheet1!$A$2:$Q$1536,15,FALSE)</f>
        <v>2067.447998046875</v>
      </c>
      <c r="S675" s="27">
        <f t="shared" si="30"/>
        <v>-3.3531929260142599</v>
      </c>
      <c r="T675" s="19">
        <f>VLOOKUP(A675,[1]Sheet1!$A$2:$Q$1536,16,FALSE)</f>
        <v>9423.0264753820265</v>
      </c>
      <c r="U675" s="27">
        <f t="shared" si="31"/>
        <v>4.4892845890563658E-2</v>
      </c>
      <c r="V675" s="19">
        <f>VLOOKUP(A675,[1]Sheet1!$A$2:$Q$1536,17,FALSE)</f>
        <v>2082.42431640625</v>
      </c>
      <c r="W675" s="27">
        <f t="shared" si="32"/>
        <v>-3.3218857603102605</v>
      </c>
    </row>
    <row r="676" spans="1:23" x14ac:dyDescent="0.3">
      <c r="A676" s="4" t="s">
        <v>1657</v>
      </c>
      <c r="B676" s="5">
        <v>2021</v>
      </c>
      <c r="C676" s="5" t="s">
        <v>391</v>
      </c>
      <c r="D676" s="15" t="s">
        <v>1654</v>
      </c>
      <c r="E676" s="6">
        <v>56137</v>
      </c>
      <c r="F676" s="5" t="s">
        <v>36</v>
      </c>
      <c r="G676" s="5" t="s">
        <v>28</v>
      </c>
      <c r="H676" s="5" t="s">
        <v>17</v>
      </c>
      <c r="I676" s="5" t="s">
        <v>18</v>
      </c>
      <c r="J676" s="7">
        <v>45547</v>
      </c>
      <c r="K676" s="5" t="s">
        <v>17</v>
      </c>
      <c r="L676" s="8">
        <v>44128</v>
      </c>
      <c r="M676" s="19">
        <v>264</v>
      </c>
      <c r="N676" s="19">
        <v>314</v>
      </c>
      <c r="O676" s="24">
        <v>9100</v>
      </c>
      <c r="P676" s="24">
        <v>15000</v>
      </c>
      <c r="Q676" t="s">
        <v>1983</v>
      </c>
      <c r="R676" s="19">
        <f>VLOOKUP(A676,[1]Sheet1!$A$2:$Q$1536,15,FALSE)</f>
        <v>11305.3837890625</v>
      </c>
      <c r="S676" s="27">
        <f t="shared" si="30"/>
        <v>-0.3268014850156517</v>
      </c>
      <c r="T676" s="19">
        <f>VLOOKUP(A676,[1]Sheet1!$A$2:$Q$1536,16,FALSE)</f>
        <v>13893.739879936271</v>
      </c>
      <c r="U676" s="27">
        <f t="shared" si="31"/>
        <v>-7.9622918639873322E-2</v>
      </c>
      <c r="V676" s="19">
        <f>VLOOKUP(A676,[1]Sheet1!$A$2:$Q$1536,17,FALSE)</f>
        <v>11058.03125</v>
      </c>
      <c r="W676" s="27">
        <f t="shared" si="32"/>
        <v>-0.35648016006465888</v>
      </c>
    </row>
    <row r="677" spans="1:23" x14ac:dyDescent="0.3">
      <c r="A677" s="4" t="s">
        <v>1610</v>
      </c>
      <c r="B677" s="5">
        <v>2017</v>
      </c>
      <c r="C677" s="5" t="s">
        <v>519</v>
      </c>
      <c r="D677" s="15" t="s">
        <v>1607</v>
      </c>
      <c r="E677" s="6">
        <v>110351</v>
      </c>
      <c r="F677" s="5" t="s">
        <v>103</v>
      </c>
      <c r="G677" s="5" t="s">
        <v>25</v>
      </c>
      <c r="H677" s="5" t="s">
        <v>18</v>
      </c>
      <c r="I677" s="5" t="s">
        <v>17</v>
      </c>
      <c r="J677" s="7">
        <v>45734</v>
      </c>
      <c r="K677" s="5" t="s">
        <v>17</v>
      </c>
      <c r="L677" s="8">
        <v>44128</v>
      </c>
      <c r="M677" s="19">
        <v>264</v>
      </c>
      <c r="N677" s="19">
        <v>314</v>
      </c>
      <c r="O677" s="24">
        <v>0</v>
      </c>
      <c r="P677" s="24">
        <v>17600</v>
      </c>
      <c r="Q677" t="s">
        <v>1983</v>
      </c>
      <c r="R677" s="19">
        <f>VLOOKUP(A677,[1]Sheet1!$A$2:$Q$1536,15,FALSE)</f>
        <v>6616.84912109375</v>
      </c>
      <c r="S677" s="27">
        <f t="shared" si="30"/>
        <v>-1.6598762761407442</v>
      </c>
      <c r="T677" s="19">
        <f>VLOOKUP(A677,[1]Sheet1!$A$2:$Q$1536,16,FALSE)</f>
        <v>9191.8403212466492</v>
      </c>
      <c r="U677" s="27">
        <f t="shared" si="31"/>
        <v>-0.91474170404354771</v>
      </c>
      <c r="V677" s="19">
        <f>VLOOKUP(A677,[1]Sheet1!$A$2:$Q$1536,17,FALSE)</f>
        <v>6627.66259765625</v>
      </c>
      <c r="W677" s="27">
        <f t="shared" si="32"/>
        <v>-1.6555365093907939</v>
      </c>
    </row>
    <row r="678" spans="1:23" x14ac:dyDescent="0.3">
      <c r="A678" s="4" t="s">
        <v>259</v>
      </c>
      <c r="B678" s="5">
        <v>2018</v>
      </c>
      <c r="C678" s="5" t="s">
        <v>237</v>
      </c>
      <c r="D678" s="15" t="s">
        <v>250</v>
      </c>
      <c r="E678" s="6">
        <v>120681</v>
      </c>
      <c r="F678" s="5" t="s">
        <v>61</v>
      </c>
      <c r="G678" s="5" t="s">
        <v>22</v>
      </c>
      <c r="H678" s="5" t="s">
        <v>18</v>
      </c>
      <c r="I678" s="5" t="s">
        <v>17</v>
      </c>
      <c r="J678" s="7">
        <v>45566</v>
      </c>
      <c r="K678" s="5" t="s">
        <v>17</v>
      </c>
      <c r="L678" s="8">
        <v>44310</v>
      </c>
      <c r="M678" s="19">
        <v>235</v>
      </c>
      <c r="N678" s="19">
        <v>285</v>
      </c>
      <c r="O678" s="24">
        <v>1600</v>
      </c>
      <c r="P678" s="24">
        <v>11000</v>
      </c>
      <c r="Q678" t="s">
        <v>1983</v>
      </c>
      <c r="R678" s="19">
        <f>VLOOKUP(A678,[1]Sheet1!$A$2:$Q$1536,15,FALSE)</f>
        <v>3646.063720703125</v>
      </c>
      <c r="S678" s="27">
        <f t="shared" si="30"/>
        <v>-2.0169522100065507</v>
      </c>
      <c r="T678" s="19">
        <f>VLOOKUP(A678,[1]Sheet1!$A$2:$Q$1536,16,FALSE)</f>
        <v>9139.3696974675422</v>
      </c>
      <c r="U678" s="27">
        <f t="shared" si="31"/>
        <v>-0.2035840943219559</v>
      </c>
      <c r="V678" s="19">
        <f>VLOOKUP(A678,[1]Sheet1!$A$2:$Q$1536,17,FALSE)</f>
        <v>3488.23046875</v>
      </c>
      <c r="W678" s="27">
        <f t="shared" si="32"/>
        <v>-2.1534613605797173</v>
      </c>
    </row>
    <row r="679" spans="1:23" x14ac:dyDescent="0.3">
      <c r="A679" s="4" t="s">
        <v>1285</v>
      </c>
      <c r="B679" s="5">
        <v>2011</v>
      </c>
      <c r="C679" s="5" t="s">
        <v>636</v>
      </c>
      <c r="D679" s="15" t="s">
        <v>1286</v>
      </c>
      <c r="E679" s="6">
        <v>80690</v>
      </c>
      <c r="F679" s="5" t="s">
        <v>40</v>
      </c>
      <c r="G679" s="5" t="s">
        <v>28</v>
      </c>
      <c r="H679" s="5" t="s">
        <v>17</v>
      </c>
      <c r="I679" s="5" t="s">
        <v>18</v>
      </c>
      <c r="J679" s="7">
        <v>45440</v>
      </c>
      <c r="K679" s="5" t="s">
        <v>17</v>
      </c>
      <c r="L679" s="8">
        <v>44451</v>
      </c>
      <c r="M679" s="19">
        <v>264</v>
      </c>
      <c r="N679" s="19">
        <v>314</v>
      </c>
      <c r="O679" s="24">
        <v>6600</v>
      </c>
      <c r="P679" s="24">
        <v>9915.5063291139195</v>
      </c>
      <c r="Q679" t="s">
        <v>1983</v>
      </c>
      <c r="R679" s="19">
        <f>VLOOKUP(A679,[1]Sheet1!$A$2:$Q$1536,15,FALSE)</f>
        <v>2088.258056640625</v>
      </c>
      <c r="S679" s="27">
        <f t="shared" si="30"/>
        <v>-3.7482188791671502</v>
      </c>
      <c r="T679" s="19">
        <f>VLOOKUP(A679,[1]Sheet1!$A$2:$Q$1536,16,FALSE)</f>
        <v>9175.392571696384</v>
      </c>
      <c r="U679" s="27">
        <f t="shared" si="31"/>
        <v>-8.0662898250325243E-2</v>
      </c>
      <c r="V679" s="19">
        <f>VLOOKUP(A679,[1]Sheet1!$A$2:$Q$1536,17,FALSE)</f>
        <v>2013.918701171875</v>
      </c>
      <c r="W679" s="27">
        <f t="shared" si="32"/>
        <v>-3.9234888793396703</v>
      </c>
    </row>
    <row r="680" spans="1:23" x14ac:dyDescent="0.3">
      <c r="A680" s="4" t="s">
        <v>1381</v>
      </c>
      <c r="B680" s="5">
        <v>2015</v>
      </c>
      <c r="C680" s="5" t="s">
        <v>1089</v>
      </c>
      <c r="D680" s="15" t="s">
        <v>1363</v>
      </c>
      <c r="E680" s="6">
        <v>100857</v>
      </c>
      <c r="F680" s="5" t="s">
        <v>61</v>
      </c>
      <c r="G680" s="5" t="s">
        <v>22</v>
      </c>
      <c r="H680" s="5" t="s">
        <v>18</v>
      </c>
      <c r="I680" s="5" t="s">
        <v>17</v>
      </c>
      <c r="J680" s="7">
        <v>45524</v>
      </c>
      <c r="K680" s="5" t="s">
        <v>17</v>
      </c>
      <c r="L680" s="8">
        <v>44067</v>
      </c>
      <c r="M680" s="19">
        <v>235</v>
      </c>
      <c r="N680" s="19">
        <v>285</v>
      </c>
      <c r="O680" s="24">
        <v>1600</v>
      </c>
      <c r="P680" s="24">
        <v>8500</v>
      </c>
      <c r="Q680" t="s">
        <v>1983</v>
      </c>
      <c r="R680" s="19">
        <f>VLOOKUP(A680,[1]Sheet1!$A$2:$Q$1536,15,FALSE)</f>
        <v>1847.588989257812</v>
      </c>
      <c r="S680" s="27">
        <f t="shared" si="30"/>
        <v>-3.6005903095441711</v>
      </c>
      <c r="T680" s="19">
        <f>VLOOKUP(A680,[1]Sheet1!$A$2:$Q$1536,16,FALSE)</f>
        <v>8625.1611315002356</v>
      </c>
      <c r="U680" s="27">
        <f t="shared" si="31"/>
        <v>1.4511164439946574E-2</v>
      </c>
      <c r="V680" s="19">
        <f>VLOOKUP(A680,[1]Sheet1!$A$2:$Q$1536,17,FALSE)</f>
        <v>1786.465209960938</v>
      </c>
      <c r="W680" s="27">
        <f t="shared" si="32"/>
        <v>-3.7579991777090682</v>
      </c>
    </row>
    <row r="681" spans="1:23" x14ac:dyDescent="0.3">
      <c r="A681" s="4" t="s">
        <v>823</v>
      </c>
      <c r="B681" s="5">
        <v>2017</v>
      </c>
      <c r="C681" s="5" t="s">
        <v>559</v>
      </c>
      <c r="D681" s="15" t="s">
        <v>760</v>
      </c>
      <c r="E681" s="6">
        <v>99604</v>
      </c>
      <c r="F681" s="5" t="s">
        <v>125</v>
      </c>
      <c r="G681" s="5" t="s">
        <v>16</v>
      </c>
      <c r="H681" s="5" t="s">
        <v>17</v>
      </c>
      <c r="I681" s="5" t="s">
        <v>18</v>
      </c>
      <c r="J681" s="7">
        <v>45622</v>
      </c>
      <c r="K681" s="5" t="s">
        <v>17</v>
      </c>
      <c r="L681" s="8">
        <v>44054</v>
      </c>
      <c r="M681" s="19">
        <v>235</v>
      </c>
      <c r="N681" s="19">
        <v>285</v>
      </c>
      <c r="O681" s="24">
        <v>8400</v>
      </c>
      <c r="P681" s="24">
        <v>14000</v>
      </c>
      <c r="Q681" t="s">
        <v>1983</v>
      </c>
      <c r="R681" s="19">
        <f>VLOOKUP(A681,[1]Sheet1!$A$2:$Q$1536,15,FALSE)</f>
        <v>14744.814453125</v>
      </c>
      <c r="S681" s="27">
        <f t="shared" si="30"/>
        <v>5.0513653833544503E-2</v>
      </c>
      <c r="T681" s="19">
        <f>VLOOKUP(A681,[1]Sheet1!$A$2:$Q$1536,16,FALSE)</f>
        <v>11069.4193024874</v>
      </c>
      <c r="U681" s="27">
        <f t="shared" si="31"/>
        <v>-0.26474565805399308</v>
      </c>
      <c r="V681" s="19">
        <f>VLOOKUP(A681,[1]Sheet1!$A$2:$Q$1536,17,FALSE)</f>
        <v>15237.3232421875</v>
      </c>
      <c r="W681" s="27">
        <f t="shared" si="32"/>
        <v>8.1203451716619718E-2</v>
      </c>
    </row>
    <row r="682" spans="1:23" x14ac:dyDescent="0.3">
      <c r="A682" s="4" t="s">
        <v>1376</v>
      </c>
      <c r="B682" s="5">
        <v>2018</v>
      </c>
      <c r="C682" s="5" t="s">
        <v>1089</v>
      </c>
      <c r="D682" s="15" t="s">
        <v>1363</v>
      </c>
      <c r="E682" s="6">
        <v>63954</v>
      </c>
      <c r="F682" s="5" t="s">
        <v>79</v>
      </c>
      <c r="G682" s="5" t="s">
        <v>22</v>
      </c>
      <c r="H682" s="5" t="s">
        <v>18</v>
      </c>
      <c r="I682" s="5" t="s">
        <v>17</v>
      </c>
      <c r="J682" s="7">
        <v>45330</v>
      </c>
      <c r="K682" s="5" t="s">
        <v>17</v>
      </c>
      <c r="L682" s="8">
        <v>44224</v>
      </c>
      <c r="M682" s="19">
        <v>235</v>
      </c>
      <c r="N682" s="19">
        <v>285</v>
      </c>
      <c r="O682" s="24">
        <v>6300</v>
      </c>
      <c r="P682" s="24">
        <v>12800</v>
      </c>
      <c r="Q682" t="s">
        <v>1983</v>
      </c>
      <c r="R682" s="19">
        <f>VLOOKUP(A682,[1]Sheet1!$A$2:$Q$1536,15,FALSE)</f>
        <v>4859.044921875</v>
      </c>
      <c r="S682" s="27">
        <f t="shared" si="30"/>
        <v>-1.6342625363218</v>
      </c>
      <c r="T682" s="19">
        <f>VLOOKUP(A682,[1]Sheet1!$A$2:$Q$1536,16,FALSE)</f>
        <v>10721.599060675269</v>
      </c>
      <c r="U682" s="27">
        <f t="shared" si="31"/>
        <v>-0.19385176852470629</v>
      </c>
      <c r="V682" s="19">
        <f>VLOOKUP(A682,[1]Sheet1!$A$2:$Q$1536,17,FALSE)</f>
        <v>4659.27587890625</v>
      </c>
      <c r="W682" s="27">
        <f t="shared" si="32"/>
        <v>-1.7472080067095659</v>
      </c>
    </row>
    <row r="683" spans="1:23" x14ac:dyDescent="0.3">
      <c r="A683" s="4" t="s">
        <v>468</v>
      </c>
      <c r="B683" s="5">
        <v>2015</v>
      </c>
      <c r="C683" s="5" t="s">
        <v>391</v>
      </c>
      <c r="D683" s="15" t="s">
        <v>413</v>
      </c>
      <c r="E683" s="6">
        <v>124428</v>
      </c>
      <c r="F683" s="5" t="s">
        <v>73</v>
      </c>
      <c r="G683" s="5" t="s">
        <v>25</v>
      </c>
      <c r="H683" s="5" t="s">
        <v>18</v>
      </c>
      <c r="I683" s="5" t="s">
        <v>17</v>
      </c>
      <c r="J683" s="7">
        <v>45365</v>
      </c>
      <c r="K683" s="5" t="s">
        <v>17</v>
      </c>
      <c r="L683" s="8">
        <v>44310</v>
      </c>
      <c r="M683" s="19">
        <v>235</v>
      </c>
      <c r="N683" s="19">
        <v>285</v>
      </c>
      <c r="O683" s="24">
        <v>2300</v>
      </c>
      <c r="P683" s="24">
        <v>7650</v>
      </c>
      <c r="Q683" t="s">
        <v>1983</v>
      </c>
      <c r="R683" s="19">
        <f>VLOOKUP(A683,[1]Sheet1!$A$2:$Q$1536,15,FALSE)</f>
        <v>3052.015380859375</v>
      </c>
      <c r="S683" s="27">
        <f t="shared" si="30"/>
        <v>-1.5065404479861899</v>
      </c>
      <c r="T683" s="19">
        <f>VLOOKUP(A683,[1]Sheet1!$A$2:$Q$1536,16,FALSE)</f>
        <v>9173.1545116774105</v>
      </c>
      <c r="U683" s="27">
        <f t="shared" si="31"/>
        <v>0.16604478968913444</v>
      </c>
      <c r="V683" s="19">
        <f>VLOOKUP(A683,[1]Sheet1!$A$2:$Q$1536,17,FALSE)</f>
        <v>2903.33935546875</v>
      </c>
      <c r="W683" s="27">
        <f t="shared" si="32"/>
        <v>-1.6348969456809819</v>
      </c>
    </row>
    <row r="684" spans="1:23" x14ac:dyDescent="0.3">
      <c r="A684" s="4" t="s">
        <v>968</v>
      </c>
      <c r="B684" s="5">
        <v>2015</v>
      </c>
      <c r="C684" s="5" t="s">
        <v>83</v>
      </c>
      <c r="D684" s="15" t="s">
        <v>969</v>
      </c>
      <c r="E684" s="6">
        <v>173309</v>
      </c>
      <c r="F684" s="5" t="s">
        <v>24</v>
      </c>
      <c r="G684" s="5" t="s">
        <v>25</v>
      </c>
      <c r="H684" s="5" t="s">
        <v>18</v>
      </c>
      <c r="I684" s="5" t="s">
        <v>17</v>
      </c>
      <c r="J684" s="7">
        <v>45603</v>
      </c>
      <c r="K684" s="5" t="s">
        <v>17</v>
      </c>
      <c r="L684" s="8">
        <v>44451</v>
      </c>
      <c r="M684" s="19">
        <v>264</v>
      </c>
      <c r="N684" s="19">
        <v>314</v>
      </c>
      <c r="O684" s="24">
        <v>0</v>
      </c>
      <c r="P684" s="24">
        <v>1000</v>
      </c>
      <c r="Q684" t="s">
        <v>1983</v>
      </c>
      <c r="R684" s="19">
        <f>VLOOKUP(A684,[1]Sheet1!$A$2:$Q$1536,15,FALSE)</f>
        <v>2253.236083984375</v>
      </c>
      <c r="S684" s="27">
        <f t="shared" si="30"/>
        <v>0.55619386396843518</v>
      </c>
      <c r="T684" s="19">
        <f>VLOOKUP(A684,[1]Sheet1!$A$2:$Q$1536,16,FALSE)</f>
        <v>8977.7330457730204</v>
      </c>
      <c r="U684" s="27">
        <f t="shared" si="31"/>
        <v>0.88861330639912162</v>
      </c>
      <c r="V684" s="19">
        <f>VLOOKUP(A684,[1]Sheet1!$A$2:$Q$1536,17,FALSE)</f>
        <v>2171.309814453125</v>
      </c>
      <c r="W684" s="27">
        <f t="shared" si="32"/>
        <v>0.53944849632070391</v>
      </c>
    </row>
    <row r="685" spans="1:23" x14ac:dyDescent="0.3">
      <c r="A685" s="4" t="s">
        <v>1419</v>
      </c>
      <c r="B685" s="5">
        <v>2014</v>
      </c>
      <c r="C685" s="5" t="s">
        <v>1086</v>
      </c>
      <c r="D685" s="15" t="s">
        <v>1411</v>
      </c>
      <c r="E685" s="6">
        <v>109351</v>
      </c>
      <c r="F685" s="5" t="s">
        <v>57</v>
      </c>
      <c r="G685" s="5" t="s">
        <v>25</v>
      </c>
      <c r="H685" s="5" t="s">
        <v>18</v>
      </c>
      <c r="I685" s="5" t="s">
        <v>17</v>
      </c>
      <c r="J685" s="7">
        <v>45603</v>
      </c>
      <c r="K685" s="5" t="s">
        <v>17</v>
      </c>
      <c r="L685" s="8">
        <v>44113</v>
      </c>
      <c r="M685" s="19">
        <v>264</v>
      </c>
      <c r="N685" s="19">
        <v>314</v>
      </c>
      <c r="O685" s="24">
        <v>2200</v>
      </c>
      <c r="P685" s="24">
        <v>2300</v>
      </c>
      <c r="Q685" t="s">
        <v>1983</v>
      </c>
      <c r="R685" s="19">
        <f>VLOOKUP(A685,[1]Sheet1!$A$2:$Q$1536,15,FALSE)</f>
        <v>1319.012573242188</v>
      </c>
      <c r="S685" s="27">
        <f t="shared" si="30"/>
        <v>-0.74372863963419544</v>
      </c>
      <c r="T685" s="19">
        <f>VLOOKUP(A685,[1]Sheet1!$A$2:$Q$1536,16,FALSE)</f>
        <v>8547.8371840056298</v>
      </c>
      <c r="U685" s="27">
        <f t="shared" si="31"/>
        <v>0.73092608685812732</v>
      </c>
      <c r="V685" s="19">
        <f>VLOOKUP(A685,[1]Sheet1!$A$2:$Q$1536,17,FALSE)</f>
        <v>1355.831420898438</v>
      </c>
      <c r="W685" s="27">
        <f t="shared" si="32"/>
        <v>-0.69637608669366236</v>
      </c>
    </row>
    <row r="686" spans="1:23" x14ac:dyDescent="0.3">
      <c r="A686" s="4" t="s">
        <v>1349</v>
      </c>
      <c r="B686" s="5">
        <v>2017</v>
      </c>
      <c r="C686" s="5" t="s">
        <v>1089</v>
      </c>
      <c r="D686" s="15" t="s">
        <v>1328</v>
      </c>
      <c r="E686" s="6">
        <v>83776</v>
      </c>
      <c r="F686" s="5" t="s">
        <v>36</v>
      </c>
      <c r="G686" s="5" t="s">
        <v>33</v>
      </c>
      <c r="H686" s="5" t="s">
        <v>17</v>
      </c>
      <c r="I686" s="5" t="s">
        <v>18</v>
      </c>
      <c r="J686" s="7">
        <v>45337</v>
      </c>
      <c r="K686" s="5" t="s">
        <v>17</v>
      </c>
      <c r="L686" s="8">
        <v>44444</v>
      </c>
      <c r="M686" s="19">
        <v>264</v>
      </c>
      <c r="N686" s="19">
        <v>314</v>
      </c>
      <c r="O686" s="24">
        <v>4500</v>
      </c>
      <c r="P686" s="24">
        <v>9600</v>
      </c>
      <c r="Q686" t="s">
        <v>1983</v>
      </c>
      <c r="R686" s="19">
        <f>VLOOKUP(A686,[1]Sheet1!$A$2:$Q$1536,15,FALSE)</f>
        <v>4476.6689453125</v>
      </c>
      <c r="S686" s="27">
        <f t="shared" si="30"/>
        <v>-1.1444516262593232</v>
      </c>
      <c r="T686" s="19">
        <f>VLOOKUP(A686,[1]Sheet1!$A$2:$Q$1536,16,FALSE)</f>
        <v>8825.7042001731734</v>
      </c>
      <c r="U686" s="27">
        <f t="shared" si="31"/>
        <v>-8.7731900170825328E-2</v>
      </c>
      <c r="V686" s="19">
        <f>VLOOKUP(A686,[1]Sheet1!$A$2:$Q$1536,17,FALSE)</f>
        <v>4377.65087890625</v>
      </c>
      <c r="W686" s="27">
        <f t="shared" si="32"/>
        <v>-1.1929569683726233</v>
      </c>
    </row>
    <row r="687" spans="1:23" x14ac:dyDescent="0.3">
      <c r="A687" s="4" t="s">
        <v>1928</v>
      </c>
      <c r="B687" s="5">
        <v>2015</v>
      </c>
      <c r="C687" s="5" t="s">
        <v>684</v>
      </c>
      <c r="D687" s="15" t="s">
        <v>1182</v>
      </c>
      <c r="E687" s="6">
        <v>149836</v>
      </c>
      <c r="F687" s="5" t="s">
        <v>79</v>
      </c>
      <c r="G687" s="5" t="s">
        <v>25</v>
      </c>
      <c r="H687" s="5" t="s">
        <v>18</v>
      </c>
      <c r="I687" s="5" t="s">
        <v>17</v>
      </c>
      <c r="J687" s="7">
        <v>45468</v>
      </c>
      <c r="K687" s="5" t="s">
        <v>17</v>
      </c>
      <c r="L687" s="8">
        <v>44662</v>
      </c>
      <c r="M687" s="19">
        <v>235</v>
      </c>
      <c r="N687" s="19">
        <v>285</v>
      </c>
      <c r="O687" s="24">
        <v>1700</v>
      </c>
      <c r="P687" s="24">
        <v>8100</v>
      </c>
      <c r="Q687" t="s">
        <v>1983</v>
      </c>
      <c r="R687" s="19">
        <f>VLOOKUP(A687,[1]Sheet1!$A$2:$Q$1536,15,FALSE)</f>
        <v>1339.501098632812</v>
      </c>
      <c r="S687" s="27">
        <f t="shared" si="30"/>
        <v>-5.0470275151453201</v>
      </c>
      <c r="T687" s="19">
        <f>VLOOKUP(A687,[1]Sheet1!$A$2:$Q$1536,16,FALSE)</f>
        <v>8808.2409544179063</v>
      </c>
      <c r="U687" s="27">
        <f t="shared" si="31"/>
        <v>8.0406628075118378E-2</v>
      </c>
      <c r="V687" s="19">
        <f>VLOOKUP(A687,[1]Sheet1!$A$2:$Q$1536,17,FALSE)</f>
        <v>1330.663208007812</v>
      </c>
      <c r="W687" s="27">
        <f t="shared" si="32"/>
        <v>-5.0871901704765898</v>
      </c>
    </row>
    <row r="688" spans="1:23" x14ac:dyDescent="0.3">
      <c r="A688" s="4" t="s">
        <v>1308</v>
      </c>
      <c r="B688" s="5">
        <v>2016</v>
      </c>
      <c r="C688" s="5" t="s">
        <v>636</v>
      </c>
      <c r="D688" s="15" t="s">
        <v>1305</v>
      </c>
      <c r="E688" s="6">
        <v>111675</v>
      </c>
      <c r="F688" s="5" t="s">
        <v>79</v>
      </c>
      <c r="G688" s="5" t="s">
        <v>25</v>
      </c>
      <c r="H688" s="5" t="s">
        <v>18</v>
      </c>
      <c r="I688" s="5" t="s">
        <v>17</v>
      </c>
      <c r="J688" s="7">
        <v>45608</v>
      </c>
      <c r="K688" s="5" t="s">
        <v>17</v>
      </c>
      <c r="L688" s="8">
        <v>44067</v>
      </c>
      <c r="M688" s="19">
        <v>235</v>
      </c>
      <c r="N688" s="19">
        <v>285</v>
      </c>
      <c r="O688" s="24">
        <v>8500</v>
      </c>
      <c r="P688" s="24">
        <v>13700</v>
      </c>
      <c r="Q688" t="s">
        <v>1983</v>
      </c>
      <c r="R688" s="19">
        <f>VLOOKUP(A688,[1]Sheet1!$A$2:$Q$1536,15,FALSE)</f>
        <v>2274.854248046875</v>
      </c>
      <c r="S688" s="27">
        <f t="shared" si="30"/>
        <v>-5.0223638555140093</v>
      </c>
      <c r="T688" s="19">
        <f>VLOOKUP(A688,[1]Sheet1!$A$2:$Q$1536,16,FALSE)</f>
        <v>8805.4539053479602</v>
      </c>
      <c r="U688" s="27">
        <f t="shared" si="31"/>
        <v>-0.55585392272388767</v>
      </c>
      <c r="V688" s="19">
        <f>VLOOKUP(A688,[1]Sheet1!$A$2:$Q$1536,17,FALSE)</f>
        <v>2176.38525390625</v>
      </c>
      <c r="W688" s="27">
        <f t="shared" si="32"/>
        <v>-5.2948414006255442</v>
      </c>
    </row>
    <row r="689" spans="1:23" x14ac:dyDescent="0.3">
      <c r="A689" s="4" t="s">
        <v>473</v>
      </c>
      <c r="B689" s="5">
        <v>2012</v>
      </c>
      <c r="C689" s="5" t="s">
        <v>391</v>
      </c>
      <c r="D689" s="15" t="s">
        <v>413</v>
      </c>
      <c r="E689" s="6">
        <v>123765</v>
      </c>
      <c r="F689" s="5" t="s">
        <v>32</v>
      </c>
      <c r="G689" s="5" t="s">
        <v>25</v>
      </c>
      <c r="H689" s="5" t="s">
        <v>18</v>
      </c>
      <c r="I689" s="5" t="s">
        <v>17</v>
      </c>
      <c r="J689" s="7">
        <v>45678</v>
      </c>
      <c r="K689" s="5" t="s">
        <v>17</v>
      </c>
      <c r="L689" s="8">
        <v>43612</v>
      </c>
      <c r="M689" s="19">
        <v>264</v>
      </c>
      <c r="N689" s="19">
        <v>314</v>
      </c>
      <c r="O689" s="24">
        <v>1000</v>
      </c>
      <c r="P689" s="24">
        <v>3700</v>
      </c>
      <c r="Q689" t="s">
        <v>1983</v>
      </c>
      <c r="R689" s="19">
        <f>VLOOKUP(A689,[1]Sheet1!$A$2:$Q$1536,15,FALSE)</f>
        <v>1485.834838867188</v>
      </c>
      <c r="S689" s="27">
        <f t="shared" si="30"/>
        <v>-1.4901825581239627</v>
      </c>
      <c r="T689" s="19">
        <f>VLOOKUP(A689,[1]Sheet1!$A$2:$Q$1536,16,FALSE)</f>
        <v>9204.25253360235</v>
      </c>
      <c r="U689" s="27">
        <f t="shared" si="31"/>
        <v>0.59801189868571569</v>
      </c>
      <c r="V689" s="19">
        <f>VLOOKUP(A689,[1]Sheet1!$A$2:$Q$1536,17,FALSE)</f>
        <v>1402.618408203125</v>
      </c>
      <c r="W689" s="27">
        <f t="shared" si="32"/>
        <v>-1.6379234568438459</v>
      </c>
    </row>
    <row r="690" spans="1:23" x14ac:dyDescent="0.3">
      <c r="A690" s="4" t="s">
        <v>1574</v>
      </c>
      <c r="B690" s="5">
        <v>2012</v>
      </c>
      <c r="C690" s="5" t="s">
        <v>636</v>
      </c>
      <c r="D690" s="15" t="s">
        <v>1300</v>
      </c>
      <c r="E690" s="6">
        <v>180421</v>
      </c>
      <c r="F690" s="5" t="s">
        <v>66</v>
      </c>
      <c r="G690" s="5" t="s">
        <v>25</v>
      </c>
      <c r="H690" s="5" t="s">
        <v>18</v>
      </c>
      <c r="I690" s="5" t="s">
        <v>17</v>
      </c>
      <c r="J690" s="7">
        <v>45701</v>
      </c>
      <c r="K690" s="5" t="s">
        <v>17</v>
      </c>
      <c r="L690" s="8">
        <v>44310</v>
      </c>
      <c r="M690" s="19">
        <v>235</v>
      </c>
      <c r="N690" s="19">
        <v>285</v>
      </c>
      <c r="O690" s="24">
        <v>0</v>
      </c>
      <c r="P690" s="24">
        <v>2000</v>
      </c>
      <c r="Q690" t="s">
        <v>1983</v>
      </c>
      <c r="R690" s="19">
        <f>VLOOKUP(A690,[1]Sheet1!$A$2:$Q$1536,15,FALSE)</f>
        <v>344.29461669921881</v>
      </c>
      <c r="S690" s="27">
        <f t="shared" si="30"/>
        <v>-4.8089784242756011</v>
      </c>
      <c r="T690" s="19">
        <f>VLOOKUP(A690,[1]Sheet1!$A$2:$Q$1536,16,FALSE)</f>
        <v>8795.1641456096895</v>
      </c>
      <c r="U690" s="27">
        <f t="shared" si="31"/>
        <v>0.7726023111236251</v>
      </c>
      <c r="V690" s="19">
        <f>VLOOKUP(A690,[1]Sheet1!$A$2:$Q$1536,17,FALSE)</f>
        <v>815.262451171875</v>
      </c>
      <c r="W690" s="27">
        <f t="shared" si="32"/>
        <v>-1.4531977366615609</v>
      </c>
    </row>
    <row r="691" spans="1:23" x14ac:dyDescent="0.3">
      <c r="A691" s="4" t="s">
        <v>1773</v>
      </c>
      <c r="B691" s="5">
        <v>2018</v>
      </c>
      <c r="C691" s="5" t="s">
        <v>1086</v>
      </c>
      <c r="D691" s="15" t="s">
        <v>1758</v>
      </c>
      <c r="E691" s="6">
        <v>112900</v>
      </c>
      <c r="F691" s="5" t="s">
        <v>132</v>
      </c>
      <c r="G691" s="5" t="s">
        <v>22</v>
      </c>
      <c r="H691" s="5" t="s">
        <v>18</v>
      </c>
      <c r="I691" s="5" t="s">
        <v>17</v>
      </c>
      <c r="J691" s="7">
        <v>45314</v>
      </c>
      <c r="K691" s="5" t="s">
        <v>17</v>
      </c>
      <c r="L691" s="8">
        <v>44662</v>
      </c>
      <c r="M691" s="19">
        <v>235</v>
      </c>
      <c r="N691" s="19">
        <v>285</v>
      </c>
      <c r="O691" s="24">
        <v>1700</v>
      </c>
      <c r="P691" s="24">
        <v>9600</v>
      </c>
      <c r="Q691" t="s">
        <v>1983</v>
      </c>
      <c r="R691" s="19">
        <f>VLOOKUP(A691,[1]Sheet1!$A$2:$Q$1536,15,FALSE)</f>
        <v>2592.433349609375</v>
      </c>
      <c r="S691" s="27">
        <f t="shared" si="30"/>
        <v>-2.7030845948060795</v>
      </c>
      <c r="T691" s="19">
        <f>VLOOKUP(A691,[1]Sheet1!$A$2:$Q$1536,16,FALSE)</f>
        <v>8602.4480414378068</v>
      </c>
      <c r="U691" s="27">
        <f t="shared" si="31"/>
        <v>-0.11596140467887826</v>
      </c>
      <c r="V691" s="19">
        <f>VLOOKUP(A691,[1]Sheet1!$A$2:$Q$1536,17,FALSE)</f>
        <v>2422.29443359375</v>
      </c>
      <c r="W691" s="27">
        <f t="shared" si="32"/>
        <v>-2.9631846016990204</v>
      </c>
    </row>
    <row r="692" spans="1:23" x14ac:dyDescent="0.3">
      <c r="A692" s="4" t="s">
        <v>365</v>
      </c>
      <c r="B692" s="5">
        <v>2013</v>
      </c>
      <c r="C692" s="5" t="s">
        <v>237</v>
      </c>
      <c r="D692" s="15" t="s">
        <v>339</v>
      </c>
      <c r="E692" s="6">
        <v>96445</v>
      </c>
      <c r="F692" s="5" t="s">
        <v>125</v>
      </c>
      <c r="G692" s="5" t="s">
        <v>16</v>
      </c>
      <c r="H692" s="5" t="s">
        <v>17</v>
      </c>
      <c r="I692" s="5" t="s">
        <v>18</v>
      </c>
      <c r="J692" s="7">
        <v>45428</v>
      </c>
      <c r="K692" s="5" t="s">
        <v>17</v>
      </c>
      <c r="L692" s="8">
        <v>44128</v>
      </c>
      <c r="M692" s="19">
        <v>264</v>
      </c>
      <c r="N692" s="19">
        <v>314</v>
      </c>
      <c r="O692" s="24">
        <v>0</v>
      </c>
      <c r="P692" s="24">
        <v>900</v>
      </c>
      <c r="Q692" t="s">
        <v>1983</v>
      </c>
      <c r="R692" s="19">
        <f>VLOOKUP(A692,[1]Sheet1!$A$2:$Q$1536,15,FALSE)</f>
        <v>7300.83203125</v>
      </c>
      <c r="S692" s="27">
        <f t="shared" si="30"/>
        <v>0.87672637911025764</v>
      </c>
      <c r="T692" s="19">
        <f>VLOOKUP(A692,[1]Sheet1!$A$2:$Q$1536,16,FALSE)</f>
        <v>10196.880122965569</v>
      </c>
      <c r="U692" s="27">
        <f t="shared" si="31"/>
        <v>0.91173770906916851</v>
      </c>
      <c r="V692" s="19">
        <f>VLOOKUP(A692,[1]Sheet1!$A$2:$Q$1536,17,FALSE)</f>
        <v>7099.1279296875</v>
      </c>
      <c r="W692" s="27">
        <f t="shared" si="32"/>
        <v>0.87322386511217331</v>
      </c>
    </row>
    <row r="693" spans="1:23" x14ac:dyDescent="0.3">
      <c r="A693" s="4" t="s">
        <v>118</v>
      </c>
      <c r="B693" s="5">
        <v>2017</v>
      </c>
      <c r="C693" s="5" t="s">
        <v>96</v>
      </c>
      <c r="D693" s="15" t="s">
        <v>117</v>
      </c>
      <c r="E693" s="6">
        <v>130138</v>
      </c>
      <c r="F693" s="5" t="s">
        <v>92</v>
      </c>
      <c r="G693" s="5" t="s">
        <v>28</v>
      </c>
      <c r="H693" s="5" t="s">
        <v>17</v>
      </c>
      <c r="I693" s="5" t="s">
        <v>18</v>
      </c>
      <c r="J693" s="7">
        <v>45498</v>
      </c>
      <c r="K693" s="5" t="s">
        <v>17</v>
      </c>
      <c r="L693" s="8">
        <v>44662</v>
      </c>
      <c r="M693" s="19">
        <v>235</v>
      </c>
      <c r="N693" s="19">
        <v>285</v>
      </c>
      <c r="O693" s="24">
        <v>0</v>
      </c>
      <c r="P693" s="24">
        <v>8900</v>
      </c>
      <c r="Q693" t="s">
        <v>1983</v>
      </c>
      <c r="R693" s="19">
        <f>VLOOKUP(A693,[1]Sheet1!$A$2:$Q$1536,15,FALSE)</f>
        <v>7920.271484375</v>
      </c>
      <c r="S693" s="27">
        <f t="shared" si="30"/>
        <v>-0.12369885521699535</v>
      </c>
      <c r="T693" s="19">
        <f>VLOOKUP(A693,[1]Sheet1!$A$2:$Q$1536,16,FALSE)</f>
        <v>10100.38591739304</v>
      </c>
      <c r="U693" s="27">
        <f t="shared" si="31"/>
        <v>0.11884554978497942</v>
      </c>
      <c r="V693" s="19">
        <f>VLOOKUP(A693,[1]Sheet1!$A$2:$Q$1536,17,FALSE)</f>
        <v>7827.77783203125</v>
      </c>
      <c r="W693" s="27">
        <f t="shared" si="32"/>
        <v>-0.13697657125387733</v>
      </c>
    </row>
    <row r="694" spans="1:23" x14ac:dyDescent="0.3">
      <c r="A694" s="4" t="s">
        <v>1495</v>
      </c>
      <c r="B694" s="5">
        <v>2018</v>
      </c>
      <c r="C694" s="5" t="s">
        <v>1219</v>
      </c>
      <c r="D694" s="15" t="s">
        <v>1496</v>
      </c>
      <c r="E694" s="6">
        <v>83629</v>
      </c>
      <c r="F694" s="5" t="s">
        <v>144</v>
      </c>
      <c r="G694" s="5" t="s">
        <v>22</v>
      </c>
      <c r="H694" s="5" t="s">
        <v>18</v>
      </c>
      <c r="I694" s="5" t="s">
        <v>17</v>
      </c>
      <c r="J694" s="7">
        <v>45314</v>
      </c>
      <c r="K694" s="5" t="s">
        <v>17</v>
      </c>
      <c r="L694" s="8">
        <v>44310</v>
      </c>
      <c r="M694" s="19">
        <v>235</v>
      </c>
      <c r="N694" s="19">
        <v>285</v>
      </c>
      <c r="O694" s="24">
        <v>3700</v>
      </c>
      <c r="P694" s="24">
        <v>13300</v>
      </c>
      <c r="Q694" t="s">
        <v>1983</v>
      </c>
      <c r="R694" s="19">
        <f>VLOOKUP(A694,[1]Sheet1!$A$2:$Q$1536,15,FALSE)</f>
        <v>2785.299072265625</v>
      </c>
      <c r="S694" s="27">
        <f t="shared" si="30"/>
        <v>-3.7750707033343751</v>
      </c>
      <c r="T694" s="19">
        <f>VLOOKUP(A694,[1]Sheet1!$A$2:$Q$1536,16,FALSE)</f>
        <v>9356.6195678007261</v>
      </c>
      <c r="U694" s="27">
        <f t="shared" si="31"/>
        <v>-0.42145353924293039</v>
      </c>
      <c r="V694" s="19">
        <f>VLOOKUP(A694,[1]Sheet1!$A$2:$Q$1536,17,FALSE)</f>
        <v>2663.95458984375</v>
      </c>
      <c r="W694" s="27">
        <f t="shared" si="32"/>
        <v>-3.9925775952435023</v>
      </c>
    </row>
    <row r="695" spans="1:23" x14ac:dyDescent="0.3">
      <c r="A695" s="4" t="s">
        <v>1919</v>
      </c>
      <c r="B695" s="5">
        <v>2016</v>
      </c>
      <c r="C695" s="5" t="s">
        <v>1911</v>
      </c>
      <c r="D695" s="15" t="s">
        <v>1917</v>
      </c>
      <c r="E695" s="6">
        <v>88920</v>
      </c>
      <c r="F695" s="5" t="s">
        <v>199</v>
      </c>
      <c r="G695" s="5" t="s">
        <v>16</v>
      </c>
      <c r="H695" s="5" t="s">
        <v>17</v>
      </c>
      <c r="I695" s="5" t="s">
        <v>18</v>
      </c>
      <c r="J695" s="7">
        <v>45706</v>
      </c>
      <c r="K695" s="5" t="s">
        <v>17</v>
      </c>
      <c r="L695" s="8">
        <v>44307</v>
      </c>
      <c r="M695" s="19">
        <v>235</v>
      </c>
      <c r="N695" s="19">
        <v>285</v>
      </c>
      <c r="O695" s="24">
        <v>0</v>
      </c>
      <c r="P695" s="24">
        <v>14800</v>
      </c>
      <c r="Q695" t="s">
        <v>1983</v>
      </c>
      <c r="R695" s="19">
        <f>VLOOKUP(A695,[1]Sheet1!$A$2:$Q$1536,15,FALSE)</f>
        <v>8096.6650390625</v>
      </c>
      <c r="S695" s="27">
        <f t="shared" si="30"/>
        <v>-0.82791308873433012</v>
      </c>
      <c r="T695" s="19">
        <f>VLOOKUP(A695,[1]Sheet1!$A$2:$Q$1536,16,FALSE)</f>
        <v>9863.7696328461552</v>
      </c>
      <c r="U695" s="27">
        <f t="shared" si="31"/>
        <v>-0.50044055679446287</v>
      </c>
      <c r="V695" s="19">
        <f>VLOOKUP(A695,[1]Sheet1!$A$2:$Q$1536,17,FALSE)</f>
        <v>8182.09619140625</v>
      </c>
      <c r="W695" s="27">
        <f t="shared" si="32"/>
        <v>-0.80882742683282194</v>
      </c>
    </row>
    <row r="696" spans="1:23" x14ac:dyDescent="0.3">
      <c r="A696" s="4" t="s">
        <v>726</v>
      </c>
      <c r="B696" s="5">
        <v>2019</v>
      </c>
      <c r="C696" s="5" t="s">
        <v>83</v>
      </c>
      <c r="D696" s="15" t="s">
        <v>725</v>
      </c>
      <c r="E696" s="6">
        <v>88091</v>
      </c>
      <c r="F696" s="5" t="s">
        <v>246</v>
      </c>
      <c r="G696" s="5" t="s">
        <v>16</v>
      </c>
      <c r="H696" s="5" t="s">
        <v>17</v>
      </c>
      <c r="I696" s="5" t="s">
        <v>18</v>
      </c>
      <c r="J696" s="7">
        <v>45342</v>
      </c>
      <c r="K696" s="5" t="s">
        <v>17</v>
      </c>
      <c r="L696" s="8">
        <v>44135</v>
      </c>
      <c r="M696" s="19">
        <v>235</v>
      </c>
      <c r="N696" s="19">
        <v>285</v>
      </c>
      <c r="O696" s="24">
        <v>16600</v>
      </c>
      <c r="P696" s="24">
        <v>18200</v>
      </c>
      <c r="Q696" t="s">
        <v>1983</v>
      </c>
      <c r="R696" s="19">
        <f>VLOOKUP(A696,[1]Sheet1!$A$2:$Q$1536,15,FALSE)</f>
        <v>13869.392578125</v>
      </c>
      <c r="S696" s="27">
        <f t="shared" si="30"/>
        <v>-0.31224203925882771</v>
      </c>
      <c r="T696" s="19">
        <f>VLOOKUP(A696,[1]Sheet1!$A$2:$Q$1536,16,FALSE)</f>
        <v>10750.501582799299</v>
      </c>
      <c r="U696" s="27">
        <f t="shared" si="31"/>
        <v>-0.69294426495595585</v>
      </c>
      <c r="V696" s="19">
        <f>VLOOKUP(A696,[1]Sheet1!$A$2:$Q$1536,17,FALSE)</f>
        <v>13906.603515625</v>
      </c>
      <c r="W696" s="27">
        <f t="shared" si="32"/>
        <v>-0.30873077524293274</v>
      </c>
    </row>
    <row r="697" spans="1:23" x14ac:dyDescent="0.3">
      <c r="A697" s="4" t="s">
        <v>1668</v>
      </c>
      <c r="B697" s="5">
        <v>2017</v>
      </c>
      <c r="C697" s="5" t="s">
        <v>1089</v>
      </c>
      <c r="D697" s="15" t="s">
        <v>1666</v>
      </c>
      <c r="E697" s="6">
        <v>107222</v>
      </c>
      <c r="F697" s="5" t="s">
        <v>79</v>
      </c>
      <c r="G697" s="5" t="s">
        <v>22</v>
      </c>
      <c r="H697" s="5" t="s">
        <v>18</v>
      </c>
      <c r="I697" s="5" t="s">
        <v>17</v>
      </c>
      <c r="J697" s="7">
        <v>45680</v>
      </c>
      <c r="K697" s="5" t="s">
        <v>17</v>
      </c>
      <c r="L697" s="8">
        <v>44035</v>
      </c>
      <c r="M697" s="19">
        <v>222</v>
      </c>
      <c r="N697" s="19">
        <v>272</v>
      </c>
      <c r="O697" s="24">
        <v>0</v>
      </c>
      <c r="P697" s="24">
        <v>9900</v>
      </c>
      <c r="Q697" t="s">
        <v>1983</v>
      </c>
      <c r="R697" s="19">
        <f>VLOOKUP(A697,[1]Sheet1!$A$2:$Q$1536,15,FALSE)</f>
        <v>2484.67626953125</v>
      </c>
      <c r="S697" s="27">
        <f t="shared" si="30"/>
        <v>-2.9844224865027176</v>
      </c>
      <c r="T697" s="19">
        <f>VLOOKUP(A697,[1]Sheet1!$A$2:$Q$1536,16,FALSE)</f>
        <v>8719.5551943209048</v>
      </c>
      <c r="U697" s="27">
        <f t="shared" si="31"/>
        <v>-0.13537901640302999</v>
      </c>
      <c r="V697" s="19">
        <f>VLOOKUP(A697,[1]Sheet1!$A$2:$Q$1536,17,FALSE)</f>
        <v>2343.41650390625</v>
      </c>
      <c r="W697" s="27">
        <f t="shared" si="32"/>
        <v>-3.2246011255351541</v>
      </c>
    </row>
    <row r="698" spans="1:23" x14ac:dyDescent="0.3">
      <c r="A698" s="4" t="s">
        <v>583</v>
      </c>
      <c r="B698" s="5">
        <v>2014</v>
      </c>
      <c r="C698" s="5" t="s">
        <v>391</v>
      </c>
      <c r="D698" s="15" t="s">
        <v>582</v>
      </c>
      <c r="E698" s="6">
        <v>125254</v>
      </c>
      <c r="F698" s="5" t="s">
        <v>79</v>
      </c>
      <c r="G698" s="5" t="s">
        <v>22</v>
      </c>
      <c r="H698" s="5" t="s">
        <v>18</v>
      </c>
      <c r="I698" s="5" t="s">
        <v>17</v>
      </c>
      <c r="J698" s="7">
        <v>45734</v>
      </c>
      <c r="K698" s="5" t="s">
        <v>17</v>
      </c>
      <c r="L698" s="8">
        <v>43952</v>
      </c>
      <c r="M698" s="19">
        <v>222</v>
      </c>
      <c r="N698" s="19">
        <v>272</v>
      </c>
      <c r="O698" s="24">
        <v>0</v>
      </c>
      <c r="P698" s="24">
        <v>8000</v>
      </c>
      <c r="Q698" t="s">
        <v>1983</v>
      </c>
      <c r="R698" s="19">
        <f>VLOOKUP(A698,[1]Sheet1!$A$2:$Q$1536,15,FALSE)</f>
        <v>1673.55615234375</v>
      </c>
      <c r="S698" s="27">
        <f t="shared" si="30"/>
        <v>-3.7802399631445365</v>
      </c>
      <c r="T698" s="19">
        <f>VLOOKUP(A698,[1]Sheet1!$A$2:$Q$1536,16,FALSE)</f>
        <v>9283.440361963123</v>
      </c>
      <c r="U698" s="27">
        <f t="shared" si="31"/>
        <v>0.13825050971639141</v>
      </c>
      <c r="V698" s="19">
        <f>VLOOKUP(A698,[1]Sheet1!$A$2:$Q$1536,17,FALSE)</f>
        <v>1635.687866210938</v>
      </c>
      <c r="W698" s="27">
        <f t="shared" si="32"/>
        <v>-3.8909086906244266</v>
      </c>
    </row>
    <row r="699" spans="1:23" x14ac:dyDescent="0.3">
      <c r="A699" s="4" t="s">
        <v>1718</v>
      </c>
      <c r="B699" s="5">
        <v>2021</v>
      </c>
      <c r="C699" s="5" t="s">
        <v>1089</v>
      </c>
      <c r="D699" s="15" t="s">
        <v>1717</v>
      </c>
      <c r="E699" s="6">
        <v>36406</v>
      </c>
      <c r="F699" s="5" t="s">
        <v>47</v>
      </c>
      <c r="G699" s="5" t="s">
        <v>33</v>
      </c>
      <c r="H699" s="5" t="s">
        <v>17</v>
      </c>
      <c r="I699" s="5" t="s">
        <v>18</v>
      </c>
      <c r="J699" s="7">
        <v>45538</v>
      </c>
      <c r="K699" s="5" t="s">
        <v>17</v>
      </c>
      <c r="L699" s="8">
        <v>44451</v>
      </c>
      <c r="M699" s="19">
        <v>264</v>
      </c>
      <c r="N699" s="19">
        <v>314</v>
      </c>
      <c r="O699" s="24">
        <v>14200</v>
      </c>
      <c r="P699" s="24">
        <v>15800</v>
      </c>
      <c r="Q699" t="s">
        <v>1983</v>
      </c>
      <c r="R699" s="19">
        <f>VLOOKUP(A699,[1]Sheet1!$A$2:$Q$1536,15,FALSE)</f>
        <v>14217.859375</v>
      </c>
      <c r="S699" s="27">
        <f t="shared" si="30"/>
        <v>-0.11127839875684521</v>
      </c>
      <c r="T699" s="19">
        <f>VLOOKUP(A699,[1]Sheet1!$A$2:$Q$1536,16,FALSE)</f>
        <v>14168.88423670755</v>
      </c>
      <c r="U699" s="27">
        <f t="shared" si="31"/>
        <v>-0.11511956312457494</v>
      </c>
      <c r="V699" s="19">
        <f>VLOOKUP(A699,[1]Sheet1!$A$2:$Q$1536,17,FALSE)</f>
        <v>14190.875</v>
      </c>
      <c r="W699" s="27">
        <f t="shared" si="32"/>
        <v>-0.11339152800655351</v>
      </c>
    </row>
    <row r="700" spans="1:23" x14ac:dyDescent="0.3">
      <c r="A700" s="4" t="s">
        <v>856</v>
      </c>
      <c r="B700" s="5">
        <v>2017</v>
      </c>
      <c r="C700" s="5" t="s">
        <v>391</v>
      </c>
      <c r="D700" s="15" t="s">
        <v>580</v>
      </c>
      <c r="E700" s="6">
        <v>166031</v>
      </c>
      <c r="F700" s="5" t="s">
        <v>24</v>
      </c>
      <c r="G700" s="5" t="s">
        <v>25</v>
      </c>
      <c r="H700" s="5" t="s">
        <v>18</v>
      </c>
      <c r="I700" s="5" t="s">
        <v>17</v>
      </c>
      <c r="J700" s="7">
        <v>45736</v>
      </c>
      <c r="K700" s="5" t="s">
        <v>17</v>
      </c>
      <c r="L700" s="8">
        <v>43977</v>
      </c>
      <c r="M700" s="19">
        <v>179</v>
      </c>
      <c r="N700" s="19">
        <v>229</v>
      </c>
      <c r="O700" s="24">
        <v>0</v>
      </c>
      <c r="P700" s="24">
        <v>10000</v>
      </c>
      <c r="Q700" t="s">
        <v>1983</v>
      </c>
      <c r="R700" s="19">
        <f>VLOOKUP(A700,[1]Sheet1!$A$2:$Q$1536,15,FALSE)</f>
        <v>2506.43408203125</v>
      </c>
      <c r="S700" s="27">
        <f t="shared" si="30"/>
        <v>-2.9897318950817398</v>
      </c>
      <c r="T700" s="19">
        <f>VLOOKUP(A700,[1]Sheet1!$A$2:$Q$1536,16,FALSE)</f>
        <v>9474.6923515300259</v>
      </c>
      <c r="U700" s="27">
        <f t="shared" si="31"/>
        <v>-5.5443240685819684E-2</v>
      </c>
      <c r="V700" s="19">
        <f>VLOOKUP(A700,[1]Sheet1!$A$2:$Q$1536,17,FALSE)</f>
        <v>2422.48779296875</v>
      </c>
      <c r="W700" s="27">
        <f t="shared" si="32"/>
        <v>-3.1279877772861906</v>
      </c>
    </row>
    <row r="701" spans="1:23" x14ac:dyDescent="0.3">
      <c r="A701" s="4" t="s">
        <v>688</v>
      </c>
      <c r="B701" s="5">
        <v>2014</v>
      </c>
      <c r="C701" s="5" t="s">
        <v>684</v>
      </c>
      <c r="D701" s="15" t="s">
        <v>689</v>
      </c>
      <c r="E701" s="6">
        <v>182745</v>
      </c>
      <c r="F701" s="5" t="s">
        <v>81</v>
      </c>
      <c r="G701" s="5" t="s">
        <v>25</v>
      </c>
      <c r="H701" s="5" t="s">
        <v>18</v>
      </c>
      <c r="I701" s="5" t="s">
        <v>17</v>
      </c>
      <c r="J701" s="7">
        <v>45610</v>
      </c>
      <c r="K701" s="5" t="s">
        <v>17</v>
      </c>
      <c r="L701" s="8">
        <v>44067</v>
      </c>
      <c r="M701" s="19">
        <v>235</v>
      </c>
      <c r="N701" s="19">
        <v>285</v>
      </c>
      <c r="O701" s="24">
        <v>0</v>
      </c>
      <c r="P701" s="24">
        <v>800</v>
      </c>
      <c r="Q701" t="s">
        <v>1983</v>
      </c>
      <c r="R701" s="19">
        <f>VLOOKUP(A701,[1]Sheet1!$A$2:$Q$1536,15,FALSE)</f>
        <v>861.92852783203125</v>
      </c>
      <c r="S701" s="27">
        <f t="shared" si="30"/>
        <v>7.1848797008491172E-2</v>
      </c>
      <c r="T701" s="19">
        <f>VLOOKUP(A701,[1]Sheet1!$A$2:$Q$1536,16,FALSE)</f>
        <v>8936.3605561875611</v>
      </c>
      <c r="U701" s="27">
        <f t="shared" si="31"/>
        <v>0.91047809732273188</v>
      </c>
      <c r="V701" s="19">
        <f>VLOOKUP(A701,[1]Sheet1!$A$2:$Q$1536,17,FALSE)</f>
        <v>1083.871215820312</v>
      </c>
      <c r="W701" s="27">
        <f t="shared" si="32"/>
        <v>0.26190493084131611</v>
      </c>
    </row>
    <row r="702" spans="1:23" x14ac:dyDescent="0.3">
      <c r="A702" s="4" t="s">
        <v>497</v>
      </c>
      <c r="B702" s="5">
        <v>2018</v>
      </c>
      <c r="C702" s="5" t="s">
        <v>391</v>
      </c>
      <c r="D702" s="15" t="s">
        <v>394</v>
      </c>
      <c r="E702" s="6">
        <v>66008</v>
      </c>
      <c r="F702" s="5" t="s">
        <v>27</v>
      </c>
      <c r="G702" s="5" t="s">
        <v>28</v>
      </c>
      <c r="H702" s="5" t="s">
        <v>17</v>
      </c>
      <c r="I702" s="5" t="s">
        <v>18</v>
      </c>
      <c r="J702" s="7">
        <v>45510</v>
      </c>
      <c r="K702" s="5" t="s">
        <v>17</v>
      </c>
      <c r="L702" s="8">
        <v>44054</v>
      </c>
      <c r="M702" s="19">
        <v>235</v>
      </c>
      <c r="N702" s="19">
        <v>285</v>
      </c>
      <c r="O702" s="24">
        <v>8600</v>
      </c>
      <c r="P702" s="24">
        <v>13000</v>
      </c>
      <c r="Q702" t="s">
        <v>1983</v>
      </c>
      <c r="R702" s="19">
        <f>VLOOKUP(A702,[1]Sheet1!$A$2:$Q$1536,15,FALSE)</f>
        <v>5968.95751953125</v>
      </c>
      <c r="S702" s="27">
        <f t="shared" si="30"/>
        <v>-1.1779347494871948</v>
      </c>
      <c r="T702" s="19">
        <f>VLOOKUP(A702,[1]Sheet1!$A$2:$Q$1536,16,FALSE)</f>
        <v>10670.606224178309</v>
      </c>
      <c r="U702" s="27">
        <f t="shared" si="31"/>
        <v>-0.21830004096145586</v>
      </c>
      <c r="V702" s="19">
        <f>VLOOKUP(A702,[1]Sheet1!$A$2:$Q$1536,17,FALSE)</f>
        <v>5645.8271484375</v>
      </c>
      <c r="W702" s="27">
        <f t="shared" si="32"/>
        <v>-1.3025855482659949</v>
      </c>
    </row>
    <row r="703" spans="1:23" x14ac:dyDescent="0.3">
      <c r="A703" s="4" t="s">
        <v>258</v>
      </c>
      <c r="B703" s="5">
        <v>2018</v>
      </c>
      <c r="C703" s="5" t="s">
        <v>237</v>
      </c>
      <c r="D703" s="15" t="s">
        <v>248</v>
      </c>
      <c r="E703" s="6">
        <v>83784</v>
      </c>
      <c r="F703" s="5" t="s">
        <v>42</v>
      </c>
      <c r="G703" s="5" t="s">
        <v>28</v>
      </c>
      <c r="H703" s="5" t="s">
        <v>17</v>
      </c>
      <c r="I703" s="5" t="s">
        <v>18</v>
      </c>
      <c r="J703" s="7">
        <v>45582</v>
      </c>
      <c r="K703" s="5" t="s">
        <v>17</v>
      </c>
      <c r="L703" s="8">
        <v>44827</v>
      </c>
      <c r="M703" s="19">
        <v>128</v>
      </c>
      <c r="N703" s="19">
        <v>158</v>
      </c>
      <c r="O703" s="24">
        <v>0</v>
      </c>
      <c r="P703" s="24">
        <v>10400</v>
      </c>
      <c r="Q703" t="s">
        <v>1983</v>
      </c>
      <c r="R703" s="19">
        <f>VLOOKUP(A703,[1]Sheet1!$A$2:$Q$1536,15,FALSE)</f>
        <v>6237.3125</v>
      </c>
      <c r="S703" s="27">
        <f t="shared" si="30"/>
        <v>-0.6673847911259857</v>
      </c>
      <c r="T703" s="19">
        <f>VLOOKUP(A703,[1]Sheet1!$A$2:$Q$1536,16,FALSE)</f>
        <v>9593.5942605931232</v>
      </c>
      <c r="U703" s="27">
        <f t="shared" si="31"/>
        <v>-8.4056685899182568E-2</v>
      </c>
      <c r="V703" s="19">
        <f>VLOOKUP(A703,[1]Sheet1!$A$2:$Q$1536,17,FALSE)</f>
        <v>6180.5615234375</v>
      </c>
      <c r="W703" s="27">
        <f t="shared" si="32"/>
        <v>-0.68269500442020292</v>
      </c>
    </row>
    <row r="704" spans="1:23" x14ac:dyDescent="0.3">
      <c r="A704" s="4" t="s">
        <v>859</v>
      </c>
      <c r="B704" s="5">
        <v>2017</v>
      </c>
      <c r="C704" s="5" t="s">
        <v>391</v>
      </c>
      <c r="D704" s="15" t="s">
        <v>582</v>
      </c>
      <c r="E704" s="6">
        <v>96483</v>
      </c>
      <c r="F704" s="5" t="s">
        <v>81</v>
      </c>
      <c r="G704" s="5" t="s">
        <v>25</v>
      </c>
      <c r="H704" s="5" t="s">
        <v>18</v>
      </c>
      <c r="I704" s="5" t="s">
        <v>17</v>
      </c>
      <c r="J704" s="7">
        <v>45384</v>
      </c>
      <c r="K704" s="5" t="s">
        <v>17</v>
      </c>
      <c r="L704" s="8">
        <v>44307</v>
      </c>
      <c r="M704" s="19">
        <v>235</v>
      </c>
      <c r="N704" s="19">
        <v>285</v>
      </c>
      <c r="O704" s="24">
        <v>6100</v>
      </c>
      <c r="P704" s="24">
        <v>12200</v>
      </c>
      <c r="Q704" t="s">
        <v>1983</v>
      </c>
      <c r="R704" s="19">
        <f>VLOOKUP(A704,[1]Sheet1!$A$2:$Q$1536,15,FALSE)</f>
        <v>4252.591796875</v>
      </c>
      <c r="S704" s="27">
        <f t="shared" si="30"/>
        <v>-1.8688387183000073</v>
      </c>
      <c r="T704" s="19">
        <f>VLOOKUP(A704,[1]Sheet1!$A$2:$Q$1536,16,FALSE)</f>
        <v>9521.7245807613544</v>
      </c>
      <c r="U704" s="27">
        <f t="shared" si="31"/>
        <v>-0.28128049667075034</v>
      </c>
      <c r="V704" s="19">
        <f>VLOOKUP(A704,[1]Sheet1!$A$2:$Q$1536,17,FALSE)</f>
        <v>4334.38916015625</v>
      </c>
      <c r="W704" s="27">
        <f t="shared" si="32"/>
        <v>-1.8146988074232364</v>
      </c>
    </row>
    <row r="705" spans="1:23" x14ac:dyDescent="0.3">
      <c r="A705" s="4" t="s">
        <v>1365</v>
      </c>
      <c r="B705" s="5">
        <v>2017</v>
      </c>
      <c r="C705" s="5" t="s">
        <v>1089</v>
      </c>
      <c r="D705" s="15" t="s">
        <v>1363</v>
      </c>
      <c r="E705" s="6">
        <v>92208</v>
      </c>
      <c r="F705" s="5" t="s">
        <v>47</v>
      </c>
      <c r="G705" s="5" t="s">
        <v>28</v>
      </c>
      <c r="H705" s="5" t="s">
        <v>17</v>
      </c>
      <c r="I705" s="5" t="s">
        <v>18</v>
      </c>
      <c r="J705" s="7">
        <v>45715</v>
      </c>
      <c r="K705" s="5" t="s">
        <v>17</v>
      </c>
      <c r="L705" s="8">
        <v>44113</v>
      </c>
      <c r="M705" s="19">
        <v>264</v>
      </c>
      <c r="N705" s="19">
        <v>314</v>
      </c>
      <c r="O705" s="24">
        <v>5400</v>
      </c>
      <c r="P705" s="24">
        <v>8100</v>
      </c>
      <c r="Q705" t="s">
        <v>1983</v>
      </c>
      <c r="R705" s="19">
        <f>VLOOKUP(A705,[1]Sheet1!$A$2:$Q$1536,15,FALSE)</f>
        <v>6141.57470703125</v>
      </c>
      <c r="S705" s="27">
        <f t="shared" si="30"/>
        <v>-0.31887999192236888</v>
      </c>
      <c r="T705" s="19">
        <f>VLOOKUP(A705,[1]Sheet1!$A$2:$Q$1536,16,FALSE)</f>
        <v>9621.4729868105223</v>
      </c>
      <c r="U705" s="27">
        <f t="shared" si="31"/>
        <v>0.15813306225525081</v>
      </c>
      <c r="V705" s="19">
        <f>VLOOKUP(A705,[1]Sheet1!$A$2:$Q$1536,17,FALSE)</f>
        <v>6192.2958984375</v>
      </c>
      <c r="W705" s="27">
        <f t="shared" si="32"/>
        <v>-0.30807702552519661</v>
      </c>
    </row>
    <row r="706" spans="1:23" x14ac:dyDescent="0.3">
      <c r="A706" s="4" t="s">
        <v>1872</v>
      </c>
      <c r="B706" s="5">
        <v>2017</v>
      </c>
      <c r="C706" s="5" t="s">
        <v>1401</v>
      </c>
      <c r="D706" s="15" t="s">
        <v>1873</v>
      </c>
      <c r="E706" s="6">
        <v>63191</v>
      </c>
      <c r="F706" s="5" t="s">
        <v>87</v>
      </c>
      <c r="G706" s="5" t="s">
        <v>22</v>
      </c>
      <c r="H706" s="5" t="s">
        <v>18</v>
      </c>
      <c r="I706" s="5" t="s">
        <v>17</v>
      </c>
      <c r="J706" s="7">
        <v>45664</v>
      </c>
      <c r="K706" s="5" t="s">
        <v>17</v>
      </c>
      <c r="L706" s="8">
        <v>44113</v>
      </c>
      <c r="M706" s="19">
        <v>264</v>
      </c>
      <c r="N706" s="19">
        <v>314</v>
      </c>
      <c r="O706" s="24"/>
      <c r="P706" s="24">
        <v>11900</v>
      </c>
      <c r="R706" s="19">
        <f>VLOOKUP(A706,[1]Sheet1!$A$2:$Q$1536,15,FALSE)</f>
        <v>7918.61669921875</v>
      </c>
      <c r="S706" s="27">
        <f t="shared" si="30"/>
        <v>-0.50278772821193041</v>
      </c>
      <c r="T706" s="19">
        <f>VLOOKUP(A706,[1]Sheet1!$A$2:$Q$1536,16,FALSE)</f>
        <v>11369.28135674652</v>
      </c>
      <c r="U706" s="27">
        <f t="shared" si="31"/>
        <v>-4.6680051852050618E-2</v>
      </c>
      <c r="V706" s="19">
        <f>VLOOKUP(A706,[1]Sheet1!$A$2:$Q$1536,17,FALSE)</f>
        <v>7666.888671875</v>
      </c>
      <c r="W706" s="27">
        <f t="shared" si="32"/>
        <v>-0.5521289677328467</v>
      </c>
    </row>
    <row r="707" spans="1:23" x14ac:dyDescent="0.3">
      <c r="A707" s="4" t="s">
        <v>1690</v>
      </c>
      <c r="B707" s="5">
        <v>2014</v>
      </c>
      <c r="C707" s="5" t="s">
        <v>1089</v>
      </c>
      <c r="D707" s="15" t="s">
        <v>1090</v>
      </c>
      <c r="E707" s="6">
        <v>221889</v>
      </c>
      <c r="F707" s="5" t="s">
        <v>57</v>
      </c>
      <c r="G707" s="5" t="s">
        <v>25</v>
      </c>
      <c r="H707" s="5" t="s">
        <v>18</v>
      </c>
      <c r="I707" s="5" t="s">
        <v>17</v>
      </c>
      <c r="J707" s="7">
        <v>45603</v>
      </c>
      <c r="K707" s="5" t="s">
        <v>17</v>
      </c>
      <c r="L707" s="8">
        <v>44113</v>
      </c>
      <c r="M707" s="19">
        <v>264</v>
      </c>
      <c r="N707" s="19">
        <v>314</v>
      </c>
      <c r="O707" s="24">
        <v>1000</v>
      </c>
      <c r="P707" s="24">
        <v>1100</v>
      </c>
      <c r="Q707" t="s">
        <v>1983</v>
      </c>
      <c r="R707" s="19">
        <f>VLOOKUP(A707,[1]Sheet1!$A$2:$Q$1536,15,FALSE)</f>
        <v>890.52496337890625</v>
      </c>
      <c r="S707" s="27">
        <f t="shared" ref="S707:S770" si="33">(R707-$P707)/R707</f>
        <v>-0.23522646218280685</v>
      </c>
      <c r="T707" s="19">
        <f>VLOOKUP(A707,[1]Sheet1!$A$2:$Q$1536,16,FALSE)</f>
        <v>8623.6643072839779</v>
      </c>
      <c r="U707" s="27">
        <f t="shared" ref="U707:U770" si="34">(T707-$P707)/T707</f>
        <v>0.87244401442309327</v>
      </c>
      <c r="V707" s="19">
        <f>VLOOKUP(A707,[1]Sheet1!$A$2:$Q$1536,17,FALSE)</f>
        <v>1094.4677734375</v>
      </c>
      <c r="W707" s="27">
        <f t="shared" ref="W707:W770" si="35">(V707-$P707)/V707</f>
        <v>-5.0547185552338421E-3</v>
      </c>
    </row>
    <row r="708" spans="1:23" x14ac:dyDescent="0.3">
      <c r="A708" s="4" t="s">
        <v>232</v>
      </c>
      <c r="B708" s="5">
        <v>2016</v>
      </c>
      <c r="C708" s="5" t="s">
        <v>223</v>
      </c>
      <c r="D708" s="15">
        <v>1500</v>
      </c>
      <c r="E708" s="6">
        <v>89376</v>
      </c>
      <c r="F708" s="5" t="s">
        <v>115</v>
      </c>
      <c r="G708" s="5" t="s">
        <v>16</v>
      </c>
      <c r="H708" s="5" t="s">
        <v>17</v>
      </c>
      <c r="I708" s="5" t="s">
        <v>18</v>
      </c>
      <c r="J708" s="7">
        <v>45664</v>
      </c>
      <c r="K708" s="5" t="s">
        <v>17</v>
      </c>
      <c r="L708" s="8">
        <v>44451</v>
      </c>
      <c r="M708" s="19">
        <v>264</v>
      </c>
      <c r="N708" s="19">
        <v>314</v>
      </c>
      <c r="O708" s="24">
        <v>18100</v>
      </c>
      <c r="P708" s="24">
        <v>24200</v>
      </c>
      <c r="Q708" t="s">
        <v>1983</v>
      </c>
      <c r="R708" s="19">
        <f>VLOOKUP(A708,[1]Sheet1!$A$2:$Q$1536,15,FALSE)</f>
        <v>14907.6142578125</v>
      </c>
      <c r="S708" s="27">
        <f t="shared" si="33"/>
        <v>-0.62333151243953888</v>
      </c>
      <c r="T708" s="19">
        <f>VLOOKUP(A708,[1]Sheet1!$A$2:$Q$1536,16,FALSE)</f>
        <v>11522.30309185525</v>
      </c>
      <c r="U708" s="27">
        <f t="shared" si="34"/>
        <v>-1.1002745551022877</v>
      </c>
      <c r="V708" s="19">
        <f>VLOOKUP(A708,[1]Sheet1!$A$2:$Q$1536,17,FALSE)</f>
        <v>15236.4453125</v>
      </c>
      <c r="W708" s="27">
        <f t="shared" si="35"/>
        <v>-0.58829697502647071</v>
      </c>
    </row>
    <row r="709" spans="1:23" x14ac:dyDescent="0.3">
      <c r="A709" s="4" t="s">
        <v>701</v>
      </c>
      <c r="B709" s="5">
        <v>2012</v>
      </c>
      <c r="C709" s="5" t="s">
        <v>684</v>
      </c>
      <c r="D709" s="15" t="s">
        <v>689</v>
      </c>
      <c r="E709" s="6">
        <v>95898</v>
      </c>
      <c r="F709" s="5" t="s">
        <v>112</v>
      </c>
      <c r="G709" s="5" t="s">
        <v>22</v>
      </c>
      <c r="H709" s="5" t="s">
        <v>18</v>
      </c>
      <c r="I709" s="5" t="s">
        <v>17</v>
      </c>
      <c r="J709" s="7">
        <v>45372</v>
      </c>
      <c r="K709" s="5" t="s">
        <v>17</v>
      </c>
      <c r="L709" s="8">
        <v>44137</v>
      </c>
      <c r="M709" s="19">
        <v>280</v>
      </c>
      <c r="N709" s="19">
        <v>330</v>
      </c>
      <c r="O709" s="24">
        <v>0</v>
      </c>
      <c r="P709" s="24">
        <v>1600</v>
      </c>
      <c r="Q709" t="s">
        <v>1983</v>
      </c>
      <c r="R709" s="19">
        <f>VLOOKUP(A709,[1]Sheet1!$A$2:$Q$1536,15,FALSE)</f>
        <v>1348.656494140625</v>
      </c>
      <c r="S709" s="27">
        <f t="shared" si="33"/>
        <v>-0.18636584404654732</v>
      </c>
      <c r="T709" s="19">
        <f>VLOOKUP(A709,[1]Sheet1!$A$2:$Q$1536,16,FALSE)</f>
        <v>8944.112444749504</v>
      </c>
      <c r="U709" s="27">
        <f t="shared" si="34"/>
        <v>0.82111137243816135</v>
      </c>
      <c r="V709" s="19">
        <f>VLOOKUP(A709,[1]Sheet1!$A$2:$Q$1536,17,FALSE)</f>
        <v>1380.25</v>
      </c>
      <c r="W709" s="27">
        <f t="shared" si="35"/>
        <v>-0.15921028799130593</v>
      </c>
    </row>
    <row r="710" spans="1:23" x14ac:dyDescent="0.3">
      <c r="A710" s="4" t="s">
        <v>300</v>
      </c>
      <c r="B710" s="5">
        <v>2015</v>
      </c>
      <c r="C710" s="5" t="s">
        <v>237</v>
      </c>
      <c r="D710" s="15" t="s">
        <v>298</v>
      </c>
      <c r="E710" s="6">
        <v>92873</v>
      </c>
      <c r="F710" s="5" t="s">
        <v>164</v>
      </c>
      <c r="G710" s="5" t="s">
        <v>33</v>
      </c>
      <c r="H710" s="5" t="s">
        <v>17</v>
      </c>
      <c r="I710" s="5" t="s">
        <v>18</v>
      </c>
      <c r="J710" s="7">
        <v>45519</v>
      </c>
      <c r="K710" s="5" t="s">
        <v>17</v>
      </c>
      <c r="L710" s="8">
        <v>44113</v>
      </c>
      <c r="M710" s="19">
        <v>264</v>
      </c>
      <c r="N710" s="19">
        <v>314</v>
      </c>
      <c r="O710" s="24">
        <v>0</v>
      </c>
      <c r="P710" s="24">
        <v>1800</v>
      </c>
      <c r="Q710" t="s">
        <v>1983</v>
      </c>
      <c r="R710" s="19">
        <f>VLOOKUP(A710,[1]Sheet1!$A$2:$Q$1536,15,FALSE)</f>
        <v>8232.6767578125</v>
      </c>
      <c r="S710" s="27">
        <f t="shared" si="33"/>
        <v>0.78135908247680586</v>
      </c>
      <c r="T710" s="19">
        <f>VLOOKUP(A710,[1]Sheet1!$A$2:$Q$1536,16,FALSE)</f>
        <v>9494.9391679938872</v>
      </c>
      <c r="U710" s="27">
        <f t="shared" si="34"/>
        <v>0.81042532572851567</v>
      </c>
      <c r="V710" s="19">
        <f>VLOOKUP(A710,[1]Sheet1!$A$2:$Q$1536,17,FALSE)</f>
        <v>8226.1806640625</v>
      </c>
      <c r="W710" s="27">
        <f t="shared" si="35"/>
        <v>0.78118642496345692</v>
      </c>
    </row>
    <row r="711" spans="1:23" x14ac:dyDescent="0.3">
      <c r="A711" s="4" t="s">
        <v>1297</v>
      </c>
      <c r="B711" s="5">
        <v>2017</v>
      </c>
      <c r="C711" s="5" t="s">
        <v>636</v>
      </c>
      <c r="D711" s="15" t="s">
        <v>1296</v>
      </c>
      <c r="E711" s="6">
        <v>116855</v>
      </c>
      <c r="F711" s="5" t="s">
        <v>47</v>
      </c>
      <c r="G711" s="5" t="s">
        <v>16</v>
      </c>
      <c r="H711" s="5" t="s">
        <v>17</v>
      </c>
      <c r="I711" s="5" t="s">
        <v>18</v>
      </c>
      <c r="J711" s="7">
        <v>45482</v>
      </c>
      <c r="K711" s="5" t="s">
        <v>17</v>
      </c>
      <c r="L711" s="8">
        <v>44224</v>
      </c>
      <c r="M711" s="19">
        <v>235</v>
      </c>
      <c r="N711" s="19">
        <v>285</v>
      </c>
      <c r="O711" s="24">
        <v>8900</v>
      </c>
      <c r="P711" s="24">
        <v>13000</v>
      </c>
      <c r="Q711" t="s">
        <v>1983</v>
      </c>
      <c r="R711" s="19">
        <f>VLOOKUP(A711,[1]Sheet1!$A$2:$Q$1536,15,FALSE)</f>
        <v>6921.9697265625</v>
      </c>
      <c r="S711" s="27">
        <f t="shared" si="33"/>
        <v>-0.87807813578171967</v>
      </c>
      <c r="T711" s="19">
        <f>VLOOKUP(A711,[1]Sheet1!$A$2:$Q$1536,16,FALSE)</f>
        <v>9689.867633402966</v>
      </c>
      <c r="U711" s="27">
        <f t="shared" si="34"/>
        <v>-0.34160759381132588</v>
      </c>
      <c r="V711" s="19">
        <f>VLOOKUP(A711,[1]Sheet1!$A$2:$Q$1536,17,FALSE)</f>
        <v>7014.4296875</v>
      </c>
      <c r="W711" s="27">
        <f t="shared" si="35"/>
        <v>-0.85332244803401913</v>
      </c>
    </row>
    <row r="712" spans="1:23" x14ac:dyDescent="0.3">
      <c r="A712" s="4" t="s">
        <v>1273</v>
      </c>
      <c r="B712" s="5">
        <v>2014</v>
      </c>
      <c r="C712" s="5" t="s">
        <v>30</v>
      </c>
      <c r="D712" s="15" t="s">
        <v>1274</v>
      </c>
      <c r="E712" s="6">
        <v>131189</v>
      </c>
      <c r="F712" s="5" t="s">
        <v>79</v>
      </c>
      <c r="G712" s="5" t="s">
        <v>25</v>
      </c>
      <c r="H712" s="5" t="s">
        <v>18</v>
      </c>
      <c r="I712" s="5" t="s">
        <v>17</v>
      </c>
      <c r="J712" s="7">
        <v>45398</v>
      </c>
      <c r="K712" s="5" t="s">
        <v>17</v>
      </c>
      <c r="L712" s="8">
        <v>44113</v>
      </c>
      <c r="M712" s="19">
        <v>264</v>
      </c>
      <c r="N712" s="19">
        <v>314</v>
      </c>
      <c r="O712" s="24">
        <v>5900</v>
      </c>
      <c r="P712" s="24">
        <v>12400</v>
      </c>
      <c r="Q712" t="s">
        <v>1983</v>
      </c>
      <c r="R712" s="19">
        <f>VLOOKUP(A712,[1]Sheet1!$A$2:$Q$1536,15,FALSE)</f>
        <v>4320.337890625</v>
      </c>
      <c r="S712" s="27">
        <f t="shared" si="33"/>
        <v>-1.8701458806978077</v>
      </c>
      <c r="T712" s="19">
        <f>VLOOKUP(A712,[1]Sheet1!$A$2:$Q$1536,16,FALSE)</f>
        <v>8884.6157773726354</v>
      </c>
      <c r="U712" s="27">
        <f t="shared" si="34"/>
        <v>-0.39567093397334696</v>
      </c>
      <c r="V712" s="19">
        <f>VLOOKUP(A712,[1]Sheet1!$A$2:$Q$1536,17,FALSE)</f>
        <v>4277.77783203125</v>
      </c>
      <c r="W712" s="27">
        <f t="shared" si="35"/>
        <v>-1.8987012619381436</v>
      </c>
    </row>
    <row r="713" spans="1:23" x14ac:dyDescent="0.3">
      <c r="A713" s="4" t="s">
        <v>724</v>
      </c>
      <c r="B713" s="5">
        <v>2022</v>
      </c>
      <c r="C713" s="5" t="s">
        <v>83</v>
      </c>
      <c r="D713" s="15" t="s">
        <v>725</v>
      </c>
      <c r="E713" s="6">
        <v>79248</v>
      </c>
      <c r="F713" s="5" t="s">
        <v>36</v>
      </c>
      <c r="G713" s="5" t="s">
        <v>28</v>
      </c>
      <c r="H713" s="5" t="s">
        <v>17</v>
      </c>
      <c r="I713" s="5" t="s">
        <v>18</v>
      </c>
      <c r="J713" s="7">
        <v>45608</v>
      </c>
      <c r="K713" s="5" t="s">
        <v>17</v>
      </c>
      <c r="L713" s="8">
        <v>43605</v>
      </c>
      <c r="M713" s="19">
        <v>264</v>
      </c>
      <c r="N713" s="19">
        <v>314</v>
      </c>
      <c r="O713" s="24">
        <v>15000</v>
      </c>
      <c r="P713" s="24">
        <v>22700</v>
      </c>
      <c r="Q713" t="s">
        <v>1983</v>
      </c>
      <c r="R713" s="19">
        <f>VLOOKUP(A713,[1]Sheet1!$A$2:$Q$1536,15,FALSE)</f>
        <v>12757.0126953125</v>
      </c>
      <c r="S713" s="27">
        <f t="shared" si="33"/>
        <v>-0.77941345220586011</v>
      </c>
      <c r="T713" s="19">
        <f>VLOOKUP(A713,[1]Sheet1!$A$2:$Q$1536,16,FALSE)</f>
        <v>12368.0065170874</v>
      </c>
      <c r="U713" s="27">
        <f t="shared" si="34"/>
        <v>-0.8353806628932573</v>
      </c>
      <c r="V713" s="19">
        <f>VLOOKUP(A713,[1]Sheet1!$A$2:$Q$1536,17,FALSE)</f>
        <v>12874.529296875</v>
      </c>
      <c r="W713" s="27">
        <f t="shared" si="35"/>
        <v>-0.76317125671615116</v>
      </c>
    </row>
    <row r="714" spans="1:23" x14ac:dyDescent="0.3">
      <c r="A714" s="4" t="s">
        <v>488</v>
      </c>
      <c r="B714" s="5">
        <v>2016</v>
      </c>
      <c r="C714" s="5" t="s">
        <v>391</v>
      </c>
      <c r="D714" s="15" t="s">
        <v>394</v>
      </c>
      <c r="E714" s="6">
        <v>170298</v>
      </c>
      <c r="F714" s="5" t="s">
        <v>251</v>
      </c>
      <c r="G714" s="5" t="s">
        <v>22</v>
      </c>
      <c r="H714" s="5" t="s">
        <v>18</v>
      </c>
      <c r="I714" s="5" t="s">
        <v>17</v>
      </c>
      <c r="J714" s="7">
        <v>45678</v>
      </c>
      <c r="K714" s="5" t="s">
        <v>17</v>
      </c>
      <c r="L714" s="8">
        <v>44135</v>
      </c>
      <c r="M714" s="19">
        <v>235</v>
      </c>
      <c r="N714" s="19">
        <v>285</v>
      </c>
      <c r="O714" s="24">
        <v>800</v>
      </c>
      <c r="P714" s="24">
        <v>5700</v>
      </c>
      <c r="Q714" t="s">
        <v>1983</v>
      </c>
      <c r="R714" s="19">
        <f>VLOOKUP(A714,[1]Sheet1!$A$2:$Q$1536,15,FALSE)</f>
        <v>503.52951049804688</v>
      </c>
      <c r="S714" s="27">
        <f t="shared" si="33"/>
        <v>-10.320091238271345</v>
      </c>
      <c r="T714" s="19">
        <f>VLOOKUP(A714,[1]Sheet1!$A$2:$Q$1536,16,FALSE)</f>
        <v>9280.417234492952</v>
      </c>
      <c r="U714" s="27">
        <f t="shared" si="34"/>
        <v>0.38580347672144</v>
      </c>
      <c r="V714" s="19">
        <f>VLOOKUP(A714,[1]Sheet1!$A$2:$Q$1536,17,FALSE)</f>
        <v>844.70159912109375</v>
      </c>
      <c r="W714" s="27">
        <f t="shared" si="35"/>
        <v>-5.7479450801689156</v>
      </c>
    </row>
    <row r="715" spans="1:23" x14ac:dyDescent="0.3">
      <c r="A715" s="4" t="s">
        <v>754</v>
      </c>
      <c r="B715" s="5">
        <v>2019</v>
      </c>
      <c r="C715" s="5" t="s">
        <v>83</v>
      </c>
      <c r="D715" s="15" t="s">
        <v>744</v>
      </c>
      <c r="E715" s="6">
        <v>117119</v>
      </c>
      <c r="F715" s="5" t="s">
        <v>21</v>
      </c>
      <c r="G715" s="5" t="s">
        <v>33</v>
      </c>
      <c r="H715" s="5" t="s">
        <v>17</v>
      </c>
      <c r="I715" s="5" t="s">
        <v>18</v>
      </c>
      <c r="J715" s="7">
        <v>45580</v>
      </c>
      <c r="K715" s="5" t="s">
        <v>17</v>
      </c>
      <c r="L715" s="8">
        <v>44067</v>
      </c>
      <c r="M715" s="19">
        <v>235</v>
      </c>
      <c r="N715" s="19">
        <v>285</v>
      </c>
      <c r="O715" s="24">
        <v>3200</v>
      </c>
      <c r="P715" s="24">
        <v>12600</v>
      </c>
      <c r="Q715" t="s">
        <v>1983</v>
      </c>
      <c r="R715" s="19">
        <f>VLOOKUP(A715,[1]Sheet1!$A$2:$Q$1536,15,FALSE)</f>
        <v>4363.7978515625</v>
      </c>
      <c r="S715" s="27">
        <f t="shared" si="33"/>
        <v>-1.8873931443658529</v>
      </c>
      <c r="T715" s="19">
        <f>VLOOKUP(A715,[1]Sheet1!$A$2:$Q$1536,16,FALSE)</f>
        <v>8989.6085346297805</v>
      </c>
      <c r="U715" s="27">
        <f t="shared" si="34"/>
        <v>-0.40161831869121611</v>
      </c>
      <c r="V715" s="19">
        <f>VLOOKUP(A715,[1]Sheet1!$A$2:$Q$1536,17,FALSE)</f>
        <v>4268.8701171875</v>
      </c>
      <c r="W715" s="27">
        <f t="shared" si="35"/>
        <v>-1.9516006938860386</v>
      </c>
    </row>
    <row r="716" spans="1:23" x14ac:dyDescent="0.3">
      <c r="A716" s="4" t="s">
        <v>416</v>
      </c>
      <c r="B716" s="5">
        <v>2019</v>
      </c>
      <c r="C716" s="5" t="s">
        <v>391</v>
      </c>
      <c r="D716" s="15" t="s">
        <v>413</v>
      </c>
      <c r="E716" s="6">
        <v>93406</v>
      </c>
      <c r="F716" s="5" t="s">
        <v>77</v>
      </c>
      <c r="G716" s="5" t="s">
        <v>28</v>
      </c>
      <c r="H716" s="5" t="s">
        <v>17</v>
      </c>
      <c r="I716" s="5" t="s">
        <v>18</v>
      </c>
      <c r="J716" s="7">
        <v>45580</v>
      </c>
      <c r="K716" s="5" t="s">
        <v>17</v>
      </c>
      <c r="L716" s="8">
        <v>44662</v>
      </c>
      <c r="M716" s="19">
        <v>235</v>
      </c>
      <c r="N716" s="19">
        <v>285</v>
      </c>
      <c r="O716" s="24">
        <v>7100</v>
      </c>
      <c r="P716" s="24">
        <v>9000</v>
      </c>
      <c r="Q716" t="s">
        <v>1983</v>
      </c>
      <c r="R716" s="19">
        <f>VLOOKUP(A716,[1]Sheet1!$A$2:$Q$1536,15,FALSE)</f>
        <v>10860.740234375</v>
      </c>
      <c r="S716" s="27">
        <f t="shared" si="33"/>
        <v>0.17132720184998323</v>
      </c>
      <c r="T716" s="19">
        <f>VLOOKUP(A716,[1]Sheet1!$A$2:$Q$1536,16,FALSE)</f>
        <v>9649.8997454272758</v>
      </c>
      <c r="U716" s="27">
        <f t="shared" si="34"/>
        <v>6.7347823560057071E-2</v>
      </c>
      <c r="V716" s="19">
        <f>VLOOKUP(A716,[1]Sheet1!$A$2:$Q$1536,17,FALSE)</f>
        <v>10914.6064453125</v>
      </c>
      <c r="W716" s="27">
        <f t="shared" si="35"/>
        <v>0.17541690164511306</v>
      </c>
    </row>
    <row r="717" spans="1:23" x14ac:dyDescent="0.3">
      <c r="A717" s="4" t="s">
        <v>1746</v>
      </c>
      <c r="B717" s="5">
        <v>2015</v>
      </c>
      <c r="C717" s="5" t="s">
        <v>1086</v>
      </c>
      <c r="D717" s="15" t="s">
        <v>1411</v>
      </c>
      <c r="E717" s="6">
        <v>71754</v>
      </c>
      <c r="F717" s="5" t="s">
        <v>112</v>
      </c>
      <c r="G717" s="5" t="s">
        <v>22</v>
      </c>
      <c r="H717" s="5" t="s">
        <v>18</v>
      </c>
      <c r="I717" s="5" t="s">
        <v>17</v>
      </c>
      <c r="J717" s="7">
        <v>45386</v>
      </c>
      <c r="K717" s="5" t="s">
        <v>17</v>
      </c>
      <c r="L717" s="8">
        <v>44113</v>
      </c>
      <c r="M717" s="19">
        <v>264</v>
      </c>
      <c r="N717" s="19">
        <v>314</v>
      </c>
      <c r="O717" s="24">
        <v>2800</v>
      </c>
      <c r="P717" s="24">
        <v>3000</v>
      </c>
      <c r="Q717" t="s">
        <v>1983</v>
      </c>
      <c r="R717" s="19">
        <f>VLOOKUP(A717,[1]Sheet1!$A$2:$Q$1536,15,FALSE)</f>
        <v>2147.808837890625</v>
      </c>
      <c r="S717" s="27">
        <f t="shared" si="33"/>
        <v>-0.39677235100043479</v>
      </c>
      <c r="T717" s="19">
        <f>VLOOKUP(A717,[1]Sheet1!$A$2:$Q$1536,16,FALSE)</f>
        <v>8832.5547734335632</v>
      </c>
      <c r="U717" s="27">
        <f t="shared" si="34"/>
        <v>0.66034742190069873</v>
      </c>
      <c r="V717" s="19">
        <f>VLOOKUP(A717,[1]Sheet1!$A$2:$Q$1536,17,FALSE)</f>
        <v>2084.408203125</v>
      </c>
      <c r="W717" s="27">
        <f t="shared" si="35"/>
        <v>-0.43925743311810062</v>
      </c>
    </row>
    <row r="718" spans="1:23" x14ac:dyDescent="0.3">
      <c r="A718" s="4" t="s">
        <v>1147</v>
      </c>
      <c r="B718" s="5">
        <v>2019</v>
      </c>
      <c r="C718" s="5" t="s">
        <v>636</v>
      </c>
      <c r="D718" s="15" t="s">
        <v>1142</v>
      </c>
      <c r="E718" s="6">
        <v>118768</v>
      </c>
      <c r="F718" s="5" t="s">
        <v>66</v>
      </c>
      <c r="G718" s="5" t="s">
        <v>25</v>
      </c>
      <c r="H718" s="5" t="s">
        <v>18</v>
      </c>
      <c r="I718" s="5" t="s">
        <v>17</v>
      </c>
      <c r="J718" s="7">
        <v>45524</v>
      </c>
      <c r="K718" s="5" t="s">
        <v>17</v>
      </c>
      <c r="L718" s="8">
        <v>44451</v>
      </c>
      <c r="M718" s="19">
        <v>264</v>
      </c>
      <c r="N718" s="19">
        <v>314</v>
      </c>
      <c r="O718" s="24">
        <v>3900</v>
      </c>
      <c r="P718" s="24">
        <v>10100</v>
      </c>
      <c r="Q718" t="s">
        <v>1983</v>
      </c>
      <c r="R718" s="19">
        <f>VLOOKUP(A718,[1]Sheet1!$A$2:$Q$1536,15,FALSE)</f>
        <v>2823.29833984375</v>
      </c>
      <c r="S718" s="27">
        <f t="shared" si="33"/>
        <v>-2.5773760985383376</v>
      </c>
      <c r="T718" s="19">
        <f>VLOOKUP(A718,[1]Sheet1!$A$2:$Q$1536,16,FALSE)</f>
        <v>8751.1387628866905</v>
      </c>
      <c r="U718" s="27">
        <f t="shared" si="34"/>
        <v>-0.15413551009313078</v>
      </c>
      <c r="V718" s="19">
        <f>VLOOKUP(A718,[1]Sheet1!$A$2:$Q$1536,17,FALSE)</f>
        <v>2669.19921875</v>
      </c>
      <c r="W718" s="27">
        <f t="shared" si="35"/>
        <v>-2.783906397488713</v>
      </c>
    </row>
    <row r="719" spans="1:23" x14ac:dyDescent="0.3">
      <c r="A719" s="4" t="s">
        <v>1468</v>
      </c>
      <c r="B719" s="5">
        <v>2014</v>
      </c>
      <c r="C719" s="5" t="s">
        <v>1089</v>
      </c>
      <c r="D719" s="15" t="s">
        <v>1324</v>
      </c>
      <c r="E719" s="6">
        <v>125970</v>
      </c>
      <c r="F719" s="5" t="s">
        <v>79</v>
      </c>
      <c r="G719" s="5" t="s">
        <v>22</v>
      </c>
      <c r="H719" s="5" t="s">
        <v>18</v>
      </c>
      <c r="I719" s="5" t="s">
        <v>17</v>
      </c>
      <c r="J719" s="7">
        <v>45631</v>
      </c>
      <c r="K719" s="5" t="s">
        <v>17</v>
      </c>
      <c r="L719" s="8">
        <v>43612</v>
      </c>
      <c r="M719" s="19">
        <v>264</v>
      </c>
      <c r="N719" s="19">
        <v>314</v>
      </c>
      <c r="O719" s="24">
        <v>0</v>
      </c>
      <c r="P719" s="24">
        <v>4100</v>
      </c>
      <c r="Q719" t="s">
        <v>1983</v>
      </c>
      <c r="R719" s="19">
        <f>VLOOKUP(A719,[1]Sheet1!$A$2:$Q$1536,15,FALSE)</f>
        <v>1149.75341796875</v>
      </c>
      <c r="S719" s="27">
        <f t="shared" si="33"/>
        <v>-2.565982006162157</v>
      </c>
      <c r="T719" s="19">
        <f>VLOOKUP(A719,[1]Sheet1!$A$2:$Q$1536,16,FALSE)</f>
        <v>8676.1219526653676</v>
      </c>
      <c r="U719" s="27">
        <f t="shared" si="34"/>
        <v>0.52743863878717723</v>
      </c>
      <c r="V719" s="19">
        <f>VLOOKUP(A719,[1]Sheet1!$A$2:$Q$1536,17,FALSE)</f>
        <v>1281.388061523438</v>
      </c>
      <c r="W719" s="27">
        <f t="shared" si="35"/>
        <v>-2.1996552200787041</v>
      </c>
    </row>
    <row r="720" spans="1:23" x14ac:dyDescent="0.3">
      <c r="A720" s="4" t="s">
        <v>279</v>
      </c>
      <c r="B720" s="5">
        <v>2015</v>
      </c>
      <c r="C720" s="5" t="s">
        <v>237</v>
      </c>
      <c r="D720" s="15" t="s">
        <v>280</v>
      </c>
      <c r="E720" s="6">
        <v>120452</v>
      </c>
      <c r="F720" s="5" t="s">
        <v>61</v>
      </c>
      <c r="G720" s="5" t="s">
        <v>25</v>
      </c>
      <c r="H720" s="5" t="s">
        <v>18</v>
      </c>
      <c r="I720" s="5" t="s">
        <v>17</v>
      </c>
      <c r="J720" s="7">
        <v>45379</v>
      </c>
      <c r="K720" s="5" t="s">
        <v>17</v>
      </c>
      <c r="L720" s="8">
        <v>44067</v>
      </c>
      <c r="M720" s="19">
        <v>235</v>
      </c>
      <c r="N720" s="19">
        <v>285</v>
      </c>
      <c r="O720" s="24">
        <v>0</v>
      </c>
      <c r="P720" s="24">
        <v>2200</v>
      </c>
      <c r="Q720" t="s">
        <v>1983</v>
      </c>
      <c r="R720" s="19">
        <f>VLOOKUP(A720,[1]Sheet1!$A$2:$Q$1536,15,FALSE)</f>
        <v>2878.308837890625</v>
      </c>
      <c r="S720" s="27">
        <f t="shared" si="33"/>
        <v>0.23566228507560888</v>
      </c>
      <c r="T720" s="19">
        <f>VLOOKUP(A720,[1]Sheet1!$A$2:$Q$1536,16,FALSE)</f>
        <v>9184.0555130922003</v>
      </c>
      <c r="U720" s="27">
        <f t="shared" si="34"/>
        <v>0.7604544096163377</v>
      </c>
      <c r="V720" s="19">
        <f>VLOOKUP(A720,[1]Sheet1!$A$2:$Q$1536,17,FALSE)</f>
        <v>2700.09423828125</v>
      </c>
      <c r="W720" s="27">
        <f t="shared" si="35"/>
        <v>0.18521362372877248</v>
      </c>
    </row>
    <row r="721" spans="1:23" x14ac:dyDescent="0.3">
      <c r="A721" s="4" t="s">
        <v>327</v>
      </c>
      <c r="B721" s="5">
        <v>2014</v>
      </c>
      <c r="C721" s="5" t="s">
        <v>237</v>
      </c>
      <c r="D721" s="15" t="s">
        <v>306</v>
      </c>
      <c r="E721" s="6">
        <v>146545</v>
      </c>
      <c r="F721" s="5" t="s">
        <v>57</v>
      </c>
      <c r="G721" s="5" t="s">
        <v>25</v>
      </c>
      <c r="H721" s="5" t="s">
        <v>18</v>
      </c>
      <c r="I721" s="5" t="s">
        <v>17</v>
      </c>
      <c r="J721" s="7">
        <v>45701</v>
      </c>
      <c r="K721" s="5" t="s">
        <v>17</v>
      </c>
      <c r="L721" s="8">
        <v>44128</v>
      </c>
      <c r="M721" s="19">
        <v>264</v>
      </c>
      <c r="N721" s="19">
        <v>314</v>
      </c>
      <c r="O721" s="24">
        <v>0</v>
      </c>
      <c r="P721" s="24">
        <v>3200</v>
      </c>
      <c r="Q721" t="s">
        <v>1983</v>
      </c>
      <c r="R721" s="19">
        <f>VLOOKUP(A721,[1]Sheet1!$A$2:$Q$1536,15,FALSE)</f>
        <v>1897.36865234375</v>
      </c>
      <c r="S721" s="27">
        <f t="shared" si="33"/>
        <v>-0.68654625765380761</v>
      </c>
      <c r="T721" s="19">
        <f>VLOOKUP(A721,[1]Sheet1!$A$2:$Q$1536,16,FALSE)</f>
        <v>9190.1972929737076</v>
      </c>
      <c r="U721" s="27">
        <f t="shared" si="34"/>
        <v>0.65180290498806437</v>
      </c>
      <c r="V721" s="19">
        <f>VLOOKUP(A721,[1]Sheet1!$A$2:$Q$1536,17,FALSE)</f>
        <v>1785.74853515625</v>
      </c>
      <c r="W721" s="27">
        <f t="shared" si="35"/>
        <v>-0.79196563065919323</v>
      </c>
    </row>
    <row r="722" spans="1:23" x14ac:dyDescent="0.3">
      <c r="A722" s="4" t="s">
        <v>1149</v>
      </c>
      <c r="B722" s="5">
        <v>2019</v>
      </c>
      <c r="C722" s="5" t="s">
        <v>636</v>
      </c>
      <c r="D722" s="15" t="s">
        <v>1142</v>
      </c>
      <c r="E722" s="6">
        <v>124798</v>
      </c>
      <c r="F722" s="5" t="s">
        <v>36</v>
      </c>
      <c r="G722" s="5" t="s">
        <v>25</v>
      </c>
      <c r="H722" s="5" t="s">
        <v>18</v>
      </c>
      <c r="I722" s="5" t="s">
        <v>17</v>
      </c>
      <c r="J722" s="7">
        <v>45610</v>
      </c>
      <c r="K722" s="5" t="s">
        <v>17</v>
      </c>
      <c r="L722" s="8">
        <v>44113</v>
      </c>
      <c r="M722" s="19">
        <v>264</v>
      </c>
      <c r="N722" s="19">
        <v>314</v>
      </c>
      <c r="O722" s="24">
        <v>3000</v>
      </c>
      <c r="P722" s="24">
        <v>10500</v>
      </c>
      <c r="Q722" t="s">
        <v>1983</v>
      </c>
      <c r="R722" s="19">
        <f>VLOOKUP(A722,[1]Sheet1!$A$2:$Q$1536,15,FALSE)</f>
        <v>3282.042236328125</v>
      </c>
      <c r="S722" s="27">
        <f t="shared" si="33"/>
        <v>-2.1992275674511621</v>
      </c>
      <c r="T722" s="19">
        <f>VLOOKUP(A722,[1]Sheet1!$A$2:$Q$1536,16,FALSE)</f>
        <v>8837.9183666291647</v>
      </c>
      <c r="U722" s="27">
        <f t="shared" si="34"/>
        <v>-0.18806256908262928</v>
      </c>
      <c r="V722" s="19">
        <f>VLOOKUP(A722,[1]Sheet1!$A$2:$Q$1536,17,FALSE)</f>
        <v>3210.5380859375</v>
      </c>
      <c r="W722" s="27">
        <f t="shared" si="35"/>
        <v>-2.2704798133344446</v>
      </c>
    </row>
    <row r="723" spans="1:23" x14ac:dyDescent="0.3">
      <c r="A723" s="4" t="s">
        <v>1679</v>
      </c>
      <c r="B723" s="5">
        <v>2014</v>
      </c>
      <c r="C723" s="5" t="s">
        <v>1089</v>
      </c>
      <c r="D723" s="15" t="s">
        <v>1666</v>
      </c>
      <c r="E723" s="6">
        <v>119707</v>
      </c>
      <c r="F723" s="5" t="s">
        <v>164</v>
      </c>
      <c r="G723" s="5" t="s">
        <v>33</v>
      </c>
      <c r="H723" s="5" t="s">
        <v>17</v>
      </c>
      <c r="I723" s="5" t="s">
        <v>18</v>
      </c>
      <c r="J723" s="7">
        <v>45365</v>
      </c>
      <c r="K723" s="5" t="s">
        <v>17</v>
      </c>
      <c r="L723" s="8">
        <v>44444</v>
      </c>
      <c r="M723" s="19">
        <v>264</v>
      </c>
      <c r="N723" s="19">
        <v>314</v>
      </c>
      <c r="O723" s="24">
        <v>0</v>
      </c>
      <c r="P723" s="24">
        <v>9000</v>
      </c>
      <c r="Q723" t="s">
        <v>1983</v>
      </c>
      <c r="R723" s="19">
        <f>VLOOKUP(A723,[1]Sheet1!$A$2:$Q$1536,15,FALSE)</f>
        <v>4714.17138671875</v>
      </c>
      <c r="S723" s="27">
        <f t="shared" si="33"/>
        <v>-0.90913720815406251</v>
      </c>
      <c r="T723" s="19">
        <f>VLOOKUP(A723,[1]Sheet1!$A$2:$Q$1536,16,FALSE)</f>
        <v>8740.1291091384428</v>
      </c>
      <c r="U723" s="27">
        <f t="shared" si="34"/>
        <v>-2.9733072316957335E-2</v>
      </c>
      <c r="V723" s="19">
        <f>VLOOKUP(A723,[1]Sheet1!$A$2:$Q$1536,17,FALSE)</f>
        <v>4667.08935546875</v>
      </c>
      <c r="W723" s="27">
        <f t="shared" si="35"/>
        <v>-0.92839676177489083</v>
      </c>
    </row>
    <row r="724" spans="1:23" x14ac:dyDescent="0.3">
      <c r="A724" s="4" t="s">
        <v>450</v>
      </c>
      <c r="B724" s="5">
        <v>2017</v>
      </c>
      <c r="C724" s="5" t="s">
        <v>391</v>
      </c>
      <c r="D724" s="15" t="s">
        <v>432</v>
      </c>
      <c r="E724" s="6">
        <v>83824</v>
      </c>
      <c r="F724" s="5" t="s">
        <v>27</v>
      </c>
      <c r="G724" s="5" t="s">
        <v>33</v>
      </c>
      <c r="H724" s="5" t="s">
        <v>17</v>
      </c>
      <c r="I724" s="5" t="s">
        <v>18</v>
      </c>
      <c r="J724" s="7">
        <v>45344</v>
      </c>
      <c r="K724" s="5" t="s">
        <v>17</v>
      </c>
      <c r="L724" s="8">
        <v>44310</v>
      </c>
      <c r="M724" s="19">
        <v>235</v>
      </c>
      <c r="N724" s="19">
        <v>285</v>
      </c>
      <c r="O724" s="24">
        <v>3600</v>
      </c>
      <c r="P724" s="24">
        <v>10200</v>
      </c>
      <c r="Q724" t="s">
        <v>1983</v>
      </c>
      <c r="R724" s="19">
        <f>VLOOKUP(A724,[1]Sheet1!$A$2:$Q$1536,15,FALSE)</f>
        <v>5884.03857421875</v>
      </c>
      <c r="S724" s="27">
        <f t="shared" si="33"/>
        <v>-0.73350325143888084</v>
      </c>
      <c r="T724" s="19">
        <f>VLOOKUP(A724,[1]Sheet1!$A$2:$Q$1536,16,FALSE)</f>
        <v>9391.6223241089392</v>
      </c>
      <c r="U724" s="27">
        <f t="shared" si="34"/>
        <v>-8.6074338170083753E-2</v>
      </c>
      <c r="V724" s="19">
        <f>VLOOKUP(A724,[1]Sheet1!$A$2:$Q$1536,17,FALSE)</f>
        <v>5910.26318359375</v>
      </c>
      <c r="W724" s="27">
        <f t="shared" si="35"/>
        <v>-0.72581147119033451</v>
      </c>
    </row>
    <row r="725" spans="1:23" x14ac:dyDescent="0.3">
      <c r="A725" s="4" t="s">
        <v>1114</v>
      </c>
      <c r="B725" s="5">
        <v>2017</v>
      </c>
      <c r="C725" s="5" t="s">
        <v>1086</v>
      </c>
      <c r="D725" s="15" t="s">
        <v>1093</v>
      </c>
      <c r="E725" s="6">
        <v>98443</v>
      </c>
      <c r="F725" s="5" t="s">
        <v>38</v>
      </c>
      <c r="G725" s="5" t="s">
        <v>25</v>
      </c>
      <c r="H725" s="5" t="s">
        <v>18</v>
      </c>
      <c r="I725" s="5" t="s">
        <v>17</v>
      </c>
      <c r="J725" s="7">
        <v>45351</v>
      </c>
      <c r="K725" s="5" t="s">
        <v>17</v>
      </c>
      <c r="L725" s="8">
        <v>44137</v>
      </c>
      <c r="M725" s="19">
        <v>280</v>
      </c>
      <c r="N725" s="19">
        <v>330</v>
      </c>
      <c r="O725" s="24">
        <v>3500</v>
      </c>
      <c r="P725" s="24">
        <v>8100</v>
      </c>
      <c r="Q725" t="s">
        <v>1983</v>
      </c>
      <c r="R725" s="19">
        <f>VLOOKUP(A725,[1]Sheet1!$A$2:$Q$1536,15,FALSE)</f>
        <v>2878.157470703125</v>
      </c>
      <c r="S725" s="27">
        <f t="shared" si="33"/>
        <v>-1.8143004969152001</v>
      </c>
      <c r="T725" s="19">
        <f>VLOOKUP(A725,[1]Sheet1!$A$2:$Q$1536,16,FALSE)</f>
        <v>8719.7454167714295</v>
      </c>
      <c r="U725" s="27">
        <f t="shared" si="34"/>
        <v>7.1073797129377239E-2</v>
      </c>
      <c r="V725" s="19">
        <f>VLOOKUP(A725,[1]Sheet1!$A$2:$Q$1536,17,FALSE)</f>
        <v>2697.9189453125</v>
      </c>
      <c r="W725" s="27">
        <f t="shared" si="35"/>
        <v>-2.0023140665783705</v>
      </c>
    </row>
    <row r="726" spans="1:23" x14ac:dyDescent="0.3">
      <c r="A726" s="4" t="s">
        <v>456</v>
      </c>
      <c r="B726" s="5">
        <v>2015</v>
      </c>
      <c r="C726" s="5" t="s">
        <v>391</v>
      </c>
      <c r="D726" s="15" t="s">
        <v>413</v>
      </c>
      <c r="E726" s="6">
        <v>89479</v>
      </c>
      <c r="F726" s="5" t="s">
        <v>73</v>
      </c>
      <c r="G726" s="5" t="s">
        <v>22</v>
      </c>
      <c r="H726" s="5" t="s">
        <v>18</v>
      </c>
      <c r="I726" s="5" t="s">
        <v>17</v>
      </c>
      <c r="J726" s="7">
        <v>45300</v>
      </c>
      <c r="K726" s="5" t="s">
        <v>17</v>
      </c>
      <c r="L726" s="8">
        <v>44451</v>
      </c>
      <c r="M726" s="19">
        <v>264</v>
      </c>
      <c r="N726" s="19">
        <v>314</v>
      </c>
      <c r="O726" s="24">
        <v>2700</v>
      </c>
      <c r="P726" s="24">
        <v>3200</v>
      </c>
      <c r="Q726" t="s">
        <v>1983</v>
      </c>
      <c r="R726" s="19">
        <f>VLOOKUP(A726,[1]Sheet1!$A$2:$Q$1536,15,FALSE)</f>
        <v>4115.2431640625</v>
      </c>
      <c r="S726" s="27">
        <f t="shared" si="33"/>
        <v>0.22240317949012448</v>
      </c>
      <c r="T726" s="19">
        <f>VLOOKUP(A726,[1]Sheet1!$A$2:$Q$1536,16,FALSE)</f>
        <v>9397.9018918331585</v>
      </c>
      <c r="U726" s="27">
        <f t="shared" si="34"/>
        <v>0.65949846712266469</v>
      </c>
      <c r="V726" s="19">
        <f>VLOOKUP(A726,[1]Sheet1!$A$2:$Q$1536,17,FALSE)</f>
        <v>4056.57470703125</v>
      </c>
      <c r="W726" s="27">
        <f t="shared" si="35"/>
        <v>0.21115713844652026</v>
      </c>
    </row>
    <row r="727" spans="1:23" x14ac:dyDescent="0.3">
      <c r="A727" s="4" t="s">
        <v>1171</v>
      </c>
      <c r="B727" s="5">
        <v>2017</v>
      </c>
      <c r="C727" s="5" t="s">
        <v>636</v>
      </c>
      <c r="D727" s="15" t="s">
        <v>1164</v>
      </c>
      <c r="E727" s="6">
        <v>160297</v>
      </c>
      <c r="F727" s="5" t="s">
        <v>132</v>
      </c>
      <c r="G727" s="5" t="s">
        <v>25</v>
      </c>
      <c r="H727" s="5" t="s">
        <v>18</v>
      </c>
      <c r="I727" s="5" t="s">
        <v>17</v>
      </c>
      <c r="J727" s="7">
        <v>45435</v>
      </c>
      <c r="K727" s="5" t="s">
        <v>17</v>
      </c>
      <c r="L727" s="8">
        <v>44128</v>
      </c>
      <c r="M727" s="19">
        <v>264</v>
      </c>
      <c r="N727" s="19">
        <v>314</v>
      </c>
      <c r="O727" s="24">
        <v>1200</v>
      </c>
      <c r="P727" s="24">
        <v>5500</v>
      </c>
      <c r="Q727" t="s">
        <v>1983</v>
      </c>
      <c r="R727" s="19">
        <f>VLOOKUP(A727,[1]Sheet1!$A$2:$Q$1536,15,FALSE)</f>
        <v>1898.469482421875</v>
      </c>
      <c r="S727" s="27">
        <f t="shared" si="33"/>
        <v>-1.8970705354629442</v>
      </c>
      <c r="T727" s="19">
        <f>VLOOKUP(A727,[1]Sheet1!$A$2:$Q$1536,16,FALSE)</f>
        <v>8735.6542430819554</v>
      </c>
      <c r="U727" s="27">
        <f t="shared" si="34"/>
        <v>0.37039632671409511</v>
      </c>
      <c r="V727" s="19">
        <f>VLOOKUP(A727,[1]Sheet1!$A$2:$Q$1536,17,FALSE)</f>
        <v>1783.572998046875</v>
      </c>
      <c r="W727" s="27">
        <f t="shared" si="35"/>
        <v>-2.0836977269911841</v>
      </c>
    </row>
    <row r="728" spans="1:23" x14ac:dyDescent="0.3">
      <c r="A728" s="4" t="s">
        <v>1759</v>
      </c>
      <c r="B728" s="5">
        <v>2020</v>
      </c>
      <c r="C728" s="5" t="s">
        <v>1086</v>
      </c>
      <c r="D728" s="15" t="s">
        <v>1758</v>
      </c>
      <c r="E728" s="6">
        <v>80143</v>
      </c>
      <c r="F728" s="5" t="s">
        <v>73</v>
      </c>
      <c r="G728" s="5" t="s">
        <v>28</v>
      </c>
      <c r="H728" s="5" t="s">
        <v>17</v>
      </c>
      <c r="I728" s="5" t="s">
        <v>18</v>
      </c>
      <c r="J728" s="7">
        <v>45596</v>
      </c>
      <c r="K728" s="5" t="s">
        <v>17</v>
      </c>
      <c r="L728" s="8">
        <v>43605</v>
      </c>
      <c r="M728" s="19">
        <v>264</v>
      </c>
      <c r="N728" s="19">
        <v>314</v>
      </c>
      <c r="O728" s="24">
        <v>6800</v>
      </c>
      <c r="P728" s="24">
        <v>9500</v>
      </c>
      <c r="Q728" t="s">
        <v>1983</v>
      </c>
      <c r="R728" s="19">
        <f>VLOOKUP(A728,[1]Sheet1!$A$2:$Q$1536,15,FALSE)</f>
        <v>5303.50439453125</v>
      </c>
      <c r="S728" s="27">
        <f t="shared" si="33"/>
        <v>-0.79126843183084739</v>
      </c>
      <c r="T728" s="19">
        <f>VLOOKUP(A728,[1]Sheet1!$A$2:$Q$1536,16,FALSE)</f>
        <v>10189.69369102491</v>
      </c>
      <c r="U728" s="27">
        <f t="shared" si="34"/>
        <v>6.7685419399053412E-2</v>
      </c>
      <c r="V728" s="19">
        <f>VLOOKUP(A728,[1]Sheet1!$A$2:$Q$1536,17,FALSE)</f>
        <v>5160.84130859375</v>
      </c>
      <c r="W728" s="27">
        <f t="shared" si="35"/>
        <v>-0.84078514179088448</v>
      </c>
    </row>
    <row r="729" spans="1:23" x14ac:dyDescent="0.3">
      <c r="A729" s="4" t="s">
        <v>442</v>
      </c>
      <c r="B729" s="5">
        <v>2014</v>
      </c>
      <c r="C729" s="5" t="s">
        <v>391</v>
      </c>
      <c r="D729" s="15" t="s">
        <v>432</v>
      </c>
      <c r="E729" s="6">
        <v>136990</v>
      </c>
      <c r="F729" s="5" t="s">
        <v>36</v>
      </c>
      <c r="G729" s="5" t="s">
        <v>25</v>
      </c>
      <c r="H729" s="5" t="s">
        <v>18</v>
      </c>
      <c r="I729" s="5" t="s">
        <v>17</v>
      </c>
      <c r="J729" s="7">
        <v>45370</v>
      </c>
      <c r="K729" s="5" t="s">
        <v>17</v>
      </c>
      <c r="L729" s="8">
        <v>44483</v>
      </c>
      <c r="M729" s="19">
        <v>264</v>
      </c>
      <c r="N729" s="19">
        <v>314</v>
      </c>
      <c r="O729" s="24">
        <v>0</v>
      </c>
      <c r="P729" s="24">
        <v>4600</v>
      </c>
      <c r="Q729" t="s">
        <v>1983</v>
      </c>
      <c r="R729" s="19">
        <f>VLOOKUP(A729,[1]Sheet1!$A$2:$Q$1536,15,FALSE)</f>
        <v>2435.096435546875</v>
      </c>
      <c r="S729" s="27">
        <f t="shared" si="33"/>
        <v>-0.88904222964251112</v>
      </c>
      <c r="T729" s="19">
        <f>VLOOKUP(A729,[1]Sheet1!$A$2:$Q$1536,16,FALSE)</f>
        <v>9290.6954924099009</v>
      </c>
      <c r="U729" s="27">
        <f t="shared" si="34"/>
        <v>0.5048809850933117</v>
      </c>
      <c r="V729" s="19">
        <f>VLOOKUP(A729,[1]Sheet1!$A$2:$Q$1536,17,FALSE)</f>
        <v>2358.90087890625</v>
      </c>
      <c r="W729" s="27">
        <f t="shared" si="35"/>
        <v>-0.95006074275273444</v>
      </c>
    </row>
    <row r="730" spans="1:23" x14ac:dyDescent="0.3">
      <c r="A730" s="4" t="s">
        <v>557</v>
      </c>
      <c r="B730" s="5">
        <v>2015</v>
      </c>
      <c r="C730" s="5" t="s">
        <v>391</v>
      </c>
      <c r="D730" s="15" t="s">
        <v>547</v>
      </c>
      <c r="E730" s="6">
        <v>173175</v>
      </c>
      <c r="F730" s="5" t="s">
        <v>27</v>
      </c>
      <c r="G730" s="5" t="s">
        <v>25</v>
      </c>
      <c r="H730" s="5" t="s">
        <v>18</v>
      </c>
      <c r="I730" s="5" t="s">
        <v>17</v>
      </c>
      <c r="J730" s="7">
        <v>45328</v>
      </c>
      <c r="K730" s="5" t="s">
        <v>17</v>
      </c>
      <c r="L730" s="8">
        <v>44307</v>
      </c>
      <c r="M730" s="19">
        <v>235</v>
      </c>
      <c r="N730" s="19">
        <v>285</v>
      </c>
      <c r="O730" s="24">
        <v>7500</v>
      </c>
      <c r="P730" s="24">
        <v>12000</v>
      </c>
      <c r="Q730" t="s">
        <v>1983</v>
      </c>
      <c r="R730" s="19">
        <f>VLOOKUP(A730,[1]Sheet1!$A$2:$Q$1536,15,FALSE)</f>
        <v>5576.669921875</v>
      </c>
      <c r="S730" s="27">
        <f t="shared" si="33"/>
        <v>-1.1518218162650971</v>
      </c>
      <c r="T730" s="19">
        <f>VLOOKUP(A730,[1]Sheet1!$A$2:$Q$1536,16,FALSE)</f>
        <v>10628.046407154419</v>
      </c>
      <c r="U730" s="27">
        <f t="shared" si="34"/>
        <v>-0.12908803182511799</v>
      </c>
      <c r="V730" s="19">
        <f>VLOOKUP(A730,[1]Sheet1!$A$2:$Q$1536,17,FALSE)</f>
        <v>5205.92724609375</v>
      </c>
      <c r="W730" s="27">
        <f t="shared" si="35"/>
        <v>-1.3050648679357091</v>
      </c>
    </row>
    <row r="731" spans="1:23" x14ac:dyDescent="0.3">
      <c r="A731" s="4" t="s">
        <v>513</v>
      </c>
      <c r="B731" s="5">
        <v>2017</v>
      </c>
      <c r="C731" s="5" t="s">
        <v>391</v>
      </c>
      <c r="D731" s="15" t="s">
        <v>394</v>
      </c>
      <c r="E731" s="6">
        <v>60108</v>
      </c>
      <c r="F731" s="5" t="s">
        <v>38</v>
      </c>
      <c r="G731" s="5" t="s">
        <v>25</v>
      </c>
      <c r="H731" s="5" t="s">
        <v>18</v>
      </c>
      <c r="I731" s="5" t="s">
        <v>17</v>
      </c>
      <c r="J731" s="7">
        <v>45510</v>
      </c>
      <c r="K731" s="5" t="s">
        <v>17</v>
      </c>
      <c r="L731" s="8">
        <v>44307</v>
      </c>
      <c r="M731" s="19">
        <v>235</v>
      </c>
      <c r="N731" s="19">
        <v>285</v>
      </c>
      <c r="O731" s="24">
        <v>4300</v>
      </c>
      <c r="P731" s="24">
        <v>15300</v>
      </c>
      <c r="Q731" t="s">
        <v>1983</v>
      </c>
      <c r="R731" s="19">
        <f>VLOOKUP(A731,[1]Sheet1!$A$2:$Q$1536,15,FALSE)</f>
        <v>4782.5068359375</v>
      </c>
      <c r="S731" s="27">
        <f t="shared" si="33"/>
        <v>-2.1991590445893818</v>
      </c>
      <c r="T731" s="19">
        <f>VLOOKUP(A731,[1]Sheet1!$A$2:$Q$1536,16,FALSE)</f>
        <v>11150.44385848429</v>
      </c>
      <c r="U731" s="27">
        <f t="shared" si="34"/>
        <v>-0.37214268724902311</v>
      </c>
      <c r="V731" s="19">
        <f>VLOOKUP(A731,[1]Sheet1!$A$2:$Q$1536,17,FALSE)</f>
        <v>4550.703125</v>
      </c>
      <c r="W731" s="27">
        <f t="shared" si="35"/>
        <v>-2.3621178045975038</v>
      </c>
    </row>
    <row r="732" spans="1:23" x14ac:dyDescent="0.3">
      <c r="A732" s="4" t="s">
        <v>1359</v>
      </c>
      <c r="B732" s="5">
        <v>2013</v>
      </c>
      <c r="C732" s="5" t="s">
        <v>1089</v>
      </c>
      <c r="D732" s="15" t="s">
        <v>1328</v>
      </c>
      <c r="E732" s="6">
        <v>88506</v>
      </c>
      <c r="F732" s="5" t="s">
        <v>36</v>
      </c>
      <c r="G732" s="5" t="s">
        <v>25</v>
      </c>
      <c r="H732" s="5" t="s">
        <v>18</v>
      </c>
      <c r="I732" s="5" t="s">
        <v>17</v>
      </c>
      <c r="J732" s="7">
        <v>45664</v>
      </c>
      <c r="K732" s="5" t="s">
        <v>17</v>
      </c>
      <c r="L732" s="8">
        <v>44451</v>
      </c>
      <c r="M732" s="19">
        <v>264</v>
      </c>
      <c r="N732" s="19">
        <v>314</v>
      </c>
      <c r="O732" s="24">
        <v>1900</v>
      </c>
      <c r="P732" s="24">
        <v>2900</v>
      </c>
      <c r="Q732" t="s">
        <v>1983</v>
      </c>
      <c r="R732" s="19">
        <f>VLOOKUP(A732,[1]Sheet1!$A$2:$Q$1536,15,FALSE)</f>
        <v>1573.215087890625</v>
      </c>
      <c r="S732" s="27">
        <f t="shared" si="33"/>
        <v>-0.84335887846609403</v>
      </c>
      <c r="T732" s="19">
        <f>VLOOKUP(A732,[1]Sheet1!$A$2:$Q$1536,16,FALSE)</f>
        <v>8834.3420857716774</v>
      </c>
      <c r="U732" s="27">
        <f t="shared" si="34"/>
        <v>0.67173560047322012</v>
      </c>
      <c r="V732" s="19">
        <f>VLOOKUP(A732,[1]Sheet1!$A$2:$Q$1536,17,FALSE)</f>
        <v>1524.272094726562</v>
      </c>
      <c r="W732" s="27">
        <f t="shared" si="35"/>
        <v>-0.90254745857577923</v>
      </c>
    </row>
    <row r="733" spans="1:23" x14ac:dyDescent="0.3">
      <c r="A733" s="4" t="s">
        <v>1648</v>
      </c>
      <c r="B733" s="5">
        <v>2021</v>
      </c>
      <c r="C733" s="5" t="s">
        <v>391</v>
      </c>
      <c r="D733" s="15" t="s">
        <v>1060</v>
      </c>
      <c r="E733" s="6">
        <v>35989</v>
      </c>
      <c r="F733" s="5" t="s">
        <v>36</v>
      </c>
      <c r="G733" s="5" t="s">
        <v>28</v>
      </c>
      <c r="H733" s="5" t="s">
        <v>17</v>
      </c>
      <c r="I733" s="5" t="s">
        <v>18</v>
      </c>
      <c r="J733" s="7">
        <v>45701</v>
      </c>
      <c r="K733" s="5" t="s">
        <v>17</v>
      </c>
      <c r="L733" s="8">
        <v>44310</v>
      </c>
      <c r="M733" s="19">
        <v>235</v>
      </c>
      <c r="N733" s="19">
        <v>285</v>
      </c>
      <c r="O733" s="24">
        <v>0</v>
      </c>
      <c r="P733" s="24">
        <v>17300</v>
      </c>
      <c r="Q733" t="s">
        <v>1983</v>
      </c>
      <c r="R733" s="19">
        <f>VLOOKUP(A733,[1]Sheet1!$A$2:$Q$1536,15,FALSE)</f>
        <v>12401.4296875</v>
      </c>
      <c r="S733" s="27">
        <f t="shared" si="33"/>
        <v>-0.39500045042689763</v>
      </c>
      <c r="T733" s="19">
        <f>VLOOKUP(A733,[1]Sheet1!$A$2:$Q$1536,16,FALSE)</f>
        <v>14220.725686421671</v>
      </c>
      <c r="U733" s="27">
        <f t="shared" si="34"/>
        <v>-0.21653426002855136</v>
      </c>
      <c r="V733" s="19">
        <f>VLOOKUP(A733,[1]Sheet1!$A$2:$Q$1536,17,FALSE)</f>
        <v>11868.626953125</v>
      </c>
      <c r="W733" s="27">
        <f t="shared" si="35"/>
        <v>-0.45762437966296715</v>
      </c>
    </row>
    <row r="734" spans="1:23" x14ac:dyDescent="0.3">
      <c r="A734" s="4" t="s">
        <v>787</v>
      </c>
      <c r="B734" s="5">
        <v>2014</v>
      </c>
      <c r="C734" s="5" t="s">
        <v>391</v>
      </c>
      <c r="D734" s="15" t="s">
        <v>429</v>
      </c>
      <c r="E734" s="6">
        <v>63137</v>
      </c>
      <c r="F734" s="5" t="s">
        <v>92</v>
      </c>
      <c r="G734" s="5" t="s">
        <v>16</v>
      </c>
      <c r="H734" s="5" t="s">
        <v>17</v>
      </c>
      <c r="I734" s="5" t="s">
        <v>18</v>
      </c>
      <c r="J734" s="7">
        <v>45314</v>
      </c>
      <c r="K734" s="5" t="s">
        <v>17</v>
      </c>
      <c r="L734" s="8">
        <v>44128</v>
      </c>
      <c r="M734" s="19">
        <v>264</v>
      </c>
      <c r="N734" s="19">
        <v>314</v>
      </c>
      <c r="O734" s="24">
        <v>12300</v>
      </c>
      <c r="P734" s="24">
        <v>13800</v>
      </c>
      <c r="Q734" t="s">
        <v>1983</v>
      </c>
      <c r="R734" s="19">
        <f>VLOOKUP(A734,[1]Sheet1!$A$2:$Q$1536,15,FALSE)</f>
        <v>9848.5205078125</v>
      </c>
      <c r="S734" s="27">
        <f t="shared" si="33"/>
        <v>-0.40122569568220162</v>
      </c>
      <c r="T734" s="19">
        <f>VLOOKUP(A734,[1]Sheet1!$A$2:$Q$1536,16,FALSE)</f>
        <v>12590.482828405469</v>
      </c>
      <c r="U734" s="27">
        <f t="shared" si="34"/>
        <v>-9.6065987943348072E-2</v>
      </c>
      <c r="V734" s="19">
        <f>VLOOKUP(A734,[1]Sheet1!$A$2:$Q$1536,17,FALSE)</f>
        <v>9584.09765625</v>
      </c>
      <c r="W734" s="27">
        <f t="shared" si="35"/>
        <v>-0.43988516133292088</v>
      </c>
    </row>
    <row r="735" spans="1:23" x14ac:dyDescent="0.3">
      <c r="A735" s="4" t="s">
        <v>1152</v>
      </c>
      <c r="B735" s="5">
        <v>2016</v>
      </c>
      <c r="C735" s="5" t="s">
        <v>636</v>
      </c>
      <c r="D735" s="15" t="s">
        <v>1142</v>
      </c>
      <c r="E735" s="6">
        <v>116539</v>
      </c>
      <c r="F735" s="5" t="s">
        <v>32</v>
      </c>
      <c r="G735" s="5" t="s">
        <v>33</v>
      </c>
      <c r="H735" s="5" t="s">
        <v>18</v>
      </c>
      <c r="I735" s="5" t="s">
        <v>17</v>
      </c>
      <c r="J735" s="7">
        <v>45664</v>
      </c>
      <c r="K735" s="5" t="s">
        <v>17</v>
      </c>
      <c r="L735" s="8">
        <v>44444</v>
      </c>
      <c r="M735" s="19">
        <v>264</v>
      </c>
      <c r="N735" s="19">
        <v>314</v>
      </c>
      <c r="O735" s="24">
        <v>1900</v>
      </c>
      <c r="P735" s="24">
        <v>7000</v>
      </c>
      <c r="Q735" t="s">
        <v>1983</v>
      </c>
      <c r="R735" s="19">
        <f>VLOOKUP(A735,[1]Sheet1!$A$2:$Q$1536,15,FALSE)</f>
        <v>1934.408325195312</v>
      </c>
      <c r="S735" s="27">
        <f t="shared" si="33"/>
        <v>-2.6186775608987456</v>
      </c>
      <c r="T735" s="19">
        <f>VLOOKUP(A735,[1]Sheet1!$A$2:$Q$1536,16,FALSE)</f>
        <v>8672.5113077763126</v>
      </c>
      <c r="U735" s="27">
        <f t="shared" si="34"/>
        <v>0.19285201810883026</v>
      </c>
      <c r="V735" s="19">
        <f>VLOOKUP(A735,[1]Sheet1!$A$2:$Q$1536,17,FALSE)</f>
        <v>1890.613037109375</v>
      </c>
      <c r="W735" s="27">
        <f t="shared" si="35"/>
        <v>-2.7025027663527315</v>
      </c>
    </row>
    <row r="736" spans="1:23" x14ac:dyDescent="0.3">
      <c r="A736" s="4" t="s">
        <v>1783</v>
      </c>
      <c r="B736" s="5">
        <v>2015</v>
      </c>
      <c r="C736" s="5" t="s">
        <v>1086</v>
      </c>
      <c r="D736" s="15" t="s">
        <v>1758</v>
      </c>
      <c r="E736" s="6">
        <v>97029</v>
      </c>
      <c r="F736" s="5" t="s">
        <v>92</v>
      </c>
      <c r="G736" s="5" t="s">
        <v>33</v>
      </c>
      <c r="H736" s="5" t="s">
        <v>17</v>
      </c>
      <c r="I736" s="5" t="s">
        <v>18</v>
      </c>
      <c r="J736" s="7">
        <v>45645</v>
      </c>
      <c r="K736" s="5" t="s">
        <v>17</v>
      </c>
      <c r="L736" s="8">
        <v>43950</v>
      </c>
      <c r="M736" s="19">
        <v>264</v>
      </c>
      <c r="N736" s="19">
        <v>314</v>
      </c>
      <c r="O736" s="24">
        <v>3500</v>
      </c>
      <c r="P736" s="24">
        <v>5900</v>
      </c>
      <c r="Q736" t="s">
        <v>1983</v>
      </c>
      <c r="R736" s="19">
        <f>VLOOKUP(A736,[1]Sheet1!$A$2:$Q$1536,15,FALSE)</f>
        <v>5119.0302734375</v>
      </c>
      <c r="S736" s="27">
        <f t="shared" si="33"/>
        <v>-0.152562044927714</v>
      </c>
      <c r="T736" s="19">
        <f>VLOOKUP(A736,[1]Sheet1!$A$2:$Q$1536,16,FALSE)</f>
        <v>9721.1526386102068</v>
      </c>
      <c r="U736" s="27">
        <f t="shared" si="34"/>
        <v>0.3930760868246691</v>
      </c>
      <c r="V736" s="19">
        <f>VLOOKUP(A736,[1]Sheet1!$A$2:$Q$1536,17,FALSE)</f>
        <v>5092.7900390625</v>
      </c>
      <c r="W736" s="27">
        <f t="shared" si="35"/>
        <v>-0.15850053796564806</v>
      </c>
    </row>
    <row r="737" spans="1:23" x14ac:dyDescent="0.3">
      <c r="A737" s="4" t="s">
        <v>650</v>
      </c>
      <c r="B737" s="5">
        <v>2017</v>
      </c>
      <c r="C737" s="5" t="s">
        <v>636</v>
      </c>
      <c r="D737" s="15" t="s">
        <v>641</v>
      </c>
      <c r="E737" s="6">
        <v>166464</v>
      </c>
      <c r="F737" s="5" t="s">
        <v>21</v>
      </c>
      <c r="G737" s="5" t="s">
        <v>25</v>
      </c>
      <c r="H737" s="5" t="s">
        <v>18</v>
      </c>
      <c r="I737" s="5" t="s">
        <v>17</v>
      </c>
      <c r="J737" s="7">
        <v>45589</v>
      </c>
      <c r="K737" s="5" t="s">
        <v>17</v>
      </c>
      <c r="L737" s="8">
        <v>44224</v>
      </c>
      <c r="M737" s="19">
        <v>235</v>
      </c>
      <c r="N737" s="19">
        <v>285</v>
      </c>
      <c r="O737" s="24">
        <v>0</v>
      </c>
      <c r="P737" s="24">
        <v>9300</v>
      </c>
      <c r="Q737" t="s">
        <v>1983</v>
      </c>
      <c r="R737" s="19">
        <f>VLOOKUP(A737,[1]Sheet1!$A$2:$Q$1536,15,FALSE)</f>
        <v>1611.99755859375</v>
      </c>
      <c r="S737" s="27">
        <f t="shared" si="33"/>
        <v>-4.7692395068594227</v>
      </c>
      <c r="T737" s="19">
        <f>VLOOKUP(A737,[1]Sheet1!$A$2:$Q$1536,16,FALSE)</f>
        <v>8825.2727075709263</v>
      </c>
      <c r="U737" s="27">
        <f t="shared" si="34"/>
        <v>-5.379179864003749E-2</v>
      </c>
      <c r="V737" s="19">
        <f>VLOOKUP(A737,[1]Sheet1!$A$2:$Q$1536,17,FALSE)</f>
        <v>1545.571166992188</v>
      </c>
      <c r="W737" s="27">
        <f t="shared" si="35"/>
        <v>-5.0171929954533159</v>
      </c>
    </row>
    <row r="738" spans="1:23" x14ac:dyDescent="0.3">
      <c r="A738" s="4" t="s">
        <v>1960</v>
      </c>
      <c r="B738" s="5">
        <v>2016</v>
      </c>
      <c r="C738" s="5" t="s">
        <v>96</v>
      </c>
      <c r="D738" s="15" t="s">
        <v>1959</v>
      </c>
      <c r="E738" s="6">
        <v>72400</v>
      </c>
      <c r="F738" s="5" t="s">
        <v>158</v>
      </c>
      <c r="G738" s="5" t="s">
        <v>16</v>
      </c>
      <c r="H738" s="5" t="s">
        <v>17</v>
      </c>
      <c r="I738" s="5" t="s">
        <v>18</v>
      </c>
      <c r="J738" s="7">
        <v>45498</v>
      </c>
      <c r="K738" s="5" t="s">
        <v>17</v>
      </c>
      <c r="L738" s="8">
        <v>44224</v>
      </c>
      <c r="M738" s="19">
        <v>235</v>
      </c>
      <c r="N738" s="19">
        <v>285</v>
      </c>
      <c r="O738" s="24">
        <v>0</v>
      </c>
      <c r="P738" s="24">
        <v>9500</v>
      </c>
      <c r="Q738" t="s">
        <v>1983</v>
      </c>
      <c r="R738" s="19">
        <f>VLOOKUP(A738,[1]Sheet1!$A$2:$Q$1536,15,FALSE)</f>
        <v>12027.072265625</v>
      </c>
      <c r="S738" s="27">
        <f t="shared" si="33"/>
        <v>0.21011533063185414</v>
      </c>
      <c r="T738" s="19">
        <f>VLOOKUP(A738,[1]Sheet1!$A$2:$Q$1536,16,FALSE)</f>
        <v>10251.992913484501</v>
      </c>
      <c r="U738" s="27">
        <f t="shared" si="34"/>
        <v>7.335090063273457E-2</v>
      </c>
      <c r="V738" s="19">
        <f>VLOOKUP(A738,[1]Sheet1!$A$2:$Q$1536,17,FALSE)</f>
        <v>12273.2841796875</v>
      </c>
      <c r="W738" s="27">
        <f t="shared" si="35"/>
        <v>0.22596104995901048</v>
      </c>
    </row>
    <row r="739" spans="1:23" x14ac:dyDescent="0.3">
      <c r="A739" s="4" t="s">
        <v>604</v>
      </c>
      <c r="B739" s="5">
        <v>2017</v>
      </c>
      <c r="C739" s="5" t="s">
        <v>391</v>
      </c>
      <c r="D739" s="15" t="s">
        <v>603</v>
      </c>
      <c r="E739" s="6">
        <v>164486</v>
      </c>
      <c r="F739" s="5" t="s">
        <v>40</v>
      </c>
      <c r="G739" s="5" t="s">
        <v>25</v>
      </c>
      <c r="H739" s="5" t="s">
        <v>18</v>
      </c>
      <c r="I739" s="5" t="s">
        <v>17</v>
      </c>
      <c r="J739" s="7">
        <v>45617</v>
      </c>
      <c r="K739" s="5" t="s">
        <v>17</v>
      </c>
      <c r="L739" s="8">
        <v>44128</v>
      </c>
      <c r="M739" s="19">
        <v>264</v>
      </c>
      <c r="N739" s="19">
        <v>314</v>
      </c>
      <c r="O739" s="24">
        <v>0</v>
      </c>
      <c r="P739" s="24">
        <v>12000</v>
      </c>
      <c r="Q739" t="s">
        <v>1983</v>
      </c>
      <c r="R739" s="19">
        <f>VLOOKUP(A739,[1]Sheet1!$A$2:$Q$1536,15,FALSE)</f>
        <v>2748.732666015625</v>
      </c>
      <c r="S739" s="27">
        <f t="shared" si="33"/>
        <v>-3.3656482670591532</v>
      </c>
      <c r="T739" s="19">
        <f>VLOOKUP(A739,[1]Sheet1!$A$2:$Q$1536,16,FALSE)</f>
        <v>9451.0969287322132</v>
      </c>
      <c r="U739" s="27">
        <f t="shared" si="34"/>
        <v>-0.26969388743849243</v>
      </c>
      <c r="V739" s="19">
        <f>VLOOKUP(A739,[1]Sheet1!$A$2:$Q$1536,17,FALSE)</f>
        <v>2713.12353515625</v>
      </c>
      <c r="W739" s="27">
        <f t="shared" si="35"/>
        <v>-3.4229464101084193</v>
      </c>
    </row>
    <row r="740" spans="1:23" x14ac:dyDescent="0.3">
      <c r="A740" s="4" t="s">
        <v>1841</v>
      </c>
      <c r="B740" s="5">
        <v>2016</v>
      </c>
      <c r="C740" s="5" t="s">
        <v>519</v>
      </c>
      <c r="D740" s="15" t="s">
        <v>1840</v>
      </c>
      <c r="E740" s="6">
        <v>89252</v>
      </c>
      <c r="F740" s="5" t="s">
        <v>64</v>
      </c>
      <c r="G740" s="5" t="s">
        <v>25</v>
      </c>
      <c r="H740" s="5" t="s">
        <v>18</v>
      </c>
      <c r="I740" s="5" t="s">
        <v>17</v>
      </c>
      <c r="J740" s="7">
        <v>45608</v>
      </c>
      <c r="K740" s="5" t="s">
        <v>17</v>
      </c>
      <c r="L740" s="8">
        <v>44907</v>
      </c>
      <c r="M740" s="19">
        <v>128</v>
      </c>
      <c r="N740" s="19">
        <v>158</v>
      </c>
      <c r="O740" s="24">
        <v>7800</v>
      </c>
      <c r="P740" s="24">
        <v>12600</v>
      </c>
      <c r="Q740" t="s">
        <v>1983</v>
      </c>
      <c r="R740" s="19">
        <f>VLOOKUP(A740,[1]Sheet1!$A$2:$Q$1536,15,FALSE)</f>
        <v>7278.958984375</v>
      </c>
      <c r="S740" s="27">
        <f t="shared" si="33"/>
        <v>-0.73101676037014862</v>
      </c>
      <c r="T740" s="19">
        <f>VLOOKUP(A740,[1]Sheet1!$A$2:$Q$1536,16,FALSE)</f>
        <v>9320.1713283739355</v>
      </c>
      <c r="U740" s="27">
        <f t="shared" si="34"/>
        <v>-0.35190647854735169</v>
      </c>
      <c r="V740" s="19">
        <f>VLOOKUP(A740,[1]Sheet1!$A$2:$Q$1536,17,FALSE)</f>
        <v>7289.4951171875</v>
      </c>
      <c r="W740" s="27">
        <f t="shared" si="35"/>
        <v>-0.72851477330592518</v>
      </c>
    </row>
    <row r="741" spans="1:23" x14ac:dyDescent="0.3">
      <c r="A741" s="4" t="s">
        <v>785</v>
      </c>
      <c r="B741" s="5">
        <v>2017</v>
      </c>
      <c r="C741" s="5" t="s">
        <v>391</v>
      </c>
      <c r="D741" s="15" t="s">
        <v>392</v>
      </c>
      <c r="E741" s="6">
        <v>112556</v>
      </c>
      <c r="F741" s="5" t="s">
        <v>42</v>
      </c>
      <c r="G741" s="5" t="s">
        <v>28</v>
      </c>
      <c r="H741" s="5" t="s">
        <v>17</v>
      </c>
      <c r="I741" s="5" t="s">
        <v>18</v>
      </c>
      <c r="J741" s="7">
        <v>45454</v>
      </c>
      <c r="K741" s="5" t="s">
        <v>17</v>
      </c>
      <c r="L741" s="8">
        <v>44028</v>
      </c>
      <c r="M741" s="19">
        <v>235</v>
      </c>
      <c r="N741" s="19">
        <v>285</v>
      </c>
      <c r="O741" s="24">
        <v>7200</v>
      </c>
      <c r="P741" s="24">
        <v>15500</v>
      </c>
      <c r="Q741" t="s">
        <v>1983</v>
      </c>
      <c r="R741" s="19">
        <f>VLOOKUP(A741,[1]Sheet1!$A$2:$Q$1536,15,FALSE)</f>
        <v>3919.964599609375</v>
      </c>
      <c r="S741" s="27">
        <f t="shared" si="33"/>
        <v>-2.9541173411475645</v>
      </c>
      <c r="T741" s="19">
        <f>VLOOKUP(A741,[1]Sheet1!$A$2:$Q$1536,16,FALSE)</f>
        <v>9361.2901070181215</v>
      </c>
      <c r="U741" s="27">
        <f t="shared" si="34"/>
        <v>-0.6557546900912421</v>
      </c>
      <c r="V741" s="19">
        <f>VLOOKUP(A741,[1]Sheet1!$A$2:$Q$1536,17,FALSE)</f>
        <v>3884.4296875</v>
      </c>
      <c r="W741" s="27">
        <f t="shared" si="35"/>
        <v>-2.990289758591492</v>
      </c>
    </row>
    <row r="742" spans="1:23" x14ac:dyDescent="0.3">
      <c r="A742" s="4" t="s">
        <v>1812</v>
      </c>
      <c r="B742" s="5">
        <v>2018</v>
      </c>
      <c r="C742" s="5" t="s">
        <v>237</v>
      </c>
      <c r="D742" s="15" t="s">
        <v>1808</v>
      </c>
      <c r="E742" s="6">
        <v>67136</v>
      </c>
      <c r="F742" s="5" t="s">
        <v>57</v>
      </c>
      <c r="G742" s="5" t="s">
        <v>33</v>
      </c>
      <c r="H742" s="5" t="s">
        <v>17</v>
      </c>
      <c r="I742" s="5" t="s">
        <v>18</v>
      </c>
      <c r="J742" s="7">
        <v>45678</v>
      </c>
      <c r="K742" s="5" t="s">
        <v>17</v>
      </c>
      <c r="L742" s="8">
        <v>44128</v>
      </c>
      <c r="M742" s="19">
        <v>264</v>
      </c>
      <c r="N742" s="19">
        <v>314</v>
      </c>
      <c r="O742" s="24">
        <v>7700</v>
      </c>
      <c r="P742" s="24">
        <v>11800</v>
      </c>
      <c r="Q742" t="s">
        <v>1983</v>
      </c>
      <c r="R742" s="19">
        <f>VLOOKUP(A742,[1]Sheet1!$A$2:$Q$1536,15,FALSE)</f>
        <v>7257.5380859375</v>
      </c>
      <c r="S742" s="27">
        <f t="shared" si="33"/>
        <v>-0.62589570461423527</v>
      </c>
      <c r="T742" s="19">
        <f>VLOOKUP(A742,[1]Sheet1!$A$2:$Q$1536,16,FALSE)</f>
        <v>10230.597067752309</v>
      </c>
      <c r="U742" s="27">
        <f t="shared" si="34"/>
        <v>-0.1534028680686271</v>
      </c>
      <c r="V742" s="19">
        <f>VLOOKUP(A742,[1]Sheet1!$A$2:$Q$1536,17,FALSE)</f>
        <v>7047.55908203125</v>
      </c>
      <c r="W742" s="27">
        <f t="shared" si="35"/>
        <v>-0.67433857065289049</v>
      </c>
    </row>
    <row r="743" spans="1:23" x14ac:dyDescent="0.3">
      <c r="A743" s="4" t="s">
        <v>1270</v>
      </c>
      <c r="B743" s="5">
        <v>2015</v>
      </c>
      <c r="C743" s="5" t="s">
        <v>519</v>
      </c>
      <c r="D743" s="15" t="s">
        <v>1267</v>
      </c>
      <c r="E743" s="6">
        <v>148715</v>
      </c>
      <c r="F743" s="5" t="s">
        <v>132</v>
      </c>
      <c r="G743" s="5" t="s">
        <v>25</v>
      </c>
      <c r="H743" s="5" t="s">
        <v>18</v>
      </c>
      <c r="I743" s="5" t="s">
        <v>17</v>
      </c>
      <c r="J743" s="7">
        <v>45580</v>
      </c>
      <c r="K743" s="5" t="s">
        <v>17</v>
      </c>
      <c r="L743" s="8">
        <v>44451</v>
      </c>
      <c r="M743" s="19">
        <v>264</v>
      </c>
      <c r="N743" s="19">
        <v>314</v>
      </c>
      <c r="O743" s="24">
        <v>3500</v>
      </c>
      <c r="P743" s="24">
        <v>5600</v>
      </c>
      <c r="Q743" t="s">
        <v>1983</v>
      </c>
      <c r="R743" s="19">
        <f>VLOOKUP(A743,[1]Sheet1!$A$2:$Q$1536,15,FALSE)</f>
        <v>1312.296508789062</v>
      </c>
      <c r="S743" s="27">
        <f t="shared" si="33"/>
        <v>-3.2673282771798799</v>
      </c>
      <c r="T743" s="19">
        <f>VLOOKUP(A743,[1]Sheet1!$A$2:$Q$1536,16,FALSE)</f>
        <v>8916.2194445257592</v>
      </c>
      <c r="U743" s="27">
        <f t="shared" si="34"/>
        <v>0.37193111555389091</v>
      </c>
      <c r="V743" s="19">
        <f>VLOOKUP(A743,[1]Sheet1!$A$2:$Q$1536,17,FALSE)</f>
        <v>1325.587768554688</v>
      </c>
      <c r="W743" s="27">
        <f t="shared" si="35"/>
        <v>-3.2245410925191176</v>
      </c>
    </row>
    <row r="744" spans="1:23" x14ac:dyDescent="0.3">
      <c r="A744" s="4" t="s">
        <v>1108</v>
      </c>
      <c r="B744" s="5">
        <v>2017</v>
      </c>
      <c r="C744" s="5" t="s">
        <v>1086</v>
      </c>
      <c r="D744" s="15" t="s">
        <v>1093</v>
      </c>
      <c r="E744" s="6">
        <v>130778</v>
      </c>
      <c r="F744" s="5" t="s">
        <v>144</v>
      </c>
      <c r="G744" s="5" t="s">
        <v>22</v>
      </c>
      <c r="H744" s="5" t="s">
        <v>18</v>
      </c>
      <c r="I744" s="5" t="s">
        <v>17</v>
      </c>
      <c r="J744" s="7">
        <v>45454</v>
      </c>
      <c r="K744" s="5" t="s">
        <v>17</v>
      </c>
      <c r="L744" s="8">
        <v>44310</v>
      </c>
      <c r="M744" s="19">
        <v>235</v>
      </c>
      <c r="N744" s="19">
        <v>285</v>
      </c>
      <c r="O744" s="24">
        <v>1600</v>
      </c>
      <c r="P744" s="24">
        <v>10400</v>
      </c>
      <c r="Q744" t="s">
        <v>1983</v>
      </c>
      <c r="R744" s="19">
        <f>VLOOKUP(A744,[1]Sheet1!$A$2:$Q$1536,15,FALSE)</f>
        <v>1966.435302734375</v>
      </c>
      <c r="S744" s="27">
        <f t="shared" si="33"/>
        <v>-4.2887577768455198</v>
      </c>
      <c r="T744" s="19">
        <f>VLOOKUP(A744,[1]Sheet1!$A$2:$Q$1536,16,FALSE)</f>
        <v>8522.7422494440107</v>
      </c>
      <c r="U744" s="27">
        <f t="shared" si="34"/>
        <v>-0.22026452233475136</v>
      </c>
      <c r="V744" s="19">
        <f>VLOOKUP(A744,[1]Sheet1!$A$2:$Q$1536,17,FALSE)</f>
        <v>1924.856323242188</v>
      </c>
      <c r="W744" s="27">
        <f t="shared" si="35"/>
        <v>-4.4030006678537212</v>
      </c>
    </row>
    <row r="745" spans="1:23" x14ac:dyDescent="0.3">
      <c r="A745" s="4" t="s">
        <v>995</v>
      </c>
      <c r="B745" s="5">
        <v>2016</v>
      </c>
      <c r="C745" s="5" t="s">
        <v>237</v>
      </c>
      <c r="D745" s="15" t="s">
        <v>238</v>
      </c>
      <c r="E745" s="6">
        <v>79076</v>
      </c>
      <c r="F745" s="5" t="s">
        <v>112</v>
      </c>
      <c r="G745" s="5" t="s">
        <v>134</v>
      </c>
      <c r="H745" s="5" t="s">
        <v>18</v>
      </c>
      <c r="I745" s="5" t="s">
        <v>17</v>
      </c>
      <c r="J745" s="7">
        <v>45302</v>
      </c>
      <c r="K745" s="5" t="s">
        <v>17</v>
      </c>
      <c r="L745" s="8">
        <v>44128</v>
      </c>
      <c r="M745" s="19">
        <v>264</v>
      </c>
      <c r="N745" s="19">
        <v>314</v>
      </c>
      <c r="O745" s="24">
        <v>0</v>
      </c>
      <c r="P745" s="24">
        <v>2700</v>
      </c>
      <c r="Q745" t="s">
        <v>1983</v>
      </c>
      <c r="R745" s="19">
        <f>VLOOKUP(A745,[1]Sheet1!$A$2:$Q$1536,15,FALSE)</f>
        <v>4721.6552734375</v>
      </c>
      <c r="S745" s="27">
        <f t="shared" si="33"/>
        <v>0.42816663995160265</v>
      </c>
      <c r="T745" s="19">
        <f>VLOOKUP(A745,[1]Sheet1!$A$2:$Q$1536,16,FALSE)</f>
        <v>9412.6865944425263</v>
      </c>
      <c r="U745" s="27">
        <f t="shared" si="34"/>
        <v>0.71315309684334505</v>
      </c>
      <c r="V745" s="19">
        <f>VLOOKUP(A745,[1]Sheet1!$A$2:$Q$1536,17,FALSE)</f>
        <v>4734.20703125</v>
      </c>
      <c r="W745" s="27">
        <f t="shared" si="35"/>
        <v>0.42968273626869602</v>
      </c>
    </row>
    <row r="746" spans="1:23" x14ac:dyDescent="0.3">
      <c r="A746" s="4" t="s">
        <v>696</v>
      </c>
      <c r="B746" s="5">
        <v>2015</v>
      </c>
      <c r="C746" s="5" t="s">
        <v>684</v>
      </c>
      <c r="D746" s="15" t="s">
        <v>693</v>
      </c>
      <c r="E746" s="6">
        <v>117781</v>
      </c>
      <c r="F746" s="5" t="s">
        <v>36</v>
      </c>
      <c r="G746" s="5" t="s">
        <v>28</v>
      </c>
      <c r="H746" s="5" t="s">
        <v>17</v>
      </c>
      <c r="I746" s="5" t="s">
        <v>18</v>
      </c>
      <c r="J746" s="7">
        <v>45300</v>
      </c>
      <c r="K746" s="5" t="s">
        <v>17</v>
      </c>
      <c r="L746" s="8">
        <v>44113</v>
      </c>
      <c r="M746" s="19">
        <v>264</v>
      </c>
      <c r="N746" s="19">
        <v>314</v>
      </c>
      <c r="O746" s="24">
        <v>4000</v>
      </c>
      <c r="P746" s="24">
        <v>6800</v>
      </c>
      <c r="Q746" t="s">
        <v>1983</v>
      </c>
      <c r="R746" s="19">
        <f>VLOOKUP(A746,[1]Sheet1!$A$2:$Q$1536,15,FALSE)</f>
        <v>1688.866455078125</v>
      </c>
      <c r="S746" s="27">
        <f t="shared" si="33"/>
        <v>-3.0263692724511126</v>
      </c>
      <c r="T746" s="19">
        <f>VLOOKUP(A746,[1]Sheet1!$A$2:$Q$1536,16,FALSE)</f>
        <v>8783.8696779760903</v>
      </c>
      <c r="U746" s="27">
        <f t="shared" si="34"/>
        <v>0.22585372400848255</v>
      </c>
      <c r="V746" s="19">
        <f>VLOOKUP(A746,[1]Sheet1!$A$2:$Q$1536,17,FALSE)</f>
        <v>1606.248657226562</v>
      </c>
      <c r="W746" s="27">
        <f t="shared" si="35"/>
        <v>-3.2334665740616129</v>
      </c>
    </row>
    <row r="747" spans="1:23" x14ac:dyDescent="0.3">
      <c r="A747" s="4" t="s">
        <v>1398</v>
      </c>
      <c r="B747" s="5">
        <v>2008</v>
      </c>
      <c r="C747" s="5" t="s">
        <v>920</v>
      </c>
      <c r="D747" s="15" t="s">
        <v>1399</v>
      </c>
      <c r="E747" s="6">
        <v>120407</v>
      </c>
      <c r="F747" s="5" t="s">
        <v>219</v>
      </c>
      <c r="G747" s="5" t="s">
        <v>22</v>
      </c>
      <c r="H747" s="5" t="s">
        <v>18</v>
      </c>
      <c r="I747" s="5" t="s">
        <v>17</v>
      </c>
      <c r="J747" s="7">
        <v>45575</v>
      </c>
      <c r="K747" s="5" t="s">
        <v>17</v>
      </c>
      <c r="L747" s="8">
        <v>43612</v>
      </c>
      <c r="M747" s="19">
        <v>264</v>
      </c>
      <c r="N747" s="19">
        <v>314</v>
      </c>
      <c r="O747" s="24">
        <v>0</v>
      </c>
      <c r="P747" s="24">
        <v>12800</v>
      </c>
      <c r="Q747" t="s">
        <v>1983</v>
      </c>
      <c r="R747" s="19">
        <f>VLOOKUP(A747,[1]Sheet1!$A$2:$Q$1536,15,FALSE)</f>
        <v>2254.14990234375</v>
      </c>
      <c r="S747" s="27">
        <f t="shared" si="33"/>
        <v>-4.6784156132168553</v>
      </c>
      <c r="T747" s="19">
        <f>VLOOKUP(A747,[1]Sheet1!$A$2:$Q$1536,16,FALSE)</f>
        <v>9368.1586559201969</v>
      </c>
      <c r="U747" s="27">
        <f t="shared" si="34"/>
        <v>-0.36633040388476501</v>
      </c>
      <c r="V747" s="19">
        <f>VLOOKUP(A747,[1]Sheet1!$A$2:$Q$1536,17,FALSE)</f>
        <v>2233.980712890625</v>
      </c>
      <c r="W747" s="27">
        <f t="shared" si="35"/>
        <v>-4.7296824122700851</v>
      </c>
    </row>
    <row r="748" spans="1:23" x14ac:dyDescent="0.3">
      <c r="A748" s="4" t="s">
        <v>642</v>
      </c>
      <c r="B748" s="5">
        <v>2018</v>
      </c>
      <c r="C748" s="5" t="s">
        <v>636</v>
      </c>
      <c r="D748" s="15" t="s">
        <v>641</v>
      </c>
      <c r="E748" s="6">
        <v>112353</v>
      </c>
      <c r="F748" s="5" t="s">
        <v>77</v>
      </c>
      <c r="G748" s="5" t="s">
        <v>33</v>
      </c>
      <c r="H748" s="5" t="s">
        <v>17</v>
      </c>
      <c r="I748" s="5" t="s">
        <v>18</v>
      </c>
      <c r="J748" s="7">
        <v>45617</v>
      </c>
      <c r="K748" s="5" t="s">
        <v>17</v>
      </c>
      <c r="L748" s="8">
        <v>44137</v>
      </c>
      <c r="M748" s="19">
        <v>280</v>
      </c>
      <c r="N748" s="19">
        <v>330</v>
      </c>
      <c r="O748" s="24">
        <v>0</v>
      </c>
      <c r="P748" s="24">
        <v>11500</v>
      </c>
      <c r="Q748" t="s">
        <v>1983</v>
      </c>
      <c r="R748" s="19">
        <f>VLOOKUP(A748,[1]Sheet1!$A$2:$Q$1536,15,FALSE)</f>
        <v>5518.171875</v>
      </c>
      <c r="S748" s="27">
        <f t="shared" si="33"/>
        <v>-1.0840235245481549</v>
      </c>
      <c r="T748" s="19">
        <f>VLOOKUP(A748,[1]Sheet1!$A$2:$Q$1536,16,FALSE)</f>
        <v>8990.6797664237783</v>
      </c>
      <c r="U748" s="27">
        <f t="shared" si="34"/>
        <v>-0.27910239256295455</v>
      </c>
      <c r="V748" s="19">
        <f>VLOOKUP(A748,[1]Sheet1!$A$2:$Q$1536,17,FALSE)</f>
        <v>5562.216796875</v>
      </c>
      <c r="W748" s="27">
        <f t="shared" si="35"/>
        <v>-1.0675209938708257</v>
      </c>
    </row>
    <row r="749" spans="1:23" x14ac:dyDescent="0.3">
      <c r="A749" s="4" t="s">
        <v>1791</v>
      </c>
      <c r="B749" s="5">
        <v>2016</v>
      </c>
      <c r="C749" s="5" t="s">
        <v>1086</v>
      </c>
      <c r="D749" s="15" t="s">
        <v>1790</v>
      </c>
      <c r="E749" s="6">
        <v>73415</v>
      </c>
      <c r="F749" s="5" t="s">
        <v>36</v>
      </c>
      <c r="G749" s="5" t="s">
        <v>28</v>
      </c>
      <c r="H749" s="5" t="s">
        <v>17</v>
      </c>
      <c r="I749" s="5" t="s">
        <v>18</v>
      </c>
      <c r="J749" s="7">
        <v>45323</v>
      </c>
      <c r="K749" s="5" t="s">
        <v>17</v>
      </c>
      <c r="L749" s="8">
        <v>44067</v>
      </c>
      <c r="M749" s="19">
        <v>235</v>
      </c>
      <c r="N749" s="19">
        <v>285</v>
      </c>
      <c r="O749" s="24">
        <v>0</v>
      </c>
      <c r="P749" s="24">
        <v>3700</v>
      </c>
      <c r="Q749" t="s">
        <v>1983</v>
      </c>
      <c r="R749" s="19">
        <f>VLOOKUP(A749,[1]Sheet1!$A$2:$Q$1536,15,FALSE)</f>
        <v>3148.620849609375</v>
      </c>
      <c r="S749" s="27">
        <f t="shared" si="33"/>
        <v>-0.17511767110956861</v>
      </c>
      <c r="T749" s="19">
        <f>VLOOKUP(A749,[1]Sheet1!$A$2:$Q$1536,16,FALSE)</f>
        <v>8956.8242440303802</v>
      </c>
      <c r="U749" s="27">
        <f t="shared" si="34"/>
        <v>0.58690715601950016</v>
      </c>
      <c r="V749" s="19">
        <f>VLOOKUP(A749,[1]Sheet1!$A$2:$Q$1536,17,FALSE)</f>
        <v>3011.75048828125</v>
      </c>
      <c r="W749" s="27">
        <f t="shared" si="35"/>
        <v>-0.22852142446618184</v>
      </c>
    </row>
    <row r="750" spans="1:23" x14ac:dyDescent="0.3">
      <c r="A750" s="4" t="s">
        <v>1890</v>
      </c>
      <c r="B750" s="5">
        <v>2016</v>
      </c>
      <c r="C750" s="5" t="s">
        <v>1223</v>
      </c>
      <c r="D750" s="15" t="s">
        <v>1887</v>
      </c>
      <c r="E750" s="6">
        <v>82468</v>
      </c>
      <c r="F750" s="5" t="s">
        <v>87</v>
      </c>
      <c r="G750" s="5" t="s">
        <v>25</v>
      </c>
      <c r="H750" s="5" t="s">
        <v>18</v>
      </c>
      <c r="I750" s="5" t="s">
        <v>17</v>
      </c>
      <c r="J750" s="7">
        <v>45622</v>
      </c>
      <c r="K750" s="5" t="s">
        <v>17</v>
      </c>
      <c r="L750" s="8">
        <v>44052</v>
      </c>
      <c r="M750" s="19">
        <v>235</v>
      </c>
      <c r="N750" s="19">
        <v>285</v>
      </c>
      <c r="O750" s="24">
        <v>0</v>
      </c>
      <c r="P750" s="24">
        <v>7800</v>
      </c>
      <c r="Q750" t="s">
        <v>1983</v>
      </c>
      <c r="R750" s="19">
        <f>VLOOKUP(A750,[1]Sheet1!$A$2:$Q$1536,15,FALSE)</f>
        <v>5726.10498046875</v>
      </c>
      <c r="S750" s="27">
        <f t="shared" si="33"/>
        <v>-0.3621825004265774</v>
      </c>
      <c r="T750" s="19">
        <f>VLOOKUP(A750,[1]Sheet1!$A$2:$Q$1536,16,FALSE)</f>
        <v>9943.5334685252983</v>
      </c>
      <c r="U750" s="27">
        <f t="shared" si="34"/>
        <v>0.21557059925531691</v>
      </c>
      <c r="V750" s="19">
        <f>VLOOKUP(A750,[1]Sheet1!$A$2:$Q$1536,17,FALSE)</f>
        <v>5705.099609375</v>
      </c>
      <c r="W750" s="27">
        <f t="shared" si="35"/>
        <v>-0.36719786402721522</v>
      </c>
    </row>
    <row r="751" spans="1:23" x14ac:dyDescent="0.3">
      <c r="A751" s="4" t="s">
        <v>678</v>
      </c>
      <c r="B751" s="5">
        <v>2016</v>
      </c>
      <c r="C751" s="5" t="s">
        <v>636</v>
      </c>
      <c r="D751" s="15" t="s">
        <v>679</v>
      </c>
      <c r="E751" s="6">
        <v>121665</v>
      </c>
      <c r="F751" s="5" t="s">
        <v>36</v>
      </c>
      <c r="G751" s="5" t="s">
        <v>28</v>
      </c>
      <c r="H751" s="5" t="s">
        <v>17</v>
      </c>
      <c r="I751" s="5" t="s">
        <v>18</v>
      </c>
      <c r="J751" s="7">
        <v>45575</v>
      </c>
      <c r="K751" s="5" t="s">
        <v>17</v>
      </c>
      <c r="L751" s="8">
        <v>44113</v>
      </c>
      <c r="M751" s="19">
        <v>264</v>
      </c>
      <c r="N751" s="19">
        <v>314</v>
      </c>
      <c r="O751" s="24">
        <v>0</v>
      </c>
      <c r="P751" s="24">
        <v>17300</v>
      </c>
      <c r="Q751" t="s">
        <v>1983</v>
      </c>
      <c r="R751" s="19">
        <f>VLOOKUP(A751,[1]Sheet1!$A$2:$Q$1536,15,FALSE)</f>
        <v>2322.986328125</v>
      </c>
      <c r="S751" s="27">
        <f t="shared" si="33"/>
        <v>-6.4473102964681273</v>
      </c>
      <c r="T751" s="19">
        <f>VLOOKUP(A751,[1]Sheet1!$A$2:$Q$1536,16,FALSE)</f>
        <v>8916.0737192440647</v>
      </c>
      <c r="U751" s="27">
        <f t="shared" si="34"/>
        <v>-0.94031594452392586</v>
      </c>
      <c r="V751" s="19">
        <f>VLOOKUP(A751,[1]Sheet1!$A$2:$Q$1536,17,FALSE)</f>
        <v>2171.309814453125</v>
      </c>
      <c r="W751" s="27">
        <f t="shared" si="35"/>
        <v>-6.9675410136518217</v>
      </c>
    </row>
    <row r="752" spans="1:23" x14ac:dyDescent="0.3">
      <c r="A752" s="4" t="s">
        <v>1049</v>
      </c>
      <c r="B752" s="5">
        <v>2018</v>
      </c>
      <c r="C752" s="5" t="s">
        <v>391</v>
      </c>
      <c r="D752" s="15" t="s">
        <v>582</v>
      </c>
      <c r="E752" s="6">
        <v>96599</v>
      </c>
      <c r="F752" s="5" t="s">
        <v>24</v>
      </c>
      <c r="G752" s="5" t="s">
        <v>28</v>
      </c>
      <c r="H752" s="5" t="s">
        <v>17</v>
      </c>
      <c r="I752" s="5" t="s">
        <v>18</v>
      </c>
      <c r="J752" s="7">
        <v>45426</v>
      </c>
      <c r="K752" s="5" t="s">
        <v>17</v>
      </c>
      <c r="L752" s="8">
        <v>44905</v>
      </c>
      <c r="M752" s="19">
        <v>128</v>
      </c>
      <c r="N752" s="19">
        <v>158</v>
      </c>
      <c r="O752" s="24">
        <v>10300</v>
      </c>
      <c r="P752" s="24">
        <v>14500</v>
      </c>
      <c r="Q752" t="s">
        <v>1983</v>
      </c>
      <c r="R752" s="19">
        <f>VLOOKUP(A752,[1]Sheet1!$A$2:$Q$1536,15,FALSE)</f>
        <v>5223.4443359375</v>
      </c>
      <c r="S752" s="27">
        <f t="shared" si="33"/>
        <v>-1.7759461128434808</v>
      </c>
      <c r="T752" s="19">
        <f>VLOOKUP(A752,[1]Sheet1!$A$2:$Q$1536,16,FALSE)</f>
        <v>9650.2678262356312</v>
      </c>
      <c r="U752" s="27">
        <f t="shared" si="34"/>
        <v>-0.50254897180984748</v>
      </c>
      <c r="V752" s="19">
        <f>VLOOKUP(A752,[1]Sheet1!$A$2:$Q$1536,17,FALSE)</f>
        <v>5204.9853515625</v>
      </c>
      <c r="W752" s="27">
        <f t="shared" si="35"/>
        <v>-1.7857907411107703</v>
      </c>
    </row>
    <row r="753" spans="1:23" x14ac:dyDescent="0.3">
      <c r="A753" s="4" t="s">
        <v>208</v>
      </c>
      <c r="B753" s="5">
        <v>2016</v>
      </c>
      <c r="C753" s="5" t="s">
        <v>83</v>
      </c>
      <c r="D753" s="15" t="s">
        <v>205</v>
      </c>
      <c r="E753" s="6">
        <v>104140</v>
      </c>
      <c r="F753" s="5" t="s">
        <v>24</v>
      </c>
      <c r="G753" s="5" t="s">
        <v>28</v>
      </c>
      <c r="H753" s="5" t="s">
        <v>17</v>
      </c>
      <c r="I753" s="5" t="s">
        <v>18</v>
      </c>
      <c r="J753" s="7">
        <v>45342</v>
      </c>
      <c r="K753" s="5" t="s">
        <v>17</v>
      </c>
      <c r="L753" s="8">
        <v>44028</v>
      </c>
      <c r="M753" s="19">
        <v>235</v>
      </c>
      <c r="N753" s="19">
        <v>285</v>
      </c>
      <c r="O753" s="24">
        <v>12800</v>
      </c>
      <c r="P753" s="24">
        <v>16200</v>
      </c>
      <c r="Q753" t="s">
        <v>1983</v>
      </c>
      <c r="R753" s="19">
        <f>VLOOKUP(A753,[1]Sheet1!$A$2:$Q$1536,15,FALSE)</f>
        <v>4131.95654296875</v>
      </c>
      <c r="S753" s="27">
        <f t="shared" si="33"/>
        <v>-2.9206607890315657</v>
      </c>
      <c r="T753" s="19">
        <f>VLOOKUP(A753,[1]Sheet1!$A$2:$Q$1536,16,FALSE)</f>
        <v>9067.9324729643831</v>
      </c>
      <c r="U753" s="27">
        <f t="shared" si="34"/>
        <v>-0.78651528871653409</v>
      </c>
      <c r="V753" s="19">
        <f>VLOOKUP(A753,[1]Sheet1!$A$2:$Q$1536,17,FALSE)</f>
        <v>4002.080078125</v>
      </c>
      <c r="W753" s="27">
        <f t="shared" si="35"/>
        <v>-3.0478950155314739</v>
      </c>
    </row>
    <row r="754" spans="1:23" x14ac:dyDescent="0.3">
      <c r="A754" s="4" t="s">
        <v>1113</v>
      </c>
      <c r="B754" s="5">
        <v>2018</v>
      </c>
      <c r="C754" s="5" t="s">
        <v>1086</v>
      </c>
      <c r="D754" s="15" t="s">
        <v>1093</v>
      </c>
      <c r="E754" s="6">
        <v>61247</v>
      </c>
      <c r="F754" s="5" t="s">
        <v>125</v>
      </c>
      <c r="G754" s="5" t="s">
        <v>16</v>
      </c>
      <c r="H754" s="5" t="s">
        <v>17</v>
      </c>
      <c r="I754" s="5" t="s">
        <v>18</v>
      </c>
      <c r="J754" s="7">
        <v>45603</v>
      </c>
      <c r="K754" s="5" t="s">
        <v>17</v>
      </c>
      <c r="L754" s="8">
        <v>44128</v>
      </c>
      <c r="M754" s="19">
        <v>264</v>
      </c>
      <c r="N754" s="19">
        <v>314</v>
      </c>
      <c r="O754" s="24">
        <v>10900</v>
      </c>
      <c r="P754" s="24">
        <v>12800</v>
      </c>
      <c r="Q754" t="s">
        <v>1983</v>
      </c>
      <c r="R754" s="19">
        <f>VLOOKUP(A754,[1]Sheet1!$A$2:$Q$1536,15,FALSE)</f>
        <v>9816.1240234375</v>
      </c>
      <c r="S754" s="27">
        <f t="shared" si="33"/>
        <v>-0.30397700451196819</v>
      </c>
      <c r="T754" s="19">
        <f>VLOOKUP(A754,[1]Sheet1!$A$2:$Q$1536,16,FALSE)</f>
        <v>11583.10789023834</v>
      </c>
      <c r="U754" s="27">
        <f t="shared" si="34"/>
        <v>-0.10505747863983859</v>
      </c>
      <c r="V754" s="19">
        <f>VLOOKUP(A754,[1]Sheet1!$A$2:$Q$1536,17,FALSE)</f>
        <v>9467.8876953125</v>
      </c>
      <c r="W754" s="27">
        <f t="shared" si="35"/>
        <v>-0.35193830048672958</v>
      </c>
    </row>
    <row r="755" spans="1:23" x14ac:dyDescent="0.3">
      <c r="A755" s="4" t="s">
        <v>138</v>
      </c>
      <c r="B755" s="5">
        <v>2015</v>
      </c>
      <c r="C755" s="5" t="s">
        <v>96</v>
      </c>
      <c r="D755" s="15" t="s">
        <v>130</v>
      </c>
      <c r="E755" s="6">
        <v>132770</v>
      </c>
      <c r="F755" s="5" t="s">
        <v>66</v>
      </c>
      <c r="G755" s="5" t="s">
        <v>25</v>
      </c>
      <c r="H755" s="5" t="s">
        <v>18</v>
      </c>
      <c r="I755" s="5" t="s">
        <v>17</v>
      </c>
      <c r="J755" s="7">
        <v>45440</v>
      </c>
      <c r="K755" s="5" t="s">
        <v>17</v>
      </c>
      <c r="L755" s="8">
        <v>43612</v>
      </c>
      <c r="M755" s="19">
        <v>264</v>
      </c>
      <c r="N755" s="19">
        <v>314</v>
      </c>
      <c r="O755" s="24">
        <v>2300</v>
      </c>
      <c r="P755" s="24">
        <v>7800</v>
      </c>
      <c r="Q755" t="s">
        <v>1983</v>
      </c>
      <c r="R755" s="19">
        <f>VLOOKUP(A755,[1]Sheet1!$A$2:$Q$1536,15,FALSE)</f>
        <v>2548.43359375</v>
      </c>
      <c r="S755" s="27">
        <f t="shared" si="33"/>
        <v>-2.0607036491472241</v>
      </c>
      <c r="T755" s="19">
        <f>VLOOKUP(A755,[1]Sheet1!$A$2:$Q$1536,16,FALSE)</f>
        <v>9095.5654308179437</v>
      </c>
      <c r="U755" s="27">
        <f t="shared" si="34"/>
        <v>0.14243924038281988</v>
      </c>
      <c r="V755" s="19">
        <f>VLOOKUP(A755,[1]Sheet1!$A$2:$Q$1536,17,FALSE)</f>
        <v>2338.3408203125</v>
      </c>
      <c r="W755" s="27">
        <f t="shared" si="35"/>
        <v>-2.3356985141958879</v>
      </c>
    </row>
    <row r="756" spans="1:23" x14ac:dyDescent="0.3">
      <c r="A756" s="4" t="s">
        <v>708</v>
      </c>
      <c r="B756" s="5">
        <v>2013</v>
      </c>
      <c r="C756" s="5" t="s">
        <v>237</v>
      </c>
      <c r="D756" s="15" t="s">
        <v>245</v>
      </c>
      <c r="E756" s="6">
        <v>75176</v>
      </c>
      <c r="F756" s="5" t="s">
        <v>32</v>
      </c>
      <c r="G756" s="5" t="s">
        <v>25</v>
      </c>
      <c r="H756" s="5" t="s">
        <v>18</v>
      </c>
      <c r="I756" s="5" t="s">
        <v>17</v>
      </c>
      <c r="J756" s="7">
        <v>45454</v>
      </c>
      <c r="K756" s="5" t="s">
        <v>17</v>
      </c>
      <c r="L756" s="8">
        <v>44067</v>
      </c>
      <c r="M756" s="19">
        <v>235</v>
      </c>
      <c r="N756" s="19">
        <v>285</v>
      </c>
      <c r="O756" s="24">
        <v>3800</v>
      </c>
      <c r="P756" s="24">
        <v>6200</v>
      </c>
      <c r="Q756" t="s">
        <v>1983</v>
      </c>
      <c r="R756" s="19">
        <f>VLOOKUP(A756,[1]Sheet1!$A$2:$Q$1536,15,FALSE)</f>
        <v>4865.548828125</v>
      </c>
      <c r="S756" s="27">
        <f t="shared" si="33"/>
        <v>-0.2742652923676952</v>
      </c>
      <c r="T756" s="19">
        <f>VLOOKUP(A756,[1]Sheet1!$A$2:$Q$1536,16,FALSE)</f>
        <v>9759.5868988664297</v>
      </c>
      <c r="U756" s="27">
        <f t="shared" si="34"/>
        <v>0.36472720984531359</v>
      </c>
      <c r="V756" s="19">
        <f>VLOOKUP(A756,[1]Sheet1!$A$2:$Q$1536,17,FALSE)</f>
        <v>4913.08251953125</v>
      </c>
      <c r="W756" s="27">
        <f t="shared" si="35"/>
        <v>-0.26193687473247101</v>
      </c>
    </row>
    <row r="757" spans="1:23" x14ac:dyDescent="0.3">
      <c r="A757" s="4" t="s">
        <v>222</v>
      </c>
      <c r="B757" s="5">
        <v>2012</v>
      </c>
      <c r="C757" s="5" t="s">
        <v>223</v>
      </c>
      <c r="D757" s="15">
        <v>1500</v>
      </c>
      <c r="E757" s="6">
        <v>166316</v>
      </c>
      <c r="F757" s="5" t="s">
        <v>73</v>
      </c>
      <c r="G757" s="5" t="s">
        <v>28</v>
      </c>
      <c r="H757" s="5" t="s">
        <v>17</v>
      </c>
      <c r="I757" s="5" t="s">
        <v>18</v>
      </c>
      <c r="J757" s="7">
        <v>45328</v>
      </c>
      <c r="K757" s="5" t="s">
        <v>17</v>
      </c>
      <c r="L757" s="8">
        <v>44662</v>
      </c>
      <c r="M757" s="19">
        <v>235</v>
      </c>
      <c r="N757" s="19">
        <v>285</v>
      </c>
      <c r="O757" s="24">
        <v>9700</v>
      </c>
      <c r="P757" s="24">
        <v>15300</v>
      </c>
      <c r="Q757" t="s">
        <v>1983</v>
      </c>
      <c r="R757" s="19">
        <f>VLOOKUP(A757,[1]Sheet1!$A$2:$Q$1536,15,FALSE)</f>
        <v>4243.52001953125</v>
      </c>
      <c r="S757" s="27">
        <f t="shared" si="33"/>
        <v>-2.605497306382468</v>
      </c>
      <c r="T757" s="19">
        <f>VLOOKUP(A757,[1]Sheet1!$A$2:$Q$1536,16,FALSE)</f>
        <v>10026.911294672749</v>
      </c>
      <c r="U757" s="27">
        <f t="shared" si="34"/>
        <v>-0.52589362270800366</v>
      </c>
      <c r="V757" s="19">
        <f>VLOOKUP(A757,[1]Sheet1!$A$2:$Q$1536,17,FALSE)</f>
        <v>4149.24072265625</v>
      </c>
      <c r="W757" s="27">
        <f t="shared" si="35"/>
        <v>-2.6874216326994125</v>
      </c>
    </row>
    <row r="758" spans="1:23" x14ac:dyDescent="0.3">
      <c r="A758" s="4" t="s">
        <v>1820</v>
      </c>
      <c r="B758" s="5">
        <v>2020</v>
      </c>
      <c r="C758" s="5" t="s">
        <v>1219</v>
      </c>
      <c r="D758" s="15" t="s">
        <v>1819</v>
      </c>
      <c r="E758" s="6">
        <v>99999</v>
      </c>
      <c r="F758" s="5" t="s">
        <v>77</v>
      </c>
      <c r="G758" s="5" t="s">
        <v>25</v>
      </c>
      <c r="H758" s="5" t="s">
        <v>18</v>
      </c>
      <c r="I758" s="5" t="s">
        <v>17</v>
      </c>
      <c r="J758" s="7">
        <v>45328</v>
      </c>
      <c r="K758" s="5" t="s">
        <v>17</v>
      </c>
      <c r="L758" s="8">
        <v>44113</v>
      </c>
      <c r="M758" s="19">
        <v>264</v>
      </c>
      <c r="N758" s="19">
        <v>314</v>
      </c>
      <c r="O758" s="24">
        <v>3100</v>
      </c>
      <c r="P758" s="24">
        <v>6400</v>
      </c>
      <c r="Q758" t="s">
        <v>1983</v>
      </c>
      <c r="R758" s="19">
        <f>VLOOKUP(A758,[1]Sheet1!$A$2:$Q$1536,15,FALSE)</f>
        <v>6998.73388671875</v>
      </c>
      <c r="S758" s="27">
        <f t="shared" si="33"/>
        <v>8.5548885899911997E-2</v>
      </c>
      <c r="T758" s="19">
        <f>VLOOKUP(A758,[1]Sheet1!$A$2:$Q$1536,16,FALSE)</f>
        <v>10485.397379759739</v>
      </c>
      <c r="U758" s="27">
        <f t="shared" si="34"/>
        <v>0.3896273294940541</v>
      </c>
      <c r="V758" s="19">
        <f>VLOOKUP(A758,[1]Sheet1!$A$2:$Q$1536,17,FALSE)</f>
        <v>6707.5009765625</v>
      </c>
      <c r="W758" s="27">
        <f t="shared" si="35"/>
        <v>4.584434316699719E-2</v>
      </c>
    </row>
    <row r="759" spans="1:23" x14ac:dyDescent="0.3">
      <c r="A759" s="4" t="s">
        <v>638</v>
      </c>
      <c r="B759" s="5">
        <v>2017</v>
      </c>
      <c r="C759" s="5" t="s">
        <v>636</v>
      </c>
      <c r="D759" s="15" t="s">
        <v>637</v>
      </c>
      <c r="E759" s="6">
        <v>96507</v>
      </c>
      <c r="F759" s="5" t="s">
        <v>87</v>
      </c>
      <c r="G759" s="5" t="s">
        <v>33</v>
      </c>
      <c r="H759" s="5" t="s">
        <v>17</v>
      </c>
      <c r="I759" s="5" t="s">
        <v>18</v>
      </c>
      <c r="J759" s="7">
        <v>45596</v>
      </c>
      <c r="K759" s="5" t="s">
        <v>17</v>
      </c>
      <c r="L759" s="8">
        <v>44067</v>
      </c>
      <c r="M759" s="19">
        <v>235</v>
      </c>
      <c r="N759" s="19">
        <v>285</v>
      </c>
      <c r="O759" s="24">
        <v>6100</v>
      </c>
      <c r="P759" s="24">
        <v>14100</v>
      </c>
      <c r="Q759" t="s">
        <v>1983</v>
      </c>
      <c r="R759" s="19">
        <f>VLOOKUP(A759,[1]Sheet1!$A$2:$Q$1536,15,FALSE)</f>
        <v>3881.18798828125</v>
      </c>
      <c r="S759" s="27">
        <f t="shared" si="33"/>
        <v>-2.6329082854458852</v>
      </c>
      <c r="T759" s="19">
        <f>VLOOKUP(A759,[1]Sheet1!$A$2:$Q$1536,16,FALSE)</f>
        <v>9092.8815689863095</v>
      </c>
      <c r="U759" s="27">
        <f t="shared" si="34"/>
        <v>-0.55066354851599508</v>
      </c>
      <c r="V759" s="19">
        <f>VLOOKUP(A759,[1]Sheet1!$A$2:$Q$1536,17,FALSE)</f>
        <v>3803.46435546875</v>
      </c>
      <c r="W759" s="27">
        <f t="shared" si="35"/>
        <v>-2.7071466122001491</v>
      </c>
    </row>
    <row r="760" spans="1:23" x14ac:dyDescent="0.3">
      <c r="A760" s="4" t="s">
        <v>1957</v>
      </c>
      <c r="B760" s="5">
        <v>2018</v>
      </c>
      <c r="C760" s="5" t="s">
        <v>96</v>
      </c>
      <c r="D760" s="15" t="s">
        <v>1951</v>
      </c>
      <c r="E760" s="6">
        <v>106524</v>
      </c>
      <c r="F760" s="5" t="s">
        <v>61</v>
      </c>
      <c r="G760" s="5" t="s">
        <v>25</v>
      </c>
      <c r="H760" s="5" t="s">
        <v>18</v>
      </c>
      <c r="I760" s="5" t="s">
        <v>17</v>
      </c>
      <c r="J760" s="7">
        <v>45538</v>
      </c>
      <c r="K760" s="5" t="s">
        <v>17</v>
      </c>
      <c r="L760" s="8">
        <v>44135</v>
      </c>
      <c r="M760" s="19">
        <v>235</v>
      </c>
      <c r="N760" s="19">
        <v>285</v>
      </c>
      <c r="O760" s="24">
        <v>4500</v>
      </c>
      <c r="P760" s="24">
        <v>8100</v>
      </c>
      <c r="Q760" t="s">
        <v>1983</v>
      </c>
      <c r="R760" s="19">
        <f>VLOOKUP(A760,[1]Sheet1!$A$2:$Q$1536,15,FALSE)</f>
        <v>3231.265869140625</v>
      </c>
      <c r="S760" s="27">
        <f t="shared" si="33"/>
        <v>-1.5067575148665326</v>
      </c>
      <c r="T760" s="19">
        <f>VLOOKUP(A760,[1]Sheet1!$A$2:$Q$1536,16,FALSE)</f>
        <v>9204.5335665596031</v>
      </c>
      <c r="U760" s="27">
        <f t="shared" si="34"/>
        <v>0.1199988634483786</v>
      </c>
      <c r="V760" s="19">
        <f>VLOOKUP(A760,[1]Sheet1!$A$2:$Q$1536,17,FALSE)</f>
        <v>3111.6103515625</v>
      </c>
      <c r="W760" s="27">
        <f t="shared" si="35"/>
        <v>-1.6031537001194807</v>
      </c>
    </row>
    <row r="761" spans="1:23" x14ac:dyDescent="0.3">
      <c r="A761" s="4" t="s">
        <v>1896</v>
      </c>
      <c r="B761" s="5">
        <v>2011</v>
      </c>
      <c r="C761" s="5" t="s">
        <v>1897</v>
      </c>
      <c r="D761" s="15" t="s">
        <v>1898</v>
      </c>
      <c r="E761" s="6">
        <v>156320</v>
      </c>
      <c r="F761" s="5" t="s">
        <v>24</v>
      </c>
      <c r="G761" s="5" t="s">
        <v>25</v>
      </c>
      <c r="H761" s="5" t="s">
        <v>18</v>
      </c>
      <c r="I761" s="5" t="s">
        <v>17</v>
      </c>
      <c r="J761" s="7">
        <v>45540</v>
      </c>
      <c r="K761" s="5" t="s">
        <v>17</v>
      </c>
      <c r="L761" s="8">
        <v>44128</v>
      </c>
      <c r="M761" s="19">
        <v>264</v>
      </c>
      <c r="N761" s="19">
        <v>314</v>
      </c>
      <c r="O761" s="24">
        <v>0</v>
      </c>
      <c r="P761" s="24">
        <v>1800</v>
      </c>
      <c r="Q761" t="s">
        <v>1983</v>
      </c>
      <c r="R761" s="19">
        <f>VLOOKUP(A761,[1]Sheet1!$A$2:$Q$1536,15,FALSE)</f>
        <v>1576.516723632812</v>
      </c>
      <c r="S761" s="27">
        <f t="shared" si="33"/>
        <v>-0.14175763124935911</v>
      </c>
      <c r="T761" s="19">
        <f>VLOOKUP(A761,[1]Sheet1!$A$2:$Q$1536,16,FALSE)</f>
        <v>9264.4531604466429</v>
      </c>
      <c r="U761" s="27">
        <f t="shared" si="34"/>
        <v>0.80570898585953654</v>
      </c>
      <c r="V761" s="19">
        <f>VLOOKUP(A761,[1]Sheet1!$A$2:$Q$1536,17,FALSE)</f>
        <v>1553.711303710938</v>
      </c>
      <c r="W761" s="27">
        <f t="shared" si="35"/>
        <v>-0.15851638312781632</v>
      </c>
    </row>
    <row r="762" spans="1:23" x14ac:dyDescent="0.3">
      <c r="A762" s="4" t="s">
        <v>1736</v>
      </c>
      <c r="B762" s="5">
        <v>2016</v>
      </c>
      <c r="C762" s="5" t="s">
        <v>1086</v>
      </c>
      <c r="D762" s="15" t="s">
        <v>1093</v>
      </c>
      <c r="E762" s="6">
        <v>125907</v>
      </c>
      <c r="F762" s="5" t="s">
        <v>42</v>
      </c>
      <c r="G762" s="5" t="s">
        <v>28</v>
      </c>
      <c r="H762" s="5" t="s">
        <v>17</v>
      </c>
      <c r="I762" s="5" t="s">
        <v>18</v>
      </c>
      <c r="J762" s="7">
        <v>45463</v>
      </c>
      <c r="K762" s="5" t="s">
        <v>17</v>
      </c>
      <c r="L762" s="8">
        <v>44137</v>
      </c>
      <c r="M762" s="19">
        <v>280</v>
      </c>
      <c r="N762" s="19">
        <v>330</v>
      </c>
      <c r="O762" s="24">
        <v>3500</v>
      </c>
      <c r="P762" s="24">
        <v>5900</v>
      </c>
      <c r="Q762" t="s">
        <v>1983</v>
      </c>
      <c r="R762" s="19">
        <f>VLOOKUP(A762,[1]Sheet1!$A$2:$Q$1536,15,FALSE)</f>
        <v>2001.229614257812</v>
      </c>
      <c r="S762" s="27">
        <f t="shared" si="33"/>
        <v>-1.9481874333486262</v>
      </c>
      <c r="T762" s="19">
        <f>VLOOKUP(A762,[1]Sheet1!$A$2:$Q$1536,16,FALSE)</f>
        <v>8695.4960181057613</v>
      </c>
      <c r="U762" s="27">
        <f t="shared" si="34"/>
        <v>0.32148781533393606</v>
      </c>
      <c r="V762" s="19">
        <f>VLOOKUP(A762,[1]Sheet1!$A$2:$Q$1536,17,FALSE)</f>
        <v>1931.272583007812</v>
      </c>
      <c r="W762" s="27">
        <f t="shared" si="35"/>
        <v>-2.0549804579171278</v>
      </c>
    </row>
    <row r="763" spans="1:23" x14ac:dyDescent="0.3">
      <c r="A763" s="4" t="s">
        <v>1505</v>
      </c>
      <c r="B763" s="5">
        <v>2015</v>
      </c>
      <c r="C763" s="5" t="s">
        <v>1228</v>
      </c>
      <c r="D763" s="15" t="s">
        <v>1504</v>
      </c>
      <c r="E763" s="6">
        <v>101576</v>
      </c>
      <c r="F763" s="5" t="s">
        <v>38</v>
      </c>
      <c r="G763" s="5" t="s">
        <v>22</v>
      </c>
      <c r="H763" s="5" t="s">
        <v>18</v>
      </c>
      <c r="I763" s="5" t="s">
        <v>17</v>
      </c>
      <c r="J763" s="7">
        <v>45678</v>
      </c>
      <c r="K763" s="5" t="s">
        <v>17</v>
      </c>
      <c r="L763" s="8">
        <v>44827</v>
      </c>
      <c r="M763" s="19">
        <v>128</v>
      </c>
      <c r="N763" s="19">
        <v>158</v>
      </c>
      <c r="O763" s="24">
        <v>2300</v>
      </c>
      <c r="P763" s="24">
        <v>8200</v>
      </c>
      <c r="Q763" t="s">
        <v>1983</v>
      </c>
      <c r="R763" s="19">
        <f>VLOOKUP(A763,[1]Sheet1!$A$2:$Q$1536,15,FALSE)</f>
        <v>2551.68115234375</v>
      </c>
      <c r="S763" s="27">
        <f t="shared" si="33"/>
        <v>-2.213567648320089</v>
      </c>
      <c r="T763" s="19">
        <f>VLOOKUP(A763,[1]Sheet1!$A$2:$Q$1536,16,FALSE)</f>
        <v>9093.7912444375397</v>
      </c>
      <c r="U763" s="27">
        <f t="shared" si="34"/>
        <v>9.8285876639652464E-2</v>
      </c>
      <c r="V763" s="19">
        <f>VLOOKUP(A763,[1]Sheet1!$A$2:$Q$1536,17,FALSE)</f>
        <v>2338.3408203125</v>
      </c>
      <c r="W763" s="27">
        <f t="shared" si="35"/>
        <v>-2.5067599764623436</v>
      </c>
    </row>
    <row r="764" spans="1:23" x14ac:dyDescent="0.3">
      <c r="A764" s="4" t="s">
        <v>586</v>
      </c>
      <c r="B764" s="5">
        <v>2023</v>
      </c>
      <c r="C764" s="5" t="s">
        <v>391</v>
      </c>
      <c r="D764" s="15" t="s">
        <v>587</v>
      </c>
      <c r="E764" s="6">
        <v>46411</v>
      </c>
      <c r="F764" s="5" t="s">
        <v>115</v>
      </c>
      <c r="G764" s="5" t="s">
        <v>16</v>
      </c>
      <c r="H764" s="5" t="s">
        <v>17</v>
      </c>
      <c r="I764" s="5" t="s">
        <v>18</v>
      </c>
      <c r="J764" s="7">
        <v>45720</v>
      </c>
      <c r="K764" s="5" t="s">
        <v>17</v>
      </c>
      <c r="L764" s="8">
        <v>43977</v>
      </c>
      <c r="M764" s="19">
        <v>179</v>
      </c>
      <c r="N764" s="19">
        <v>229</v>
      </c>
      <c r="O764" s="24">
        <v>27250</v>
      </c>
      <c r="P764" s="24">
        <v>27700</v>
      </c>
      <c r="Q764" t="s">
        <v>1983</v>
      </c>
      <c r="R764" s="19">
        <f>VLOOKUP(A764,[1]Sheet1!$A$2:$Q$1536,15,FALSE)</f>
        <v>25144.517578125</v>
      </c>
      <c r="S764" s="27">
        <f t="shared" si="33"/>
        <v>-0.10163179364786046</v>
      </c>
      <c r="T764" s="19">
        <f>VLOOKUP(A764,[1]Sheet1!$A$2:$Q$1536,16,FALSE)</f>
        <v>15180.004564103931</v>
      </c>
      <c r="U764" s="27">
        <f t="shared" si="34"/>
        <v>-0.82476888481983934</v>
      </c>
      <c r="V764" s="19">
        <f>VLOOKUP(A764,[1]Sheet1!$A$2:$Q$1536,17,FALSE)</f>
        <v>24671.4375</v>
      </c>
      <c r="W764" s="27">
        <f t="shared" si="35"/>
        <v>-0.12275581834256719</v>
      </c>
    </row>
    <row r="765" spans="1:23" x14ac:dyDescent="0.3">
      <c r="A765" s="4" t="s">
        <v>521</v>
      </c>
      <c r="B765" s="5">
        <v>2014</v>
      </c>
      <c r="C765" s="5" t="s">
        <v>519</v>
      </c>
      <c r="D765" s="15" t="s">
        <v>520</v>
      </c>
      <c r="E765" s="6">
        <v>100091</v>
      </c>
      <c r="F765" s="5" t="s">
        <v>246</v>
      </c>
      <c r="G765" s="5" t="s">
        <v>16</v>
      </c>
      <c r="H765" s="5" t="s">
        <v>17</v>
      </c>
      <c r="I765" s="5" t="s">
        <v>18</v>
      </c>
      <c r="J765" s="7">
        <v>45664</v>
      </c>
      <c r="K765" s="5" t="s">
        <v>17</v>
      </c>
      <c r="L765" s="8">
        <v>44128</v>
      </c>
      <c r="M765" s="19">
        <v>264</v>
      </c>
      <c r="N765" s="19">
        <v>314</v>
      </c>
      <c r="O765" s="24">
        <v>7900</v>
      </c>
      <c r="P765" s="24">
        <v>12200</v>
      </c>
      <c r="Q765" t="s">
        <v>1983</v>
      </c>
      <c r="R765" s="19">
        <f>VLOOKUP(A765,[1]Sheet1!$A$2:$Q$1536,15,FALSE)</f>
        <v>6674.67822265625</v>
      </c>
      <c r="S765" s="27">
        <f t="shared" si="33"/>
        <v>-0.82780346752729261</v>
      </c>
      <c r="T765" s="19">
        <f>VLOOKUP(A765,[1]Sheet1!$A$2:$Q$1536,16,FALSE)</f>
        <v>9899.5675504915089</v>
      </c>
      <c r="U765" s="27">
        <f t="shared" si="34"/>
        <v>-0.23237706473292116</v>
      </c>
      <c r="V765" s="19">
        <f>VLOOKUP(A765,[1]Sheet1!$A$2:$Q$1536,17,FALSE)</f>
        <v>6843.30517578125</v>
      </c>
      <c r="W765" s="27">
        <f t="shared" si="35"/>
        <v>-0.78276427641665347</v>
      </c>
    </row>
    <row r="766" spans="1:23" x14ac:dyDescent="0.3">
      <c r="A766" s="4" t="s">
        <v>171</v>
      </c>
      <c r="B766" s="5">
        <v>2016</v>
      </c>
      <c r="C766" s="5" t="s">
        <v>96</v>
      </c>
      <c r="D766" s="15" t="s">
        <v>156</v>
      </c>
      <c r="E766" s="6">
        <v>118073</v>
      </c>
      <c r="F766" s="5" t="s">
        <v>36</v>
      </c>
      <c r="G766" s="5" t="s">
        <v>28</v>
      </c>
      <c r="H766" s="5" t="s">
        <v>17</v>
      </c>
      <c r="I766" s="5" t="s">
        <v>18</v>
      </c>
      <c r="J766" s="7">
        <v>45701</v>
      </c>
      <c r="K766" s="5" t="s">
        <v>17</v>
      </c>
      <c r="L766" s="8">
        <v>43605</v>
      </c>
      <c r="M766" s="19">
        <v>264</v>
      </c>
      <c r="N766" s="19">
        <v>314</v>
      </c>
      <c r="O766" s="24">
        <v>0</v>
      </c>
      <c r="P766" s="24">
        <v>5000</v>
      </c>
      <c r="Q766" t="s">
        <v>1983</v>
      </c>
      <c r="R766" s="19">
        <f>VLOOKUP(A766,[1]Sheet1!$A$2:$Q$1536,15,FALSE)</f>
        <v>3167.44921875</v>
      </c>
      <c r="S766" s="27">
        <f t="shared" si="33"/>
        <v>-0.5785572726476722</v>
      </c>
      <c r="T766" s="19">
        <f>VLOOKUP(A766,[1]Sheet1!$A$2:$Q$1536,16,FALSE)</f>
        <v>9260.7926487645509</v>
      </c>
      <c r="U766" s="27">
        <f t="shared" si="34"/>
        <v>0.46008941246870139</v>
      </c>
      <c r="V766" s="19">
        <f>VLOOKUP(A766,[1]Sheet1!$A$2:$Q$1536,17,FALSE)</f>
        <v>3089.48779296875</v>
      </c>
      <c r="W766" s="27">
        <f t="shared" si="35"/>
        <v>-0.61839124639990917</v>
      </c>
    </row>
    <row r="767" spans="1:23" x14ac:dyDescent="0.3">
      <c r="A767" s="4" t="s">
        <v>1766</v>
      </c>
      <c r="B767" s="5">
        <v>2019</v>
      </c>
      <c r="C767" s="5" t="s">
        <v>1086</v>
      </c>
      <c r="D767" s="15" t="s">
        <v>1758</v>
      </c>
      <c r="E767" s="6">
        <v>123777</v>
      </c>
      <c r="F767" s="5" t="s">
        <v>42</v>
      </c>
      <c r="G767" s="5" t="s">
        <v>25</v>
      </c>
      <c r="H767" s="5" t="s">
        <v>18</v>
      </c>
      <c r="I767" s="5" t="s">
        <v>17</v>
      </c>
      <c r="J767" s="7">
        <v>45435</v>
      </c>
      <c r="K767" s="5" t="s">
        <v>17</v>
      </c>
      <c r="L767" s="8">
        <v>44444</v>
      </c>
      <c r="M767" s="19">
        <v>264</v>
      </c>
      <c r="N767" s="19">
        <v>314</v>
      </c>
      <c r="O767" s="24">
        <v>2300</v>
      </c>
      <c r="P767" s="24">
        <v>8400</v>
      </c>
      <c r="Q767" t="s">
        <v>1983</v>
      </c>
      <c r="R767" s="19">
        <f>VLOOKUP(A767,[1]Sheet1!$A$2:$Q$1536,15,FALSE)</f>
        <v>3592.18017578125</v>
      </c>
      <c r="S767" s="27">
        <f t="shared" si="33"/>
        <v>-1.3384127713396545</v>
      </c>
      <c r="T767" s="19">
        <f>VLOOKUP(A767,[1]Sheet1!$A$2:$Q$1536,16,FALSE)</f>
        <v>8770.154172288625</v>
      </c>
      <c r="U767" s="27">
        <f t="shared" si="34"/>
        <v>4.2206119187529742E-2</v>
      </c>
      <c r="V767" s="19">
        <f>VLOOKUP(A767,[1]Sheet1!$A$2:$Q$1536,17,FALSE)</f>
        <v>3459.5888671875</v>
      </c>
      <c r="W767" s="27">
        <f t="shared" si="35"/>
        <v>-1.4280341747165022</v>
      </c>
    </row>
    <row r="768" spans="1:23" x14ac:dyDescent="0.3">
      <c r="A768" s="4" t="s">
        <v>1230</v>
      </c>
      <c r="B768" s="5">
        <v>2015</v>
      </c>
      <c r="C768" s="5" t="s">
        <v>1228</v>
      </c>
      <c r="D768" s="15" t="s">
        <v>1229</v>
      </c>
      <c r="E768" s="6">
        <v>125116</v>
      </c>
      <c r="F768" s="5" t="s">
        <v>61</v>
      </c>
      <c r="G768" s="5" t="s">
        <v>33</v>
      </c>
      <c r="H768" s="5" t="s">
        <v>17</v>
      </c>
      <c r="I768" s="5" t="s">
        <v>18</v>
      </c>
      <c r="J768" s="7">
        <v>45370</v>
      </c>
      <c r="K768" s="5" t="s">
        <v>17</v>
      </c>
      <c r="L768" s="8">
        <v>44444</v>
      </c>
      <c r="M768" s="19">
        <v>264</v>
      </c>
      <c r="N768" s="19">
        <v>314</v>
      </c>
      <c r="O768" s="24">
        <v>5400</v>
      </c>
      <c r="P768" s="24">
        <v>10500</v>
      </c>
      <c r="Q768" t="s">
        <v>1983</v>
      </c>
      <c r="R768" s="19">
        <f>VLOOKUP(A768,[1]Sheet1!$A$2:$Q$1536,15,FALSE)</f>
        <v>2591.278076171875</v>
      </c>
      <c r="S768" s="27">
        <f t="shared" si="33"/>
        <v>-3.0520545041278515</v>
      </c>
      <c r="T768" s="19">
        <f>VLOOKUP(A768,[1]Sheet1!$A$2:$Q$1536,16,FALSE)</f>
        <v>8972.7160905996752</v>
      </c>
      <c r="U768" s="27">
        <f t="shared" si="34"/>
        <v>-0.17021422431947822</v>
      </c>
      <c r="V768" s="19">
        <f>VLOOKUP(A768,[1]Sheet1!$A$2:$Q$1536,17,FALSE)</f>
        <v>2395.5732421875</v>
      </c>
      <c r="W768" s="27">
        <f t="shared" si="35"/>
        <v>-3.3830845223550763</v>
      </c>
    </row>
    <row r="769" spans="1:23" x14ac:dyDescent="0.3">
      <c r="A769" s="4" t="s">
        <v>852</v>
      </c>
      <c r="B769" s="5">
        <v>2017</v>
      </c>
      <c r="C769" s="5" t="s">
        <v>391</v>
      </c>
      <c r="D769" s="15" t="s">
        <v>580</v>
      </c>
      <c r="E769" s="6">
        <v>103664</v>
      </c>
      <c r="F769" s="5" t="s">
        <v>592</v>
      </c>
      <c r="G769" s="5" t="s">
        <v>16</v>
      </c>
      <c r="H769" s="5" t="s">
        <v>17</v>
      </c>
      <c r="I769" s="5" t="s">
        <v>18</v>
      </c>
      <c r="J769" s="7">
        <v>45463</v>
      </c>
      <c r="K769" s="5" t="s">
        <v>17</v>
      </c>
      <c r="L769" s="8">
        <v>44203</v>
      </c>
      <c r="M769" s="19">
        <v>235</v>
      </c>
      <c r="N769" s="19">
        <v>285</v>
      </c>
      <c r="O769" s="24">
        <v>0</v>
      </c>
      <c r="P769" s="24">
        <v>15100</v>
      </c>
      <c r="Q769" t="s">
        <v>1983</v>
      </c>
      <c r="R769" s="19">
        <f>VLOOKUP(A769,[1]Sheet1!$A$2:$Q$1536,15,FALSE)</f>
        <v>10202.6201171875</v>
      </c>
      <c r="S769" s="27">
        <f t="shared" si="33"/>
        <v>-0.48001197991899103</v>
      </c>
      <c r="T769" s="19">
        <f>VLOOKUP(A769,[1]Sheet1!$A$2:$Q$1536,16,FALSE)</f>
        <v>10249.45612625696</v>
      </c>
      <c r="U769" s="27">
        <f t="shared" si="34"/>
        <v>-0.47324890355079052</v>
      </c>
      <c r="V769" s="19">
        <f>VLOOKUP(A769,[1]Sheet1!$A$2:$Q$1536,17,FALSE)</f>
        <v>10345.4609375</v>
      </c>
      <c r="W769" s="27">
        <f t="shared" si="35"/>
        <v>-0.45957730556652637</v>
      </c>
    </row>
    <row r="770" spans="1:23" x14ac:dyDescent="0.3">
      <c r="A770" s="4" t="s">
        <v>734</v>
      </c>
      <c r="B770" s="5">
        <v>2017</v>
      </c>
      <c r="C770" s="5" t="s">
        <v>83</v>
      </c>
      <c r="D770" s="15" t="s">
        <v>714</v>
      </c>
      <c r="E770" s="6">
        <v>61016</v>
      </c>
      <c r="F770" s="5" t="s">
        <v>101</v>
      </c>
      <c r="G770" s="5" t="s">
        <v>16</v>
      </c>
      <c r="H770" s="5" t="s">
        <v>17</v>
      </c>
      <c r="I770" s="5" t="s">
        <v>18</v>
      </c>
      <c r="J770" s="7">
        <v>45356</v>
      </c>
      <c r="K770" s="5" t="s">
        <v>17</v>
      </c>
      <c r="L770" s="8">
        <v>44203</v>
      </c>
      <c r="M770" s="19">
        <v>235</v>
      </c>
      <c r="N770" s="19">
        <v>285</v>
      </c>
      <c r="O770" s="24">
        <v>19750</v>
      </c>
      <c r="P770" s="24">
        <v>20000</v>
      </c>
      <c r="Q770" t="s">
        <v>1983</v>
      </c>
      <c r="R770" s="19">
        <f>VLOOKUP(A770,[1]Sheet1!$A$2:$Q$1536,15,FALSE)</f>
        <v>14008.181640625</v>
      </c>
      <c r="S770" s="27">
        <f t="shared" si="33"/>
        <v>-0.42773705489356179</v>
      </c>
      <c r="T770" s="19">
        <f>VLOOKUP(A770,[1]Sheet1!$A$2:$Q$1536,16,FALSE)</f>
        <v>13388.94522206432</v>
      </c>
      <c r="U770" s="27">
        <f t="shared" si="34"/>
        <v>-0.49376964863826533</v>
      </c>
      <c r="V770" s="19">
        <f>VLOOKUP(A770,[1]Sheet1!$A$2:$Q$1536,17,FALSE)</f>
        <v>13872.6689453125</v>
      </c>
      <c r="W770" s="27">
        <f t="shared" si="35"/>
        <v>-0.44168364997694926</v>
      </c>
    </row>
    <row r="771" spans="1:23" x14ac:dyDescent="0.3">
      <c r="A771" s="4" t="s">
        <v>1345</v>
      </c>
      <c r="B771" s="5">
        <v>2017</v>
      </c>
      <c r="C771" s="5" t="s">
        <v>1089</v>
      </c>
      <c r="D771" s="15" t="s">
        <v>1328</v>
      </c>
      <c r="E771" s="6">
        <v>80228</v>
      </c>
      <c r="F771" s="5" t="s">
        <v>27</v>
      </c>
      <c r="G771" s="5" t="s">
        <v>33</v>
      </c>
      <c r="H771" s="5" t="s">
        <v>17</v>
      </c>
      <c r="I771" s="5" t="s">
        <v>18</v>
      </c>
      <c r="J771" s="7">
        <v>45449</v>
      </c>
      <c r="K771" s="5" t="s">
        <v>17</v>
      </c>
      <c r="L771" s="8">
        <v>44113</v>
      </c>
      <c r="M771" s="19">
        <v>264</v>
      </c>
      <c r="N771" s="19">
        <v>314</v>
      </c>
      <c r="O771" s="24">
        <v>4700</v>
      </c>
      <c r="P771" s="24">
        <v>7200</v>
      </c>
      <c r="Q771" t="s">
        <v>1983</v>
      </c>
      <c r="R771" s="19">
        <f>VLOOKUP(A771,[1]Sheet1!$A$2:$Q$1536,15,FALSE)</f>
        <v>3823.215576171875</v>
      </c>
      <c r="S771" s="27">
        <f t="shared" ref="S771:S834" si="36">(R771-$P771)/R771</f>
        <v>-0.88323149886547747</v>
      </c>
      <c r="T771" s="19">
        <f>VLOOKUP(A771,[1]Sheet1!$A$2:$Q$1536,16,FALSE)</f>
        <v>8785.4611649050967</v>
      </c>
      <c r="U771" s="27">
        <f t="shared" ref="U771:U834" si="37">(T771-$P771)/T771</f>
        <v>0.18046419364284144</v>
      </c>
      <c r="V771" s="19">
        <f>VLOOKUP(A771,[1]Sheet1!$A$2:$Q$1536,17,FALSE)</f>
        <v>3751.099609375</v>
      </c>
      <c r="W771" s="27">
        <f t="shared" ref="W771:W834" si="38">(V771-$P771)/V771</f>
        <v>-0.91943716503962636</v>
      </c>
    </row>
    <row r="772" spans="1:23" x14ac:dyDescent="0.3">
      <c r="A772" s="4" t="s">
        <v>200</v>
      </c>
      <c r="B772" s="5">
        <v>2018</v>
      </c>
      <c r="C772" s="5" t="s">
        <v>96</v>
      </c>
      <c r="D772" s="15" t="s">
        <v>154</v>
      </c>
      <c r="E772" s="6">
        <v>100594</v>
      </c>
      <c r="F772" s="5" t="s">
        <v>92</v>
      </c>
      <c r="G772" s="5" t="s">
        <v>16</v>
      </c>
      <c r="H772" s="5" t="s">
        <v>17</v>
      </c>
      <c r="I772" s="5" t="s">
        <v>18</v>
      </c>
      <c r="J772" s="7">
        <v>45636</v>
      </c>
      <c r="K772" s="5" t="s">
        <v>17</v>
      </c>
      <c r="L772" s="8">
        <v>43612</v>
      </c>
      <c r="M772" s="19">
        <v>264</v>
      </c>
      <c r="N772" s="19">
        <v>314</v>
      </c>
      <c r="O772" s="24">
        <v>10300</v>
      </c>
      <c r="P772" s="24">
        <v>14400</v>
      </c>
      <c r="Q772" t="s">
        <v>1983</v>
      </c>
      <c r="R772" s="19">
        <f>VLOOKUP(A772,[1]Sheet1!$A$2:$Q$1536,15,FALSE)</f>
        <v>10154.974609375</v>
      </c>
      <c r="S772" s="27">
        <f t="shared" si="36"/>
        <v>-0.4180242249651735</v>
      </c>
      <c r="T772" s="19">
        <f>VLOOKUP(A772,[1]Sheet1!$A$2:$Q$1536,16,FALSE)</f>
        <v>10263.60791695214</v>
      </c>
      <c r="U772" s="27">
        <f t="shared" si="37"/>
        <v>-0.40301540321078388</v>
      </c>
      <c r="V772" s="19">
        <f>VLOOKUP(A772,[1]Sheet1!$A$2:$Q$1536,17,FALSE)</f>
        <v>10345.4609375</v>
      </c>
      <c r="W772" s="27">
        <f t="shared" si="38"/>
        <v>-0.39191478146741587</v>
      </c>
    </row>
    <row r="773" spans="1:23" x14ac:dyDescent="0.3">
      <c r="A773" s="4" t="s">
        <v>390</v>
      </c>
      <c r="B773" s="5">
        <v>2014</v>
      </c>
      <c r="C773" s="5" t="s">
        <v>391</v>
      </c>
      <c r="D773" s="15" t="s">
        <v>392</v>
      </c>
      <c r="E773" s="6">
        <v>105938</v>
      </c>
      <c r="F773" s="5" t="s">
        <v>32</v>
      </c>
      <c r="G773" s="5" t="s">
        <v>33</v>
      </c>
      <c r="H773" s="5" t="s">
        <v>17</v>
      </c>
      <c r="I773" s="5" t="s">
        <v>18</v>
      </c>
      <c r="J773" s="7">
        <v>45356</v>
      </c>
      <c r="K773" s="5" t="s">
        <v>17</v>
      </c>
      <c r="L773" s="8">
        <v>44128</v>
      </c>
      <c r="M773" s="19">
        <v>264</v>
      </c>
      <c r="N773" s="19">
        <v>314</v>
      </c>
      <c r="O773" s="24">
        <v>5500</v>
      </c>
      <c r="P773" s="24">
        <v>7700</v>
      </c>
      <c r="Q773" t="s">
        <v>1983</v>
      </c>
      <c r="R773" s="19">
        <f>VLOOKUP(A773,[1]Sheet1!$A$2:$Q$1536,15,FALSE)</f>
        <v>2678.743896484375</v>
      </c>
      <c r="S773" s="27">
        <f t="shared" si="36"/>
        <v>-1.8744815844865197</v>
      </c>
      <c r="T773" s="19">
        <f>VLOOKUP(A773,[1]Sheet1!$A$2:$Q$1536,16,FALSE)</f>
        <v>9191.953392128913</v>
      </c>
      <c r="U773" s="27">
        <f t="shared" si="37"/>
        <v>0.16231080908291762</v>
      </c>
      <c r="V773" s="19">
        <f>VLOOKUP(A773,[1]Sheet1!$A$2:$Q$1536,17,FALSE)</f>
        <v>2505.3798828125</v>
      </c>
      <c r="W773" s="27">
        <f t="shared" si="38"/>
        <v>-2.0733862169261537</v>
      </c>
    </row>
    <row r="774" spans="1:23" x14ac:dyDescent="0.3">
      <c r="A774" s="4" t="s">
        <v>1640</v>
      </c>
      <c r="B774" s="5">
        <v>2017</v>
      </c>
      <c r="C774" s="5" t="s">
        <v>391</v>
      </c>
      <c r="D774" s="15" t="s">
        <v>1056</v>
      </c>
      <c r="E774" s="6">
        <v>78733</v>
      </c>
      <c r="F774" s="5" t="s">
        <v>219</v>
      </c>
      <c r="G774" s="5" t="s">
        <v>22</v>
      </c>
      <c r="H774" s="5" t="s">
        <v>18</v>
      </c>
      <c r="I774" s="5" t="s">
        <v>17</v>
      </c>
      <c r="J774" s="7">
        <v>45356</v>
      </c>
      <c r="K774" s="5" t="s">
        <v>17</v>
      </c>
      <c r="L774" s="8">
        <v>44067</v>
      </c>
      <c r="M774" s="19">
        <v>235</v>
      </c>
      <c r="N774" s="19">
        <v>285</v>
      </c>
      <c r="O774" s="24">
        <v>4300</v>
      </c>
      <c r="P774" s="24">
        <v>9000</v>
      </c>
      <c r="Q774" t="s">
        <v>1983</v>
      </c>
      <c r="R774" s="19">
        <f>VLOOKUP(A774,[1]Sheet1!$A$2:$Q$1536,15,FALSE)</f>
        <v>3450.427490234375</v>
      </c>
      <c r="S774" s="27">
        <f t="shared" si="36"/>
        <v>-1.6083724481886337</v>
      </c>
      <c r="T774" s="19">
        <f>VLOOKUP(A774,[1]Sheet1!$A$2:$Q$1536,16,FALSE)</f>
        <v>9470.3757342957379</v>
      </c>
      <c r="U774" s="27">
        <f t="shared" si="37"/>
        <v>4.9668117453073493E-2</v>
      </c>
      <c r="V774" s="19">
        <f>VLOOKUP(A774,[1]Sheet1!$A$2:$Q$1536,17,FALSE)</f>
        <v>3493.63818359375</v>
      </c>
      <c r="W774" s="27">
        <f t="shared" si="38"/>
        <v>-1.5761110701916192</v>
      </c>
    </row>
    <row r="775" spans="1:23" x14ac:dyDescent="0.3">
      <c r="A775" s="4" t="s">
        <v>649</v>
      </c>
      <c r="B775" s="5">
        <v>2016</v>
      </c>
      <c r="C775" s="5" t="s">
        <v>636</v>
      </c>
      <c r="D775" s="15" t="s">
        <v>641</v>
      </c>
      <c r="E775" s="6">
        <v>93172</v>
      </c>
      <c r="F775" s="5" t="s">
        <v>170</v>
      </c>
      <c r="G775" s="5" t="s">
        <v>28</v>
      </c>
      <c r="H775" s="5" t="s">
        <v>17</v>
      </c>
      <c r="I775" s="5" t="s">
        <v>18</v>
      </c>
      <c r="J775" s="7">
        <v>45344</v>
      </c>
      <c r="K775" s="5" t="s">
        <v>17</v>
      </c>
      <c r="L775" s="8">
        <v>44310</v>
      </c>
      <c r="M775" s="19">
        <v>235</v>
      </c>
      <c r="N775" s="19">
        <v>285</v>
      </c>
      <c r="O775" s="24">
        <v>0</v>
      </c>
      <c r="P775" s="24">
        <v>10000</v>
      </c>
      <c r="Q775" t="s">
        <v>1983</v>
      </c>
      <c r="R775" s="19">
        <f>VLOOKUP(A775,[1]Sheet1!$A$2:$Q$1536,15,FALSE)</f>
        <v>7000.56298828125</v>
      </c>
      <c r="S775" s="27">
        <f t="shared" si="36"/>
        <v>-0.42845654224377738</v>
      </c>
      <c r="T775" s="19">
        <f>VLOOKUP(A775,[1]Sheet1!$A$2:$Q$1536,16,FALSE)</f>
        <v>9066.4382951551397</v>
      </c>
      <c r="U775" s="27">
        <f t="shared" si="37"/>
        <v>-0.10296895809060218</v>
      </c>
      <c r="V775" s="19">
        <f>VLOOKUP(A775,[1]Sheet1!$A$2:$Q$1536,17,FALSE)</f>
        <v>7060.51123046875</v>
      </c>
      <c r="W775" s="27">
        <f t="shared" si="38"/>
        <v>-0.41632803540432811</v>
      </c>
    </row>
    <row r="776" spans="1:23" x14ac:dyDescent="0.3">
      <c r="A776" s="4" t="s">
        <v>510</v>
      </c>
      <c r="B776" s="5">
        <v>2016</v>
      </c>
      <c r="C776" s="5" t="s">
        <v>391</v>
      </c>
      <c r="D776" s="15" t="s">
        <v>394</v>
      </c>
      <c r="E776" s="6">
        <v>107467</v>
      </c>
      <c r="F776" s="5" t="s">
        <v>132</v>
      </c>
      <c r="G776" s="5" t="s">
        <v>22</v>
      </c>
      <c r="H776" s="5" t="s">
        <v>18</v>
      </c>
      <c r="I776" s="5" t="s">
        <v>17</v>
      </c>
      <c r="J776" s="7">
        <v>45664</v>
      </c>
      <c r="K776" s="5" t="s">
        <v>17</v>
      </c>
      <c r="L776" s="8">
        <v>44310</v>
      </c>
      <c r="M776" s="19">
        <v>235</v>
      </c>
      <c r="N776" s="19">
        <v>285</v>
      </c>
      <c r="O776" s="24">
        <v>2500</v>
      </c>
      <c r="P776" s="24">
        <v>7600</v>
      </c>
      <c r="Q776" t="s">
        <v>1983</v>
      </c>
      <c r="R776" s="19">
        <f>VLOOKUP(A776,[1]Sheet1!$A$2:$Q$1536,15,FALSE)</f>
        <v>1602.668701171875</v>
      </c>
      <c r="S776" s="27">
        <f t="shared" si="36"/>
        <v>-3.7420904859768354</v>
      </c>
      <c r="T776" s="19">
        <f>VLOOKUP(A776,[1]Sheet1!$A$2:$Q$1536,16,FALSE)</f>
        <v>9286.1134826892012</v>
      </c>
      <c r="U776" s="27">
        <f t="shared" si="37"/>
        <v>0.18157364605035101</v>
      </c>
      <c r="V776" s="19">
        <f>VLOOKUP(A776,[1]Sheet1!$A$2:$Q$1536,17,FALSE)</f>
        <v>1575.010375976562</v>
      </c>
      <c r="W776" s="27">
        <f t="shared" si="38"/>
        <v>-3.8253650362701461</v>
      </c>
    </row>
    <row r="777" spans="1:23" x14ac:dyDescent="0.3">
      <c r="A777" s="4" t="s">
        <v>853</v>
      </c>
      <c r="B777" s="5">
        <v>2015</v>
      </c>
      <c r="C777" s="5" t="s">
        <v>391</v>
      </c>
      <c r="D777" s="15" t="s">
        <v>580</v>
      </c>
      <c r="E777" s="6">
        <v>147163</v>
      </c>
      <c r="F777" s="5" t="s">
        <v>61</v>
      </c>
      <c r="G777" s="5" t="s">
        <v>22</v>
      </c>
      <c r="H777" s="5" t="s">
        <v>18</v>
      </c>
      <c r="I777" s="5" t="s">
        <v>17</v>
      </c>
      <c r="J777" s="7">
        <v>45400</v>
      </c>
      <c r="K777" s="5" t="s">
        <v>17</v>
      </c>
      <c r="L777" s="8">
        <v>43605</v>
      </c>
      <c r="M777" s="19">
        <v>264</v>
      </c>
      <c r="N777" s="19">
        <v>314</v>
      </c>
      <c r="O777" s="24">
        <v>0</v>
      </c>
      <c r="P777" s="24">
        <v>2700</v>
      </c>
      <c r="Q777" t="s">
        <v>1983</v>
      </c>
      <c r="R777" s="19">
        <f>VLOOKUP(A777,[1]Sheet1!$A$2:$Q$1536,15,FALSE)</f>
        <v>2275.51611328125</v>
      </c>
      <c r="S777" s="27">
        <f t="shared" si="36"/>
        <v>-0.18654400390364737</v>
      </c>
      <c r="T777" s="19">
        <f>VLOOKUP(A777,[1]Sheet1!$A$2:$Q$1536,16,FALSE)</f>
        <v>9301.8924718466551</v>
      </c>
      <c r="U777" s="27">
        <f t="shared" si="37"/>
        <v>0.70973648554077695</v>
      </c>
      <c r="V777" s="19">
        <f>VLOOKUP(A777,[1]Sheet1!$A$2:$Q$1536,17,FALSE)</f>
        <v>2215.851806640625</v>
      </c>
      <c r="W777" s="27">
        <f t="shared" si="38"/>
        <v>-0.2184930381663813</v>
      </c>
    </row>
    <row r="778" spans="1:23" x14ac:dyDescent="0.3">
      <c r="A778" s="4" t="s">
        <v>1562</v>
      </c>
      <c r="B778" s="5">
        <v>2015</v>
      </c>
      <c r="C778" s="5" t="s">
        <v>636</v>
      </c>
      <c r="D778" s="15" t="s">
        <v>1560</v>
      </c>
      <c r="E778" s="6">
        <v>88723</v>
      </c>
      <c r="F778" s="5" t="s">
        <v>81</v>
      </c>
      <c r="G778" s="5" t="s">
        <v>33</v>
      </c>
      <c r="H778" s="5" t="s">
        <v>17</v>
      </c>
      <c r="I778" s="5" t="s">
        <v>18</v>
      </c>
      <c r="J778" s="7">
        <v>45622</v>
      </c>
      <c r="K778" s="5" t="s">
        <v>17</v>
      </c>
      <c r="L778" s="8">
        <v>44307</v>
      </c>
      <c r="M778" s="19">
        <v>235</v>
      </c>
      <c r="N778" s="19">
        <v>285</v>
      </c>
      <c r="O778" s="24">
        <v>4900</v>
      </c>
      <c r="P778" s="24">
        <v>7900</v>
      </c>
      <c r="Q778" t="s">
        <v>1983</v>
      </c>
      <c r="R778" s="19">
        <f>VLOOKUP(A778,[1]Sheet1!$A$2:$Q$1536,15,FALSE)</f>
        <v>2866.045654296875</v>
      </c>
      <c r="S778" s="27">
        <f t="shared" si="36"/>
        <v>-1.7564110809456388</v>
      </c>
      <c r="T778" s="19">
        <f>VLOOKUP(A778,[1]Sheet1!$A$2:$Q$1536,16,FALSE)</f>
        <v>8683.1550136872265</v>
      </c>
      <c r="U778" s="27">
        <f t="shared" si="37"/>
        <v>9.0192448764618627E-2</v>
      </c>
      <c r="V778" s="19">
        <f>VLOOKUP(A778,[1]Sheet1!$A$2:$Q$1536,17,FALSE)</f>
        <v>2697.9189453125</v>
      </c>
      <c r="W778" s="27">
        <f t="shared" si="38"/>
        <v>-1.9281828550579168</v>
      </c>
    </row>
    <row r="779" spans="1:23" x14ac:dyDescent="0.3">
      <c r="A779" s="4" t="s">
        <v>479</v>
      </c>
      <c r="B779" s="5">
        <v>2015</v>
      </c>
      <c r="C779" s="5" t="s">
        <v>391</v>
      </c>
      <c r="D779" s="15" t="s">
        <v>480</v>
      </c>
      <c r="E779" s="6">
        <v>48468</v>
      </c>
      <c r="F779" s="5" t="s">
        <v>32</v>
      </c>
      <c r="G779" s="5" t="s">
        <v>25</v>
      </c>
      <c r="H779" s="5" t="s">
        <v>18</v>
      </c>
      <c r="I779" s="5" t="s">
        <v>17</v>
      </c>
      <c r="J779" s="7">
        <v>45608</v>
      </c>
      <c r="K779" s="5" t="s">
        <v>17</v>
      </c>
      <c r="L779" s="8">
        <v>44827</v>
      </c>
      <c r="M779" s="19">
        <v>128</v>
      </c>
      <c r="N779" s="19">
        <v>158</v>
      </c>
      <c r="O779" s="24">
        <v>29100</v>
      </c>
      <c r="P779" s="24">
        <v>46473.809523809497</v>
      </c>
      <c r="Q779" t="s">
        <v>1983</v>
      </c>
      <c r="R779" s="19">
        <f>VLOOKUP(A779,[1]Sheet1!$A$2:$Q$1536,15,FALSE)</f>
        <v>22464.46484375</v>
      </c>
      <c r="S779" s="27">
        <f t="shared" si="36"/>
        <v>-1.0687699371899042</v>
      </c>
      <c r="T779" s="19">
        <f>VLOOKUP(A779,[1]Sheet1!$A$2:$Q$1536,16,FALSE)</f>
        <v>17766.963281138091</v>
      </c>
      <c r="U779" s="27">
        <f t="shared" si="37"/>
        <v>-1.6157429825471303</v>
      </c>
      <c r="V779" s="19">
        <f>VLOOKUP(A779,[1]Sheet1!$A$2:$Q$1536,17,FALSE)</f>
        <v>22576.84375</v>
      </c>
      <c r="W779" s="27">
        <f t="shared" si="38"/>
        <v>-1.0584723904912305</v>
      </c>
    </row>
    <row r="780" spans="1:23" x14ac:dyDescent="0.3">
      <c r="A780" s="4" t="s">
        <v>1306</v>
      </c>
      <c r="B780" s="5">
        <v>2017</v>
      </c>
      <c r="C780" s="5" t="s">
        <v>636</v>
      </c>
      <c r="D780" s="15" t="s">
        <v>1307</v>
      </c>
      <c r="E780" s="6">
        <v>103574</v>
      </c>
      <c r="F780" s="5" t="s">
        <v>36</v>
      </c>
      <c r="G780" s="5" t="s">
        <v>25</v>
      </c>
      <c r="H780" s="5" t="s">
        <v>18</v>
      </c>
      <c r="I780" s="5" t="s">
        <v>17</v>
      </c>
      <c r="J780" s="7">
        <v>45659</v>
      </c>
      <c r="K780" s="5" t="s">
        <v>17</v>
      </c>
      <c r="L780" s="8">
        <v>44137</v>
      </c>
      <c r="M780" s="19">
        <v>280</v>
      </c>
      <c r="N780" s="19">
        <v>330</v>
      </c>
      <c r="O780" s="24">
        <v>0</v>
      </c>
      <c r="P780" s="24">
        <v>14000</v>
      </c>
      <c r="Q780" t="s">
        <v>1983</v>
      </c>
      <c r="R780" s="19">
        <f>VLOOKUP(A780,[1]Sheet1!$A$2:$Q$1536,15,FALSE)</f>
        <v>3150.123779296875</v>
      </c>
      <c r="S780" s="27">
        <f t="shared" si="36"/>
        <v>-3.4442698067962514</v>
      </c>
      <c r="T780" s="19">
        <f>VLOOKUP(A780,[1]Sheet1!$A$2:$Q$1536,16,FALSE)</f>
        <v>8916.0737192440647</v>
      </c>
      <c r="U780" s="27">
        <f t="shared" si="37"/>
        <v>-0.57019787418121171</v>
      </c>
      <c r="V780" s="19">
        <f>VLOOKUP(A780,[1]Sheet1!$A$2:$Q$1536,17,FALSE)</f>
        <v>3011.75048828125</v>
      </c>
      <c r="W780" s="27">
        <f t="shared" si="38"/>
        <v>-3.6484594439260936</v>
      </c>
    </row>
    <row r="781" spans="1:23" x14ac:dyDescent="0.3">
      <c r="A781" s="4" t="s">
        <v>1348</v>
      </c>
      <c r="B781" s="5">
        <v>2020</v>
      </c>
      <c r="C781" s="5" t="s">
        <v>1089</v>
      </c>
      <c r="D781" s="15" t="s">
        <v>1328</v>
      </c>
      <c r="E781" s="6">
        <v>76353</v>
      </c>
      <c r="F781" s="5" t="s">
        <v>73</v>
      </c>
      <c r="G781" s="5" t="s">
        <v>28</v>
      </c>
      <c r="H781" s="5" t="s">
        <v>17</v>
      </c>
      <c r="I781" s="5" t="s">
        <v>18</v>
      </c>
      <c r="J781" s="7">
        <v>45603</v>
      </c>
      <c r="K781" s="5" t="s">
        <v>17</v>
      </c>
      <c r="L781" s="8">
        <v>43935</v>
      </c>
      <c r="M781" s="19">
        <v>222</v>
      </c>
      <c r="N781" s="19">
        <v>272</v>
      </c>
      <c r="O781" s="24">
        <v>7800</v>
      </c>
      <c r="P781" s="24">
        <v>9200</v>
      </c>
      <c r="Q781" t="s">
        <v>1983</v>
      </c>
      <c r="R781" s="19">
        <f>VLOOKUP(A781,[1]Sheet1!$A$2:$Q$1536,15,FALSE)</f>
        <v>5677.29736328125</v>
      </c>
      <c r="S781" s="27">
        <f t="shared" si="36"/>
        <v>-0.62048936515151454</v>
      </c>
      <c r="T781" s="19">
        <f>VLOOKUP(A781,[1]Sheet1!$A$2:$Q$1536,16,FALSE)</f>
        <v>10122.902232347709</v>
      </c>
      <c r="U781" s="27">
        <f t="shared" si="37"/>
        <v>9.1169726938444343E-2</v>
      </c>
      <c r="V781" s="19">
        <f>VLOOKUP(A781,[1]Sheet1!$A$2:$Q$1536,17,FALSE)</f>
        <v>5443.36279296875</v>
      </c>
      <c r="W781" s="27">
        <f t="shared" si="38"/>
        <v>-0.6901316979797375</v>
      </c>
    </row>
    <row r="782" spans="1:23" x14ac:dyDescent="0.3">
      <c r="A782" s="4" t="s">
        <v>1751</v>
      </c>
      <c r="B782" s="5">
        <v>2015</v>
      </c>
      <c r="C782" s="5" t="s">
        <v>1086</v>
      </c>
      <c r="D782" s="15" t="s">
        <v>1749</v>
      </c>
      <c r="E782" s="6">
        <v>120369</v>
      </c>
      <c r="F782" s="5" t="s">
        <v>32</v>
      </c>
      <c r="G782" s="5" t="s">
        <v>22</v>
      </c>
      <c r="H782" s="5" t="s">
        <v>18</v>
      </c>
      <c r="I782" s="5" t="s">
        <v>17</v>
      </c>
      <c r="J782" s="7">
        <v>45384</v>
      </c>
      <c r="K782" s="5" t="s">
        <v>17</v>
      </c>
      <c r="L782" s="8">
        <v>44444</v>
      </c>
      <c r="M782" s="19">
        <v>264</v>
      </c>
      <c r="N782" s="19">
        <v>314</v>
      </c>
      <c r="O782" s="24">
        <v>0</v>
      </c>
      <c r="P782" s="24">
        <v>3000</v>
      </c>
      <c r="Q782" t="s">
        <v>1983</v>
      </c>
      <c r="R782" s="19">
        <f>VLOOKUP(A782,[1]Sheet1!$A$2:$Q$1536,15,FALSE)</f>
        <v>1592.170776367188</v>
      </c>
      <c r="S782" s="27">
        <f t="shared" si="36"/>
        <v>-0.88421998728366125</v>
      </c>
      <c r="T782" s="19">
        <f>VLOOKUP(A782,[1]Sheet1!$A$2:$Q$1536,16,FALSE)</f>
        <v>8591.6636447881338</v>
      </c>
      <c r="U782" s="27">
        <f t="shared" si="37"/>
        <v>0.65082431947625685</v>
      </c>
      <c r="V782" s="19">
        <f>VLOOKUP(A782,[1]Sheet1!$A$2:$Q$1536,17,FALSE)</f>
        <v>1551.09228515625</v>
      </c>
      <c r="W782" s="27">
        <f t="shared" si="38"/>
        <v>-0.93412089577751567</v>
      </c>
    </row>
    <row r="783" spans="1:23" x14ac:dyDescent="0.3">
      <c r="A783" s="4" t="s">
        <v>1612</v>
      </c>
      <c r="B783" s="5">
        <v>2018</v>
      </c>
      <c r="C783" s="5" t="s">
        <v>519</v>
      </c>
      <c r="D783" s="15" t="s">
        <v>1613</v>
      </c>
      <c r="E783" s="6">
        <v>75092</v>
      </c>
      <c r="F783" s="5" t="s">
        <v>246</v>
      </c>
      <c r="G783" s="5" t="s">
        <v>16</v>
      </c>
      <c r="H783" s="5" t="s">
        <v>17</v>
      </c>
      <c r="I783" s="5" t="s">
        <v>18</v>
      </c>
      <c r="J783" s="7">
        <v>45603</v>
      </c>
      <c r="K783" s="5" t="s">
        <v>17</v>
      </c>
      <c r="L783" s="8">
        <v>44137</v>
      </c>
      <c r="M783" s="19">
        <v>280</v>
      </c>
      <c r="N783" s="19">
        <v>330</v>
      </c>
      <c r="O783" s="24">
        <v>0</v>
      </c>
      <c r="P783" s="24">
        <v>12600</v>
      </c>
      <c r="Q783" t="s">
        <v>1983</v>
      </c>
      <c r="R783" s="19">
        <f>VLOOKUP(A783,[1]Sheet1!$A$2:$Q$1536,15,FALSE)</f>
        <v>10517.046875</v>
      </c>
      <c r="S783" s="27">
        <f t="shared" si="36"/>
        <v>-0.19805494353660946</v>
      </c>
      <c r="T783" s="19">
        <f>VLOOKUP(A783,[1]Sheet1!$A$2:$Q$1536,16,FALSE)</f>
        <v>10108.682694269301</v>
      </c>
      <c r="U783" s="27">
        <f t="shared" si="37"/>
        <v>-0.24645321067828638</v>
      </c>
      <c r="V783" s="19">
        <f>VLOOKUP(A783,[1]Sheet1!$A$2:$Q$1536,17,FALSE)</f>
        <v>10720.7578125</v>
      </c>
      <c r="W783" s="27">
        <f t="shared" si="38"/>
        <v>-0.17529005135335438</v>
      </c>
    </row>
    <row r="784" spans="1:23" x14ac:dyDescent="0.3">
      <c r="A784" s="4" t="s">
        <v>674</v>
      </c>
      <c r="B784" s="5">
        <v>2019</v>
      </c>
      <c r="C784" s="5" t="s">
        <v>636</v>
      </c>
      <c r="D784" s="15" t="s">
        <v>646</v>
      </c>
      <c r="E784" s="6">
        <v>114622</v>
      </c>
      <c r="F784" s="5" t="s">
        <v>170</v>
      </c>
      <c r="G784" s="5" t="s">
        <v>28</v>
      </c>
      <c r="H784" s="5" t="s">
        <v>17</v>
      </c>
      <c r="I784" s="5" t="s">
        <v>18</v>
      </c>
      <c r="J784" s="7">
        <v>45356</v>
      </c>
      <c r="K784" s="5" t="s">
        <v>17</v>
      </c>
      <c r="L784" s="8">
        <v>44662</v>
      </c>
      <c r="M784" s="19">
        <v>235</v>
      </c>
      <c r="N784" s="19">
        <v>285</v>
      </c>
      <c r="O784" s="24">
        <v>9900</v>
      </c>
      <c r="P784" s="24">
        <v>13800</v>
      </c>
      <c r="Q784" t="s">
        <v>1983</v>
      </c>
      <c r="R784" s="19">
        <f>VLOOKUP(A784,[1]Sheet1!$A$2:$Q$1536,15,FALSE)</f>
        <v>6098.56640625</v>
      </c>
      <c r="S784" s="27">
        <f t="shared" si="36"/>
        <v>-1.262826881061315</v>
      </c>
      <c r="T784" s="19">
        <f>VLOOKUP(A784,[1]Sheet1!$A$2:$Q$1536,16,FALSE)</f>
        <v>8973.0735830537142</v>
      </c>
      <c r="U784" s="27">
        <f t="shared" si="37"/>
        <v>-0.53793456303114229</v>
      </c>
      <c r="V784" s="19">
        <f>VLOOKUP(A784,[1]Sheet1!$A$2:$Q$1536,17,FALSE)</f>
        <v>6083.568359375</v>
      </c>
      <c r="W784" s="27">
        <f t="shared" si="38"/>
        <v>-1.2684055121586164</v>
      </c>
    </row>
    <row r="785" spans="1:23" x14ac:dyDescent="0.3">
      <c r="A785" s="4" t="s">
        <v>794</v>
      </c>
      <c r="B785" s="5">
        <v>2010</v>
      </c>
      <c r="C785" s="5" t="s">
        <v>391</v>
      </c>
      <c r="D785" s="15" t="s">
        <v>429</v>
      </c>
      <c r="E785" s="6">
        <v>67929</v>
      </c>
      <c r="F785" s="5" t="s">
        <v>24</v>
      </c>
      <c r="G785" s="5" t="s">
        <v>28</v>
      </c>
      <c r="H785" s="5" t="s">
        <v>17</v>
      </c>
      <c r="I785" s="5" t="s">
        <v>18</v>
      </c>
      <c r="J785" s="7">
        <v>45300</v>
      </c>
      <c r="K785" s="5" t="s">
        <v>17</v>
      </c>
      <c r="L785" s="8">
        <v>43950</v>
      </c>
      <c r="M785" s="19">
        <v>264</v>
      </c>
      <c r="N785" s="19">
        <v>314</v>
      </c>
      <c r="O785" s="24">
        <v>14200</v>
      </c>
      <c r="P785" s="24">
        <v>16776.190476190499</v>
      </c>
      <c r="Q785" t="s">
        <v>1983</v>
      </c>
      <c r="R785" s="19">
        <f>VLOOKUP(A785,[1]Sheet1!$A$2:$Q$1536,15,FALSE)</f>
        <v>4776.39990234375</v>
      </c>
      <c r="S785" s="27">
        <f t="shared" si="36"/>
        <v>-2.5123086046372554</v>
      </c>
      <c r="T785" s="19">
        <f>VLOOKUP(A785,[1]Sheet1!$A$2:$Q$1536,16,FALSE)</f>
        <v>9994.1638734635526</v>
      </c>
      <c r="U785" s="27">
        <f t="shared" si="37"/>
        <v>-0.67859869906021308</v>
      </c>
      <c r="V785" s="19">
        <f>VLOOKUP(A785,[1]Sheet1!$A$2:$Q$1536,17,FALSE)</f>
        <v>4617.4833984375</v>
      </c>
      <c r="W785" s="27">
        <f t="shared" si="38"/>
        <v>-2.6331891267583889</v>
      </c>
    </row>
    <row r="786" spans="1:23" x14ac:dyDescent="0.3">
      <c r="A786" s="4" t="s">
        <v>496</v>
      </c>
      <c r="B786" s="5">
        <v>2022</v>
      </c>
      <c r="C786" s="5" t="s">
        <v>391</v>
      </c>
      <c r="D786" s="15" t="s">
        <v>394</v>
      </c>
      <c r="E786" s="6">
        <v>44748</v>
      </c>
      <c r="F786" s="5" t="s">
        <v>15</v>
      </c>
      <c r="G786" s="5" t="s">
        <v>16</v>
      </c>
      <c r="H786" s="5" t="s">
        <v>17</v>
      </c>
      <c r="I786" s="5" t="s">
        <v>18</v>
      </c>
      <c r="J786" s="7">
        <v>45678</v>
      </c>
      <c r="K786" s="5" t="s">
        <v>17</v>
      </c>
      <c r="L786" s="8">
        <v>43605</v>
      </c>
      <c r="M786" s="19">
        <v>264</v>
      </c>
      <c r="N786" s="19">
        <v>314</v>
      </c>
      <c r="O786" s="24">
        <v>14600</v>
      </c>
      <c r="P786" s="24">
        <v>15400</v>
      </c>
      <c r="Q786" t="s">
        <v>1983</v>
      </c>
      <c r="R786" s="19">
        <f>VLOOKUP(A786,[1]Sheet1!$A$2:$Q$1536,15,FALSE)</f>
        <v>18666.517578125</v>
      </c>
      <c r="S786" s="27">
        <f t="shared" si="36"/>
        <v>0.17499341076628996</v>
      </c>
      <c r="T786" s="19">
        <f>VLOOKUP(A786,[1]Sheet1!$A$2:$Q$1536,16,FALSE)</f>
        <v>14707.38717741881</v>
      </c>
      <c r="U786" s="27">
        <f t="shared" si="37"/>
        <v>-4.7092853015021086E-2</v>
      </c>
      <c r="V786" s="19">
        <f>VLOOKUP(A786,[1]Sheet1!$A$2:$Q$1536,17,FALSE)</f>
        <v>18840.40625</v>
      </c>
      <c r="W786" s="27">
        <f t="shared" si="38"/>
        <v>0.18260785910601052</v>
      </c>
    </row>
    <row r="787" spans="1:23" x14ac:dyDescent="0.3">
      <c r="A787" s="4" t="s">
        <v>1781</v>
      </c>
      <c r="B787" s="5">
        <v>2014</v>
      </c>
      <c r="C787" s="5" t="s">
        <v>1086</v>
      </c>
      <c r="D787" s="15" t="s">
        <v>1758</v>
      </c>
      <c r="E787" s="6">
        <v>146266</v>
      </c>
      <c r="F787" s="5" t="s">
        <v>112</v>
      </c>
      <c r="G787" s="5" t="s">
        <v>22</v>
      </c>
      <c r="H787" s="5" t="s">
        <v>18</v>
      </c>
      <c r="I787" s="5" t="s">
        <v>17</v>
      </c>
      <c r="J787" s="7">
        <v>45664</v>
      </c>
      <c r="K787" s="5" t="s">
        <v>17</v>
      </c>
      <c r="L787" s="8">
        <v>44451</v>
      </c>
      <c r="M787" s="19">
        <v>264</v>
      </c>
      <c r="N787" s="19">
        <v>314</v>
      </c>
      <c r="O787" s="24">
        <v>600</v>
      </c>
      <c r="P787" s="24">
        <v>1000</v>
      </c>
      <c r="Q787" t="s">
        <v>1983</v>
      </c>
      <c r="R787" s="19">
        <f>VLOOKUP(A787,[1]Sheet1!$A$2:$Q$1536,15,FALSE)</f>
        <v>457.27005004882813</v>
      </c>
      <c r="S787" s="27">
        <f t="shared" si="36"/>
        <v>-1.1868915313679917</v>
      </c>
      <c r="T787" s="19">
        <f>VLOOKUP(A787,[1]Sheet1!$A$2:$Q$1536,16,FALSE)</f>
        <v>8499.7857737490394</v>
      </c>
      <c r="U787" s="27">
        <f t="shared" si="37"/>
        <v>0.88234997603252241</v>
      </c>
      <c r="V787" s="19">
        <f>VLOOKUP(A787,[1]Sheet1!$A$2:$Q$1536,17,FALSE)</f>
        <v>819.59039306640625</v>
      </c>
      <c r="W787" s="27">
        <f t="shared" si="38"/>
        <v>-0.22012167109305819</v>
      </c>
    </row>
    <row r="788" spans="1:23" x14ac:dyDescent="0.3">
      <c r="A788" s="4" t="s">
        <v>1472</v>
      </c>
      <c r="B788" s="5">
        <v>2017</v>
      </c>
      <c r="C788" s="5" t="s">
        <v>1089</v>
      </c>
      <c r="D788" s="15" t="s">
        <v>1326</v>
      </c>
      <c r="E788" s="6">
        <v>111704</v>
      </c>
      <c r="F788" s="5" t="s">
        <v>15</v>
      </c>
      <c r="G788" s="5" t="s">
        <v>33</v>
      </c>
      <c r="H788" s="5" t="s">
        <v>17</v>
      </c>
      <c r="I788" s="5" t="s">
        <v>18</v>
      </c>
      <c r="J788" s="7">
        <v>45468</v>
      </c>
      <c r="K788" s="5" t="s">
        <v>17</v>
      </c>
      <c r="L788" s="8">
        <v>44278</v>
      </c>
      <c r="M788" s="19">
        <v>235</v>
      </c>
      <c r="N788" s="19">
        <v>285</v>
      </c>
      <c r="O788" s="24">
        <v>7000</v>
      </c>
      <c r="P788" s="24">
        <v>9700</v>
      </c>
      <c r="Q788" t="s">
        <v>1983</v>
      </c>
      <c r="R788" s="19">
        <f>VLOOKUP(A788,[1]Sheet1!$A$2:$Q$1536,15,FALSE)</f>
        <v>5763.880859375</v>
      </c>
      <c r="S788" s="27">
        <f t="shared" si="36"/>
        <v>-0.68289391065793281</v>
      </c>
      <c r="T788" s="19">
        <f>VLOOKUP(A788,[1]Sheet1!$A$2:$Q$1536,16,FALSE)</f>
        <v>9496.5884161184695</v>
      </c>
      <c r="U788" s="27">
        <f t="shared" si="37"/>
        <v>-2.1419437693675551E-2</v>
      </c>
      <c r="V788" s="19">
        <f>VLOOKUP(A788,[1]Sheet1!$A$2:$Q$1536,17,FALSE)</f>
        <v>5812.43994140625</v>
      </c>
      <c r="W788" s="27">
        <f t="shared" si="38"/>
        <v>-0.66883444780217405</v>
      </c>
    </row>
    <row r="789" spans="1:23" x14ac:dyDescent="0.3">
      <c r="A789" s="4" t="s">
        <v>1167</v>
      </c>
      <c r="B789" s="5">
        <v>2019</v>
      </c>
      <c r="C789" s="5" t="s">
        <v>636</v>
      </c>
      <c r="D789" s="15" t="s">
        <v>1164</v>
      </c>
      <c r="E789" s="6">
        <v>112273</v>
      </c>
      <c r="F789" s="5" t="s">
        <v>24</v>
      </c>
      <c r="G789" s="5" t="s">
        <v>28</v>
      </c>
      <c r="H789" s="5" t="s">
        <v>17</v>
      </c>
      <c r="I789" s="5" t="s">
        <v>18</v>
      </c>
      <c r="J789" s="7">
        <v>45678</v>
      </c>
      <c r="K789" s="5" t="s">
        <v>17</v>
      </c>
      <c r="L789" s="8">
        <v>43612</v>
      </c>
      <c r="M789" s="19">
        <v>264</v>
      </c>
      <c r="N789" s="19">
        <v>314</v>
      </c>
      <c r="O789" s="24">
        <v>2900</v>
      </c>
      <c r="P789" s="24">
        <v>6000</v>
      </c>
      <c r="Q789" t="s">
        <v>1983</v>
      </c>
      <c r="R789" s="19">
        <f>VLOOKUP(A789,[1]Sheet1!$A$2:$Q$1536,15,FALSE)</f>
        <v>3343.63671875</v>
      </c>
      <c r="S789" s="27">
        <f t="shared" si="36"/>
        <v>-0.7944533167595631</v>
      </c>
      <c r="T789" s="19">
        <f>VLOOKUP(A789,[1]Sheet1!$A$2:$Q$1536,16,FALSE)</f>
        <v>8912.1867730471295</v>
      </c>
      <c r="U789" s="27">
        <f t="shared" si="37"/>
        <v>0.32676455815023675</v>
      </c>
      <c r="V789" s="19">
        <f>VLOOKUP(A789,[1]Sheet1!$A$2:$Q$1536,17,FALSE)</f>
        <v>3234.11572265625</v>
      </c>
      <c r="W789" s="27">
        <f t="shared" si="38"/>
        <v>-0.85522118394454627</v>
      </c>
    </row>
    <row r="790" spans="1:23" x14ac:dyDescent="0.3">
      <c r="A790" s="4" t="s">
        <v>254</v>
      </c>
      <c r="B790" s="5">
        <v>2014</v>
      </c>
      <c r="C790" s="5" t="s">
        <v>237</v>
      </c>
      <c r="D790" s="15" t="s">
        <v>250</v>
      </c>
      <c r="E790" s="6">
        <v>102250</v>
      </c>
      <c r="F790" s="5" t="s">
        <v>32</v>
      </c>
      <c r="G790" s="5" t="s">
        <v>25</v>
      </c>
      <c r="H790" s="5" t="s">
        <v>18</v>
      </c>
      <c r="I790" s="5" t="s">
        <v>17</v>
      </c>
      <c r="J790" s="7">
        <v>45384</v>
      </c>
      <c r="K790" s="5" t="s">
        <v>17</v>
      </c>
      <c r="L790" s="8">
        <v>43935</v>
      </c>
      <c r="M790" s="19">
        <v>222</v>
      </c>
      <c r="N790" s="19">
        <v>272</v>
      </c>
      <c r="O790" s="24">
        <v>1500</v>
      </c>
      <c r="P790" s="24">
        <v>4100</v>
      </c>
      <c r="Q790" t="s">
        <v>1983</v>
      </c>
      <c r="R790" s="19">
        <f>VLOOKUP(A790,[1]Sheet1!$A$2:$Q$1536,15,FALSE)</f>
        <v>3075.237548828125</v>
      </c>
      <c r="S790" s="27">
        <f t="shared" si="36"/>
        <v>-0.33323033908791189</v>
      </c>
      <c r="T790" s="19">
        <f>VLOOKUP(A790,[1]Sheet1!$A$2:$Q$1536,16,FALSE)</f>
        <v>9082.0234135495684</v>
      </c>
      <c r="U790" s="27">
        <f t="shared" si="37"/>
        <v>0.54855875025788137</v>
      </c>
      <c r="V790" s="19">
        <f>VLOOKUP(A790,[1]Sheet1!$A$2:$Q$1536,17,FALSE)</f>
        <v>2896.08837890625</v>
      </c>
      <c r="W790" s="27">
        <f t="shared" si="38"/>
        <v>-0.41570265253729061</v>
      </c>
    </row>
    <row r="791" spans="1:23" x14ac:dyDescent="0.3">
      <c r="A791" s="4" t="s">
        <v>322</v>
      </c>
      <c r="B791" s="5">
        <v>2017</v>
      </c>
      <c r="C791" s="5" t="s">
        <v>237</v>
      </c>
      <c r="D791" s="15" t="s">
        <v>310</v>
      </c>
      <c r="E791" s="6">
        <v>103281</v>
      </c>
      <c r="F791" s="5" t="s">
        <v>66</v>
      </c>
      <c r="G791" s="5" t="s">
        <v>22</v>
      </c>
      <c r="H791" s="5" t="s">
        <v>18</v>
      </c>
      <c r="I791" s="5" t="s">
        <v>17</v>
      </c>
      <c r="J791" s="7">
        <v>45720</v>
      </c>
      <c r="K791" s="5" t="s">
        <v>17</v>
      </c>
      <c r="L791" s="8">
        <v>44128</v>
      </c>
      <c r="M791" s="19">
        <v>264</v>
      </c>
      <c r="N791" s="19">
        <v>314</v>
      </c>
      <c r="O791" s="24">
        <v>1400</v>
      </c>
      <c r="P791" s="24">
        <v>4700</v>
      </c>
      <c r="Q791" t="s">
        <v>1983</v>
      </c>
      <c r="R791" s="19">
        <f>VLOOKUP(A791,[1]Sheet1!$A$2:$Q$1536,15,FALSE)</f>
        <v>1808.009033203125</v>
      </c>
      <c r="S791" s="27">
        <f t="shared" si="36"/>
        <v>-1.5995445341737777</v>
      </c>
      <c r="T791" s="19">
        <f>VLOOKUP(A791,[1]Sheet1!$A$2:$Q$1536,16,FALSE)</f>
        <v>9202.4762443832715</v>
      </c>
      <c r="U791" s="27">
        <f t="shared" si="37"/>
        <v>0.48926790190100805</v>
      </c>
      <c r="V791" s="19">
        <f>VLOOKUP(A791,[1]Sheet1!$A$2:$Q$1536,17,FALSE)</f>
        <v>1755.131225585938</v>
      </c>
      <c r="W791" s="27">
        <f t="shared" si="38"/>
        <v>-1.6778624478240587</v>
      </c>
    </row>
    <row r="792" spans="1:23" x14ac:dyDescent="0.3">
      <c r="A792" s="4" t="s">
        <v>1651</v>
      </c>
      <c r="B792" s="5">
        <v>2018</v>
      </c>
      <c r="C792" s="5" t="s">
        <v>391</v>
      </c>
      <c r="D792" s="15" t="s">
        <v>1067</v>
      </c>
      <c r="E792" s="6">
        <v>75196</v>
      </c>
      <c r="F792" s="5" t="s">
        <v>81</v>
      </c>
      <c r="G792" s="5" t="s">
        <v>33</v>
      </c>
      <c r="H792" s="5" t="s">
        <v>17</v>
      </c>
      <c r="I792" s="5" t="s">
        <v>18</v>
      </c>
      <c r="J792" s="7">
        <v>45512</v>
      </c>
      <c r="K792" s="5" t="s">
        <v>17</v>
      </c>
      <c r="L792" s="8">
        <v>43612</v>
      </c>
      <c r="M792" s="19">
        <v>264</v>
      </c>
      <c r="N792" s="19">
        <v>314</v>
      </c>
      <c r="O792" s="24">
        <v>0</v>
      </c>
      <c r="P792" s="24">
        <v>6400</v>
      </c>
      <c r="Q792" t="s">
        <v>1983</v>
      </c>
      <c r="R792" s="19">
        <f>VLOOKUP(A792,[1]Sheet1!$A$2:$Q$1536,15,FALSE)</f>
        <v>6876.63720703125</v>
      </c>
      <c r="S792" s="27">
        <f t="shared" si="36"/>
        <v>6.9312542261775301E-2</v>
      </c>
      <c r="T792" s="19">
        <f>VLOOKUP(A792,[1]Sheet1!$A$2:$Q$1536,16,FALSE)</f>
        <v>9733.0404893265641</v>
      </c>
      <c r="U792" s="27">
        <f t="shared" si="37"/>
        <v>0.34244596978525255</v>
      </c>
      <c r="V792" s="19">
        <f>VLOOKUP(A792,[1]Sheet1!$A$2:$Q$1536,17,FALSE)</f>
        <v>6959.8779296875</v>
      </c>
      <c r="W792" s="27">
        <f t="shared" si="38"/>
        <v>8.0443642164947954E-2</v>
      </c>
    </row>
    <row r="793" spans="1:23" x14ac:dyDescent="0.3">
      <c r="A793" s="4" t="s">
        <v>1461</v>
      </c>
      <c r="B793" s="5">
        <v>2016</v>
      </c>
      <c r="C793" s="5" t="s">
        <v>1086</v>
      </c>
      <c r="D793" s="15" t="s">
        <v>1447</v>
      </c>
      <c r="E793" s="6">
        <v>116984</v>
      </c>
      <c r="F793" s="5" t="s">
        <v>161</v>
      </c>
      <c r="G793" s="5" t="s">
        <v>16</v>
      </c>
      <c r="H793" s="5" t="s">
        <v>17</v>
      </c>
      <c r="I793" s="5" t="s">
        <v>18</v>
      </c>
      <c r="J793" s="7">
        <v>45295</v>
      </c>
      <c r="K793" s="5" t="s">
        <v>17</v>
      </c>
      <c r="L793" s="8">
        <v>44128</v>
      </c>
      <c r="M793" s="19">
        <v>264</v>
      </c>
      <c r="N793" s="19">
        <v>314</v>
      </c>
      <c r="O793" s="24">
        <v>0</v>
      </c>
      <c r="P793" s="24">
        <v>10100</v>
      </c>
      <c r="Q793" t="s">
        <v>1983</v>
      </c>
      <c r="R793" s="19">
        <f>VLOOKUP(A793,[1]Sheet1!$A$2:$Q$1536,15,FALSE)</f>
        <v>5598.02783203125</v>
      </c>
      <c r="S793" s="27">
        <f t="shared" si="36"/>
        <v>-0.80420682123247056</v>
      </c>
      <c r="T793" s="19">
        <f>VLOOKUP(A793,[1]Sheet1!$A$2:$Q$1536,16,FALSE)</f>
        <v>9561.3079468942251</v>
      </c>
      <c r="U793" s="27">
        <f t="shared" si="37"/>
        <v>-5.6340832875355393E-2</v>
      </c>
      <c r="V793" s="19">
        <f>VLOOKUP(A793,[1]Sheet1!$A$2:$Q$1536,17,FALSE)</f>
        <v>5634.40869140625</v>
      </c>
      <c r="W793" s="27">
        <f t="shared" si="38"/>
        <v>-0.79255722351216529</v>
      </c>
    </row>
    <row r="794" spans="1:23" x14ac:dyDescent="0.3">
      <c r="A794" s="4" t="s">
        <v>821</v>
      </c>
      <c r="B794" s="5">
        <v>2016</v>
      </c>
      <c r="C794" s="5" t="s">
        <v>559</v>
      </c>
      <c r="D794" s="15" t="s">
        <v>760</v>
      </c>
      <c r="E794" s="6">
        <v>70173</v>
      </c>
      <c r="F794" s="5" t="s">
        <v>115</v>
      </c>
      <c r="G794" s="5" t="s">
        <v>16</v>
      </c>
      <c r="H794" s="5" t="s">
        <v>17</v>
      </c>
      <c r="I794" s="5" t="s">
        <v>18</v>
      </c>
      <c r="J794" s="7">
        <v>45678</v>
      </c>
      <c r="K794" s="5" t="s">
        <v>17</v>
      </c>
      <c r="L794" s="8">
        <v>44074</v>
      </c>
      <c r="M794" s="19">
        <v>179</v>
      </c>
      <c r="N794" s="19">
        <v>229</v>
      </c>
      <c r="O794" s="24">
        <v>9900</v>
      </c>
      <c r="P794" s="24">
        <v>10700</v>
      </c>
      <c r="Q794" t="s">
        <v>1983</v>
      </c>
      <c r="R794" s="19">
        <f>VLOOKUP(A794,[1]Sheet1!$A$2:$Q$1536,15,FALSE)</f>
        <v>14464.2314453125</v>
      </c>
      <c r="S794" s="27">
        <f t="shared" si="36"/>
        <v>0.26024413806876651</v>
      </c>
      <c r="T794" s="19">
        <f>VLOOKUP(A794,[1]Sheet1!$A$2:$Q$1536,16,FALSE)</f>
        <v>11371.132485334419</v>
      </c>
      <c r="U794" s="27">
        <f t="shared" si="37"/>
        <v>5.9020725174031057E-2</v>
      </c>
      <c r="V794" s="19">
        <f>VLOOKUP(A794,[1]Sheet1!$A$2:$Q$1536,17,FALSE)</f>
        <v>14574.2236328125</v>
      </c>
      <c r="W794" s="27">
        <f t="shared" si="38"/>
        <v>0.2658271020413086</v>
      </c>
    </row>
    <row r="795" spans="1:23" x14ac:dyDescent="0.3">
      <c r="A795" s="4" t="s">
        <v>1681</v>
      </c>
      <c r="B795" s="5">
        <v>2021</v>
      </c>
      <c r="C795" s="5" t="s">
        <v>1089</v>
      </c>
      <c r="D795" s="15" t="s">
        <v>1682</v>
      </c>
      <c r="E795" s="6">
        <v>35981</v>
      </c>
      <c r="F795" s="5" t="s">
        <v>73</v>
      </c>
      <c r="G795" s="5" t="s">
        <v>33</v>
      </c>
      <c r="H795" s="5" t="s">
        <v>17</v>
      </c>
      <c r="I795" s="5" t="s">
        <v>18</v>
      </c>
      <c r="J795" s="7">
        <v>45328</v>
      </c>
      <c r="K795" s="5" t="s">
        <v>17</v>
      </c>
      <c r="L795" s="8">
        <v>44113</v>
      </c>
      <c r="M795" s="19">
        <v>264</v>
      </c>
      <c r="N795" s="19">
        <v>314</v>
      </c>
      <c r="O795" s="24">
        <v>14000</v>
      </c>
      <c r="P795" s="24">
        <v>16000</v>
      </c>
      <c r="Q795" t="s">
        <v>1983</v>
      </c>
      <c r="R795" s="19">
        <f>VLOOKUP(A795,[1]Sheet1!$A$2:$Q$1536,15,FALSE)</f>
        <v>7393.0517578125</v>
      </c>
      <c r="S795" s="27">
        <f t="shared" si="36"/>
        <v>-1.1641942359043047</v>
      </c>
      <c r="T795" s="19">
        <f>VLOOKUP(A795,[1]Sheet1!$A$2:$Q$1536,16,FALSE)</f>
        <v>13439.670985855921</v>
      </c>
      <c r="U795" s="27">
        <f t="shared" si="37"/>
        <v>-0.1905053343075587</v>
      </c>
      <c r="V795" s="19">
        <f>VLOOKUP(A795,[1]Sheet1!$A$2:$Q$1536,17,FALSE)</f>
        <v>8680.359375</v>
      </c>
      <c r="W795" s="27">
        <f t="shared" si="38"/>
        <v>-0.84324165726145406</v>
      </c>
    </row>
    <row r="796" spans="1:23" x14ac:dyDescent="0.3">
      <c r="A796" s="4" t="s">
        <v>845</v>
      </c>
      <c r="B796" s="5">
        <v>2016</v>
      </c>
      <c r="C796" s="5" t="s">
        <v>391</v>
      </c>
      <c r="D796" s="15" t="s">
        <v>580</v>
      </c>
      <c r="E796" s="6">
        <v>160191</v>
      </c>
      <c r="F796" s="5" t="s">
        <v>24</v>
      </c>
      <c r="G796" s="5" t="s">
        <v>22</v>
      </c>
      <c r="H796" s="5" t="s">
        <v>18</v>
      </c>
      <c r="I796" s="5" t="s">
        <v>17</v>
      </c>
      <c r="J796" s="7">
        <v>45596</v>
      </c>
      <c r="K796" s="5" t="s">
        <v>17</v>
      </c>
      <c r="L796" s="8">
        <v>44128</v>
      </c>
      <c r="M796" s="19">
        <v>264</v>
      </c>
      <c r="N796" s="19">
        <v>314</v>
      </c>
      <c r="O796" s="24">
        <v>0</v>
      </c>
      <c r="P796" s="24">
        <v>7800</v>
      </c>
      <c r="Q796" t="s">
        <v>1983</v>
      </c>
      <c r="R796" s="19">
        <f>VLOOKUP(A796,[1]Sheet1!$A$2:$Q$1536,15,FALSE)</f>
        <v>2231.921142578125</v>
      </c>
      <c r="S796" s="27">
        <f t="shared" si="36"/>
        <v>-2.4947471266794423</v>
      </c>
      <c r="T796" s="19">
        <f>VLOOKUP(A796,[1]Sheet1!$A$2:$Q$1536,16,FALSE)</f>
        <v>9451.0969287322132</v>
      </c>
      <c r="U796" s="27">
        <f t="shared" si="37"/>
        <v>0.17469897316497993</v>
      </c>
      <c r="V796" s="19">
        <f>VLOOKUP(A796,[1]Sheet1!$A$2:$Q$1536,17,FALSE)</f>
        <v>2182.28759765625</v>
      </c>
      <c r="W796" s="27">
        <f t="shared" si="38"/>
        <v>-2.5742310080381268</v>
      </c>
    </row>
    <row r="797" spans="1:23" x14ac:dyDescent="0.3">
      <c r="A797" s="4" t="s">
        <v>1907</v>
      </c>
      <c r="B797" s="5">
        <v>2015</v>
      </c>
      <c r="C797" s="5" t="s">
        <v>1894</v>
      </c>
      <c r="D797" s="15" t="s">
        <v>1908</v>
      </c>
      <c r="E797" s="6">
        <v>86848</v>
      </c>
      <c r="F797" s="5" t="s">
        <v>40</v>
      </c>
      <c r="G797" s="5" t="s">
        <v>33</v>
      </c>
      <c r="H797" s="5" t="s">
        <v>17</v>
      </c>
      <c r="I797" s="5" t="s">
        <v>18</v>
      </c>
      <c r="J797" s="7">
        <v>45603</v>
      </c>
      <c r="K797" s="5" t="s">
        <v>17</v>
      </c>
      <c r="L797" s="8">
        <v>44017</v>
      </c>
      <c r="M797" s="19">
        <v>222</v>
      </c>
      <c r="N797" s="19">
        <v>272</v>
      </c>
      <c r="O797" s="24">
        <v>0</v>
      </c>
      <c r="P797" s="24">
        <v>4400</v>
      </c>
      <c r="Q797" t="s">
        <v>1983</v>
      </c>
      <c r="R797" s="19">
        <f>VLOOKUP(A797,[1]Sheet1!$A$2:$Q$1536,15,FALSE)</f>
        <v>3963.1708984375</v>
      </c>
      <c r="S797" s="27">
        <f t="shared" si="36"/>
        <v>-0.11022212081107127</v>
      </c>
      <c r="T797" s="19">
        <f>VLOOKUP(A797,[1]Sheet1!$A$2:$Q$1536,16,FALSE)</f>
        <v>9485.0331994324679</v>
      </c>
      <c r="U797" s="27">
        <f t="shared" si="37"/>
        <v>0.53611127051581942</v>
      </c>
      <c r="V797" s="19">
        <f>VLOOKUP(A797,[1]Sheet1!$A$2:$Q$1536,17,FALSE)</f>
        <v>4058.1806640625</v>
      </c>
      <c r="W797" s="27">
        <f t="shared" si="38"/>
        <v>-8.4229699028558494E-2</v>
      </c>
    </row>
    <row r="798" spans="1:23" x14ac:dyDescent="0.3">
      <c r="A798" s="4" t="s">
        <v>272</v>
      </c>
      <c r="B798" s="5">
        <v>2014</v>
      </c>
      <c r="C798" s="5" t="s">
        <v>237</v>
      </c>
      <c r="D798" s="15" t="s">
        <v>273</v>
      </c>
      <c r="E798" s="6">
        <v>101382</v>
      </c>
      <c r="F798" s="5" t="s">
        <v>66</v>
      </c>
      <c r="G798" s="5" t="s">
        <v>33</v>
      </c>
      <c r="H798" s="5" t="s">
        <v>17</v>
      </c>
      <c r="I798" s="5" t="s">
        <v>18</v>
      </c>
      <c r="J798" s="7">
        <v>45484</v>
      </c>
      <c r="K798" s="5" t="s">
        <v>17</v>
      </c>
      <c r="L798" s="8">
        <v>44444</v>
      </c>
      <c r="M798" s="19">
        <v>264</v>
      </c>
      <c r="N798" s="19">
        <v>314</v>
      </c>
      <c r="O798" s="24">
        <v>0</v>
      </c>
      <c r="P798" s="24">
        <v>2000</v>
      </c>
      <c r="Q798" t="s">
        <v>1983</v>
      </c>
      <c r="R798" s="19">
        <f>VLOOKUP(A798,[1]Sheet1!$A$2:$Q$1536,15,FALSE)</f>
        <v>2767.049560546875</v>
      </c>
      <c r="S798" s="27">
        <f t="shared" si="36"/>
        <v>0.27720846474295768</v>
      </c>
      <c r="T798" s="19">
        <f>VLOOKUP(A798,[1]Sheet1!$A$2:$Q$1536,16,FALSE)</f>
        <v>9195.0245138772516</v>
      </c>
      <c r="U798" s="27">
        <f t="shared" si="37"/>
        <v>0.78249106383766853</v>
      </c>
      <c r="V798" s="19">
        <f>VLOOKUP(A798,[1]Sheet1!$A$2:$Q$1536,17,FALSE)</f>
        <v>2608.53466796875</v>
      </c>
      <c r="W798" s="27">
        <f t="shared" si="38"/>
        <v>0.23328601894434942</v>
      </c>
    </row>
    <row r="799" spans="1:23" x14ac:dyDescent="0.3">
      <c r="A799" s="4" t="s">
        <v>1583</v>
      </c>
      <c r="B799" s="5">
        <v>2008</v>
      </c>
      <c r="C799" s="5" t="s">
        <v>1177</v>
      </c>
      <c r="D799" s="15" t="s">
        <v>1584</v>
      </c>
      <c r="E799" s="6">
        <v>137883</v>
      </c>
      <c r="F799" s="5" t="s">
        <v>66</v>
      </c>
      <c r="G799" s="5" t="s">
        <v>25</v>
      </c>
      <c r="H799" s="5" t="s">
        <v>18</v>
      </c>
      <c r="I799" s="5" t="s">
        <v>17</v>
      </c>
      <c r="J799" s="7">
        <v>45498</v>
      </c>
      <c r="K799" s="5" t="s">
        <v>17</v>
      </c>
      <c r="L799" s="8">
        <v>44128</v>
      </c>
      <c r="M799" s="19">
        <v>264</v>
      </c>
      <c r="N799" s="19">
        <v>314</v>
      </c>
      <c r="O799" s="24">
        <v>0</v>
      </c>
      <c r="P799" s="24">
        <v>500</v>
      </c>
      <c r="Q799" t="s">
        <v>1983</v>
      </c>
      <c r="R799" s="19">
        <f>VLOOKUP(A799,[1]Sheet1!$A$2:$Q$1536,15,FALSE)</f>
        <v>1354.0244140625</v>
      </c>
      <c r="S799" s="27">
        <f t="shared" si="36"/>
        <v>0.63073043971205633</v>
      </c>
      <c r="T799" s="19">
        <f>VLOOKUP(A799,[1]Sheet1!$A$2:$Q$1536,16,FALSE)</f>
        <v>8939.4025670869541</v>
      </c>
      <c r="U799" s="27">
        <f t="shared" si="37"/>
        <v>0.94406785059206333</v>
      </c>
      <c r="V799" s="19">
        <f>VLOOKUP(A799,[1]Sheet1!$A$2:$Q$1536,17,FALSE)</f>
        <v>1380.25</v>
      </c>
      <c r="W799" s="27">
        <f t="shared" si="38"/>
        <v>0.63774678500271686</v>
      </c>
    </row>
    <row r="800" spans="1:23" x14ac:dyDescent="0.3">
      <c r="A800" s="4" t="s">
        <v>1156</v>
      </c>
      <c r="B800" s="5">
        <v>2017</v>
      </c>
      <c r="C800" s="5" t="s">
        <v>636</v>
      </c>
      <c r="D800" s="15" t="s">
        <v>1142</v>
      </c>
      <c r="E800" s="6">
        <v>103190</v>
      </c>
      <c r="F800" s="5" t="s">
        <v>38</v>
      </c>
      <c r="G800" s="5" t="s">
        <v>33</v>
      </c>
      <c r="H800" s="5" t="s">
        <v>17</v>
      </c>
      <c r="I800" s="5" t="s">
        <v>18</v>
      </c>
      <c r="J800" s="7">
        <v>45552</v>
      </c>
      <c r="K800" s="5" t="s">
        <v>17</v>
      </c>
      <c r="L800" s="8">
        <v>44310</v>
      </c>
      <c r="M800" s="19">
        <v>235</v>
      </c>
      <c r="N800" s="19">
        <v>285</v>
      </c>
      <c r="O800" s="24">
        <v>4100</v>
      </c>
      <c r="P800" s="24">
        <v>10000</v>
      </c>
      <c r="Q800" t="s">
        <v>1983</v>
      </c>
      <c r="R800" s="19">
        <f>VLOOKUP(A800,[1]Sheet1!$A$2:$Q$1536,15,FALSE)</f>
        <v>2802.110595703125</v>
      </c>
      <c r="S800" s="27">
        <f t="shared" si="36"/>
        <v>-2.5687385127961844</v>
      </c>
      <c r="T800" s="19">
        <f>VLOOKUP(A800,[1]Sheet1!$A$2:$Q$1536,16,FALSE)</f>
        <v>8672.5113077763126</v>
      </c>
      <c r="U800" s="27">
        <f t="shared" si="37"/>
        <v>-0.15306854555881391</v>
      </c>
      <c r="V800" s="19">
        <f>VLOOKUP(A800,[1]Sheet1!$A$2:$Q$1536,17,FALSE)</f>
        <v>2609.54150390625</v>
      </c>
      <c r="W800" s="27">
        <f t="shared" si="38"/>
        <v>-2.8320908040860417</v>
      </c>
    </row>
    <row r="801" spans="1:23" x14ac:dyDescent="0.3">
      <c r="A801" s="4" t="s">
        <v>1366</v>
      </c>
      <c r="B801" s="5">
        <v>2016</v>
      </c>
      <c r="C801" s="5" t="s">
        <v>1089</v>
      </c>
      <c r="D801" s="15" t="s">
        <v>1363</v>
      </c>
      <c r="E801" s="6">
        <v>77528</v>
      </c>
      <c r="F801" s="5" t="s">
        <v>79</v>
      </c>
      <c r="G801" s="5" t="s">
        <v>25</v>
      </c>
      <c r="H801" s="5" t="s">
        <v>18</v>
      </c>
      <c r="I801" s="5" t="s">
        <v>17</v>
      </c>
      <c r="J801" s="7">
        <v>45356</v>
      </c>
      <c r="K801" s="5" t="s">
        <v>17</v>
      </c>
      <c r="L801" s="8">
        <v>44224</v>
      </c>
      <c r="M801" s="19">
        <v>235</v>
      </c>
      <c r="N801" s="19">
        <v>285</v>
      </c>
      <c r="O801" s="24">
        <v>3200</v>
      </c>
      <c r="P801" s="24">
        <v>9700</v>
      </c>
      <c r="Q801" t="s">
        <v>1983</v>
      </c>
      <c r="R801" s="19">
        <f>VLOOKUP(A801,[1]Sheet1!$A$2:$Q$1536,15,FALSE)</f>
        <v>3916.72314453125</v>
      </c>
      <c r="S801" s="27">
        <f t="shared" si="36"/>
        <v>-1.4765600329815722</v>
      </c>
      <c r="T801" s="19">
        <f>VLOOKUP(A801,[1]Sheet1!$A$2:$Q$1536,16,FALSE)</f>
        <v>8773.4517047151403</v>
      </c>
      <c r="U801" s="27">
        <f t="shared" si="37"/>
        <v>-0.10560818324068534</v>
      </c>
      <c r="V801" s="19">
        <f>VLOOKUP(A801,[1]Sheet1!$A$2:$Q$1536,17,FALSE)</f>
        <v>3878.453125</v>
      </c>
      <c r="W801" s="27">
        <f t="shared" si="38"/>
        <v>-1.5009970953303708</v>
      </c>
    </row>
    <row r="802" spans="1:23" x14ac:dyDescent="0.3">
      <c r="A802" s="4" t="s">
        <v>1918</v>
      </c>
      <c r="B802" s="5">
        <v>2015</v>
      </c>
      <c r="C802" s="5" t="s">
        <v>1911</v>
      </c>
      <c r="D802" s="15" t="s">
        <v>1917</v>
      </c>
      <c r="E802" s="6">
        <v>77532</v>
      </c>
      <c r="F802" s="5" t="s">
        <v>27</v>
      </c>
      <c r="G802" s="5" t="s">
        <v>22</v>
      </c>
      <c r="H802" s="5" t="s">
        <v>18</v>
      </c>
      <c r="I802" s="5" t="s">
        <v>17</v>
      </c>
      <c r="J802" s="7">
        <v>45636</v>
      </c>
      <c r="K802" s="5" t="s">
        <v>17</v>
      </c>
      <c r="L802" s="8">
        <v>43612</v>
      </c>
      <c r="M802" s="19">
        <v>264</v>
      </c>
      <c r="N802" s="19">
        <v>314</v>
      </c>
      <c r="O802" s="24">
        <v>0</v>
      </c>
      <c r="P802" s="24">
        <v>3550</v>
      </c>
      <c r="Q802" t="s">
        <v>1983</v>
      </c>
      <c r="R802" s="19">
        <f>VLOOKUP(A802,[1]Sheet1!$A$2:$Q$1536,15,FALSE)</f>
        <v>2734.1787109375</v>
      </c>
      <c r="S802" s="27">
        <f t="shared" si="36"/>
        <v>-0.29837891934385291</v>
      </c>
      <c r="T802" s="19">
        <f>VLOOKUP(A802,[1]Sheet1!$A$2:$Q$1536,16,FALSE)</f>
        <v>9000.3996916817196</v>
      </c>
      <c r="U802" s="27">
        <f t="shared" si="37"/>
        <v>0.60557307212912403</v>
      </c>
      <c r="V802" s="19">
        <f>VLOOKUP(A802,[1]Sheet1!$A$2:$Q$1536,17,FALSE)</f>
        <v>2601.28369140625</v>
      </c>
      <c r="W802" s="27">
        <f t="shared" si="38"/>
        <v>-0.36471082017235706</v>
      </c>
    </row>
    <row r="803" spans="1:23" x14ac:dyDescent="0.3">
      <c r="A803" s="4" t="s">
        <v>415</v>
      </c>
      <c r="B803" s="5">
        <v>2017</v>
      </c>
      <c r="C803" s="5" t="s">
        <v>391</v>
      </c>
      <c r="D803" s="15" t="s">
        <v>413</v>
      </c>
      <c r="E803" s="6">
        <v>101771</v>
      </c>
      <c r="F803" s="5" t="s">
        <v>27</v>
      </c>
      <c r="G803" s="5" t="s">
        <v>28</v>
      </c>
      <c r="H803" s="5" t="s">
        <v>17</v>
      </c>
      <c r="I803" s="5" t="s">
        <v>18</v>
      </c>
      <c r="J803" s="7">
        <v>45484</v>
      </c>
      <c r="K803" s="5" t="s">
        <v>17</v>
      </c>
      <c r="L803" s="8">
        <v>44128</v>
      </c>
      <c r="M803" s="19">
        <v>264</v>
      </c>
      <c r="N803" s="19">
        <v>314</v>
      </c>
      <c r="O803" s="24">
        <v>4400</v>
      </c>
      <c r="P803" s="24">
        <v>9600</v>
      </c>
      <c r="Q803" t="s">
        <v>1983</v>
      </c>
      <c r="R803" s="19">
        <f>VLOOKUP(A803,[1]Sheet1!$A$2:$Q$1536,15,FALSE)</f>
        <v>4369.7626953125</v>
      </c>
      <c r="S803" s="27">
        <f t="shared" si="36"/>
        <v>-1.1969156380729877</v>
      </c>
      <c r="T803" s="19">
        <f>VLOOKUP(A803,[1]Sheet1!$A$2:$Q$1536,16,FALSE)</f>
        <v>9232.3503221391966</v>
      </c>
      <c r="U803" s="27">
        <f t="shared" si="37"/>
        <v>-3.9821894212482244E-2</v>
      </c>
      <c r="V803" s="19">
        <f>VLOOKUP(A803,[1]Sheet1!$A$2:$Q$1536,17,FALSE)</f>
        <v>4356.724609375</v>
      </c>
      <c r="W803" s="27">
        <f t="shared" si="38"/>
        <v>-1.2034902043939797</v>
      </c>
    </row>
    <row r="804" spans="1:23" x14ac:dyDescent="0.3">
      <c r="A804" s="4" t="s">
        <v>1867</v>
      </c>
      <c r="B804" s="5">
        <v>2016</v>
      </c>
      <c r="C804" s="5" t="s">
        <v>1401</v>
      </c>
      <c r="D804" s="15" t="s">
        <v>1868</v>
      </c>
      <c r="E804" s="6">
        <v>82426</v>
      </c>
      <c r="F804" s="5" t="s">
        <v>92</v>
      </c>
      <c r="G804" s="5" t="s">
        <v>33</v>
      </c>
      <c r="H804" s="5" t="s">
        <v>17</v>
      </c>
      <c r="I804" s="5" t="s">
        <v>18</v>
      </c>
      <c r="J804" s="7">
        <v>45482</v>
      </c>
      <c r="K804" s="5" t="s">
        <v>17</v>
      </c>
      <c r="L804" s="8">
        <v>43608</v>
      </c>
      <c r="M804" s="19">
        <v>264</v>
      </c>
      <c r="N804" s="19">
        <v>314</v>
      </c>
      <c r="O804" s="24"/>
      <c r="P804" s="24">
        <v>15500</v>
      </c>
      <c r="R804" s="19">
        <f>VLOOKUP(A804,[1]Sheet1!$A$2:$Q$1536,15,FALSE)</f>
        <v>9457.0712890625</v>
      </c>
      <c r="S804" s="27">
        <f t="shared" si="36"/>
        <v>-0.63898521288788435</v>
      </c>
      <c r="T804" s="19">
        <f>VLOOKUP(A804,[1]Sheet1!$A$2:$Q$1536,16,FALSE)</f>
        <v>10391.095105598481</v>
      </c>
      <c r="U804" s="27">
        <f t="shared" si="37"/>
        <v>-0.49166183568553423</v>
      </c>
      <c r="V804" s="19">
        <f>VLOOKUP(A804,[1]Sheet1!$A$2:$Q$1536,17,FALSE)</f>
        <v>9504.462890625</v>
      </c>
      <c r="W804" s="27">
        <f t="shared" si="38"/>
        <v>-0.63081282744434408</v>
      </c>
    </row>
    <row r="805" spans="1:23" x14ac:dyDescent="0.3">
      <c r="A805" s="4" t="s">
        <v>1902</v>
      </c>
      <c r="B805" s="5">
        <v>2012</v>
      </c>
      <c r="C805" s="5" t="s">
        <v>1223</v>
      </c>
      <c r="D805" s="15" t="s">
        <v>1901</v>
      </c>
      <c r="E805" s="6">
        <v>28203</v>
      </c>
      <c r="F805" s="5" t="s">
        <v>199</v>
      </c>
      <c r="G805" s="5" t="s">
        <v>16</v>
      </c>
      <c r="H805" s="5" t="s">
        <v>17</v>
      </c>
      <c r="I805" s="5" t="s">
        <v>18</v>
      </c>
      <c r="J805" s="7">
        <v>45384</v>
      </c>
      <c r="K805" s="5" t="s">
        <v>17</v>
      </c>
      <c r="L805" s="8">
        <v>43608</v>
      </c>
      <c r="M805" s="19">
        <v>264</v>
      </c>
      <c r="N805" s="19">
        <v>314</v>
      </c>
      <c r="O805" s="24">
        <v>0</v>
      </c>
      <c r="P805" s="24">
        <v>3800</v>
      </c>
      <c r="Q805" t="s">
        <v>1983</v>
      </c>
      <c r="R805" s="19">
        <f>VLOOKUP(A805,[1]Sheet1!$A$2:$Q$1536,15,FALSE)</f>
        <v>20602.009765625</v>
      </c>
      <c r="S805" s="27">
        <f t="shared" si="36"/>
        <v>0.81555197559704096</v>
      </c>
      <c r="T805" s="19">
        <f>VLOOKUP(A805,[1]Sheet1!$A$2:$Q$1536,16,FALSE)</f>
        <v>13298.574304863099</v>
      </c>
      <c r="U805" s="27">
        <f t="shared" si="37"/>
        <v>0.71425508382425673</v>
      </c>
      <c r="V805" s="19">
        <f>VLOOKUP(A805,[1]Sheet1!$A$2:$Q$1536,17,FALSE)</f>
        <v>20750.0234375</v>
      </c>
      <c r="W805" s="27">
        <f t="shared" si="38"/>
        <v>0.81686767673078686</v>
      </c>
    </row>
    <row r="806" spans="1:23" x14ac:dyDescent="0.3">
      <c r="A806" s="4" t="s">
        <v>1377</v>
      </c>
      <c r="B806" s="5">
        <v>2016</v>
      </c>
      <c r="C806" s="5" t="s">
        <v>1089</v>
      </c>
      <c r="D806" s="15" t="s">
        <v>1363</v>
      </c>
      <c r="E806" s="6">
        <v>125581</v>
      </c>
      <c r="F806" s="5" t="s">
        <v>103</v>
      </c>
      <c r="G806" s="5" t="s">
        <v>25</v>
      </c>
      <c r="H806" s="5" t="s">
        <v>18</v>
      </c>
      <c r="I806" s="5" t="s">
        <v>17</v>
      </c>
      <c r="J806" s="7">
        <v>45505</v>
      </c>
      <c r="K806" s="5" t="s">
        <v>17</v>
      </c>
      <c r="L806" s="8">
        <v>44662</v>
      </c>
      <c r="M806" s="19">
        <v>235</v>
      </c>
      <c r="N806" s="19">
        <v>285</v>
      </c>
      <c r="O806" s="24">
        <v>1600</v>
      </c>
      <c r="P806" s="24">
        <v>3000</v>
      </c>
      <c r="Q806" t="s">
        <v>1983</v>
      </c>
      <c r="R806" s="19">
        <f>VLOOKUP(A806,[1]Sheet1!$A$2:$Q$1536,15,FALSE)</f>
        <v>4562.65673828125</v>
      </c>
      <c r="S806" s="27">
        <f t="shared" si="36"/>
        <v>0.34248834131447325</v>
      </c>
      <c r="T806" s="19">
        <f>VLOOKUP(A806,[1]Sheet1!$A$2:$Q$1536,16,FALSE)</f>
        <v>8709.8382342367167</v>
      </c>
      <c r="U806" s="27">
        <f t="shared" si="37"/>
        <v>0.65556191523654583</v>
      </c>
      <c r="V806" s="19">
        <f>VLOOKUP(A806,[1]Sheet1!$A$2:$Q$1536,17,FALSE)</f>
        <v>4476.63671875</v>
      </c>
      <c r="W806" s="27">
        <f t="shared" si="38"/>
        <v>0.32985404255950379</v>
      </c>
    </row>
    <row r="807" spans="1:23" x14ac:dyDescent="0.3">
      <c r="A807" s="4" t="s">
        <v>1362</v>
      </c>
      <c r="B807" s="5">
        <v>2016</v>
      </c>
      <c r="C807" s="5" t="s">
        <v>1089</v>
      </c>
      <c r="D807" s="15" t="s">
        <v>1363</v>
      </c>
      <c r="E807" s="6">
        <v>133528</v>
      </c>
      <c r="F807" s="5" t="s">
        <v>21</v>
      </c>
      <c r="G807" s="5" t="s">
        <v>33</v>
      </c>
      <c r="H807" s="5" t="s">
        <v>17</v>
      </c>
      <c r="I807" s="5" t="s">
        <v>18</v>
      </c>
      <c r="J807" s="7">
        <v>45370</v>
      </c>
      <c r="K807" s="5" t="s">
        <v>17</v>
      </c>
      <c r="L807" s="8">
        <v>43612</v>
      </c>
      <c r="M807" s="19">
        <v>264</v>
      </c>
      <c r="N807" s="19">
        <v>314</v>
      </c>
      <c r="O807" s="24">
        <v>5200</v>
      </c>
      <c r="P807" s="24">
        <v>9700</v>
      </c>
      <c r="Q807" t="s">
        <v>1983</v>
      </c>
      <c r="R807" s="19">
        <f>VLOOKUP(A807,[1]Sheet1!$A$2:$Q$1536,15,FALSE)</f>
        <v>1772.274658203125</v>
      </c>
      <c r="S807" s="27">
        <f t="shared" si="36"/>
        <v>-4.4731922927988164</v>
      </c>
      <c r="T807" s="19">
        <f>VLOOKUP(A807,[1]Sheet1!$A$2:$Q$1536,16,FALSE)</f>
        <v>8528.2249859213134</v>
      </c>
      <c r="U807" s="27">
        <f t="shared" si="37"/>
        <v>-0.13739963661994062</v>
      </c>
      <c r="V807" s="19">
        <f>VLOOKUP(A807,[1]Sheet1!$A$2:$Q$1536,17,FALSE)</f>
        <v>1744.280029296875</v>
      </c>
      <c r="W807" s="27">
        <f t="shared" si="38"/>
        <v>-4.5610336855774829</v>
      </c>
    </row>
    <row r="808" spans="1:23" x14ac:dyDescent="0.3">
      <c r="A808" s="4" t="s">
        <v>887</v>
      </c>
      <c r="B808" s="5">
        <v>2015</v>
      </c>
      <c r="C808" s="5" t="s">
        <v>391</v>
      </c>
      <c r="D808" s="15" t="s">
        <v>590</v>
      </c>
      <c r="E808" s="6">
        <v>174412</v>
      </c>
      <c r="F808" s="5" t="s">
        <v>40</v>
      </c>
      <c r="G808" s="5" t="s">
        <v>25</v>
      </c>
      <c r="H808" s="5" t="s">
        <v>18</v>
      </c>
      <c r="I808" s="5" t="s">
        <v>17</v>
      </c>
      <c r="J808" s="7">
        <v>45309</v>
      </c>
      <c r="K808" s="5" t="s">
        <v>17</v>
      </c>
      <c r="L808" s="8">
        <v>44146</v>
      </c>
      <c r="M808" s="19">
        <v>235</v>
      </c>
      <c r="N808" s="19">
        <v>285</v>
      </c>
      <c r="O808" s="24">
        <v>0</v>
      </c>
      <c r="P808" s="24">
        <v>10800</v>
      </c>
      <c r="Q808" t="s">
        <v>1983</v>
      </c>
      <c r="R808" s="19">
        <f>VLOOKUP(A808,[1]Sheet1!$A$2:$Q$1536,15,FALSE)</f>
        <v>2518.40283203125</v>
      </c>
      <c r="S808" s="27">
        <f t="shared" si="36"/>
        <v>-3.288432280426369</v>
      </c>
      <c r="T808" s="19">
        <f>VLOOKUP(A808,[1]Sheet1!$A$2:$Q$1536,16,FALSE)</f>
        <v>9453.7989090774754</v>
      </c>
      <c r="U808" s="27">
        <f t="shared" si="37"/>
        <v>-0.1423978978048614</v>
      </c>
      <c r="V808" s="19">
        <f>VLOOKUP(A808,[1]Sheet1!$A$2:$Q$1536,17,FALSE)</f>
        <v>2422.48779296875</v>
      </c>
      <c r="W808" s="27">
        <f t="shared" si="38"/>
        <v>-3.4582267994690858</v>
      </c>
    </row>
    <row r="809" spans="1:23" x14ac:dyDescent="0.3">
      <c r="A809" s="4" t="s">
        <v>356</v>
      </c>
      <c r="B809" s="5">
        <v>2014</v>
      </c>
      <c r="C809" s="5" t="s">
        <v>237</v>
      </c>
      <c r="D809" s="15" t="s">
        <v>339</v>
      </c>
      <c r="E809" s="6">
        <v>132744</v>
      </c>
      <c r="F809" s="5" t="s">
        <v>132</v>
      </c>
      <c r="G809" s="5" t="s">
        <v>25</v>
      </c>
      <c r="H809" s="5" t="s">
        <v>18</v>
      </c>
      <c r="I809" s="5" t="s">
        <v>17</v>
      </c>
      <c r="J809" s="7">
        <v>45337</v>
      </c>
      <c r="K809" s="5" t="s">
        <v>17</v>
      </c>
      <c r="L809" s="8">
        <v>44307</v>
      </c>
      <c r="M809" s="19">
        <v>235</v>
      </c>
      <c r="N809" s="19">
        <v>285</v>
      </c>
      <c r="O809" s="24">
        <v>0</v>
      </c>
      <c r="P809" s="24">
        <v>7700</v>
      </c>
      <c r="Q809" t="s">
        <v>1983</v>
      </c>
      <c r="R809" s="19">
        <f>VLOOKUP(A809,[1]Sheet1!$A$2:$Q$1536,15,FALSE)</f>
        <v>2333.018798828125</v>
      </c>
      <c r="S809" s="27">
        <f t="shared" si="36"/>
        <v>-2.3004449016303292</v>
      </c>
      <c r="T809" s="19">
        <f>VLOOKUP(A809,[1]Sheet1!$A$2:$Q$1536,16,FALSE)</f>
        <v>9185.1996070934383</v>
      </c>
      <c r="U809" s="27">
        <f t="shared" si="37"/>
        <v>0.16169486463271476</v>
      </c>
      <c r="V809" s="19">
        <f>VLOOKUP(A809,[1]Sheet1!$A$2:$Q$1536,17,FALSE)</f>
        <v>2234.0322265625</v>
      </c>
      <c r="W809" s="27">
        <f t="shared" si="38"/>
        <v>-2.4466825985979495</v>
      </c>
    </row>
    <row r="810" spans="1:23" x14ac:dyDescent="0.3">
      <c r="A810" s="4" t="s">
        <v>1165</v>
      </c>
      <c r="B810" s="5">
        <v>2016</v>
      </c>
      <c r="C810" s="5" t="s">
        <v>636</v>
      </c>
      <c r="D810" s="15" t="s">
        <v>1164</v>
      </c>
      <c r="E810" s="6">
        <v>94847</v>
      </c>
      <c r="F810" s="5" t="s">
        <v>38</v>
      </c>
      <c r="G810" s="5" t="s">
        <v>25</v>
      </c>
      <c r="H810" s="5" t="s">
        <v>18</v>
      </c>
      <c r="I810" s="5" t="s">
        <v>17</v>
      </c>
      <c r="J810" s="7">
        <v>45370</v>
      </c>
      <c r="K810" s="5" t="s">
        <v>17</v>
      </c>
      <c r="L810" s="8">
        <v>44135</v>
      </c>
      <c r="M810" s="19">
        <v>235</v>
      </c>
      <c r="N810" s="19">
        <v>285</v>
      </c>
      <c r="O810" s="24">
        <v>1300</v>
      </c>
      <c r="P810" s="24">
        <v>3000</v>
      </c>
      <c r="Q810" t="s">
        <v>1983</v>
      </c>
      <c r="R810" s="19">
        <f>VLOOKUP(A810,[1]Sheet1!$A$2:$Q$1536,15,FALSE)</f>
        <v>2895.226806640625</v>
      </c>
      <c r="S810" s="27">
        <f t="shared" si="36"/>
        <v>-3.6188250647259272E-2</v>
      </c>
      <c r="T810" s="19">
        <f>VLOOKUP(A810,[1]Sheet1!$A$2:$Q$1536,16,FALSE)</f>
        <v>8961.6818793272305</v>
      </c>
      <c r="U810" s="27">
        <f t="shared" si="37"/>
        <v>0.66524140887879679</v>
      </c>
      <c r="V810" s="19">
        <f>VLOOKUP(A810,[1]Sheet1!$A$2:$Q$1536,17,FALSE)</f>
        <v>2692.84326171875</v>
      </c>
      <c r="W810" s="27">
        <f t="shared" si="38"/>
        <v>-0.11406409821461437</v>
      </c>
    </row>
    <row r="811" spans="1:23" x14ac:dyDescent="0.3">
      <c r="A811" s="4" t="s">
        <v>723</v>
      </c>
      <c r="B811" s="5">
        <v>2022</v>
      </c>
      <c r="C811" s="5" t="s">
        <v>83</v>
      </c>
      <c r="D811" s="15" t="s">
        <v>722</v>
      </c>
      <c r="E811" s="6">
        <v>48988</v>
      </c>
      <c r="F811" s="5" t="s">
        <v>21</v>
      </c>
      <c r="G811" s="5" t="s">
        <v>33</v>
      </c>
      <c r="H811" s="5" t="s">
        <v>17</v>
      </c>
      <c r="I811" s="5" t="s">
        <v>18</v>
      </c>
      <c r="J811" s="7">
        <v>45715</v>
      </c>
      <c r="K811" s="5" t="s">
        <v>17</v>
      </c>
      <c r="L811" s="8">
        <v>43612</v>
      </c>
      <c r="M811" s="19">
        <v>264</v>
      </c>
      <c r="N811" s="19">
        <v>314</v>
      </c>
      <c r="O811" s="24">
        <v>0</v>
      </c>
      <c r="P811" s="24">
        <v>17100</v>
      </c>
      <c r="Q811" t="s">
        <v>1983</v>
      </c>
      <c r="R811" s="19">
        <f>VLOOKUP(A811,[1]Sheet1!$A$2:$Q$1536,15,FALSE)</f>
        <v>13064.638671875</v>
      </c>
      <c r="S811" s="27">
        <f t="shared" si="36"/>
        <v>-0.30887661185855486</v>
      </c>
      <c r="T811" s="19">
        <f>VLOOKUP(A811,[1]Sheet1!$A$2:$Q$1536,16,FALSE)</f>
        <v>13741.069681886331</v>
      </c>
      <c r="U811" s="27">
        <f t="shared" si="37"/>
        <v>-0.24444460263100609</v>
      </c>
      <c r="V811" s="19">
        <f>VLOOKUP(A811,[1]Sheet1!$A$2:$Q$1536,17,FALSE)</f>
        <v>13102.1240234375</v>
      </c>
      <c r="W811" s="27">
        <f t="shared" si="38"/>
        <v>-0.30513189841669724</v>
      </c>
    </row>
    <row r="812" spans="1:23" x14ac:dyDescent="0.3">
      <c r="A812" s="4" t="s">
        <v>1559</v>
      </c>
      <c r="B812" s="5">
        <v>2014</v>
      </c>
      <c r="C812" s="5" t="s">
        <v>636</v>
      </c>
      <c r="D812" s="15" t="s">
        <v>1560</v>
      </c>
      <c r="E812" s="6">
        <v>106161</v>
      </c>
      <c r="F812" s="5" t="s">
        <v>73</v>
      </c>
      <c r="G812" s="5" t="s">
        <v>25</v>
      </c>
      <c r="H812" s="5" t="s">
        <v>18</v>
      </c>
      <c r="I812" s="5" t="s">
        <v>17</v>
      </c>
      <c r="J812" s="7">
        <v>45454</v>
      </c>
      <c r="K812" s="5" t="s">
        <v>17</v>
      </c>
      <c r="L812" s="8">
        <v>44224</v>
      </c>
      <c r="M812" s="19">
        <v>235</v>
      </c>
      <c r="N812" s="19">
        <v>285</v>
      </c>
      <c r="O812" s="24">
        <v>2500</v>
      </c>
      <c r="P812" s="24">
        <v>3600</v>
      </c>
      <c r="Q812" t="s">
        <v>1983</v>
      </c>
      <c r="R812" s="19">
        <f>VLOOKUP(A812,[1]Sheet1!$A$2:$Q$1536,15,FALSE)</f>
        <v>2108.75927734375</v>
      </c>
      <c r="S812" s="27">
        <f t="shared" si="36"/>
        <v>-0.70716498496436109</v>
      </c>
      <c r="T812" s="19">
        <f>VLOOKUP(A812,[1]Sheet1!$A$2:$Q$1536,16,FALSE)</f>
        <v>8341.7155338446319</v>
      </c>
      <c r="U812" s="27">
        <f t="shared" si="37"/>
        <v>0.56843409663230415</v>
      </c>
      <c r="V812" s="19">
        <f>VLOOKUP(A812,[1]Sheet1!$A$2:$Q$1536,17,FALSE)</f>
        <v>2121.134033203125</v>
      </c>
      <c r="W812" s="27">
        <f t="shared" si="38"/>
        <v>-0.69720533622462277</v>
      </c>
    </row>
    <row r="813" spans="1:23" x14ac:dyDescent="0.3">
      <c r="A813" s="4" t="s">
        <v>730</v>
      </c>
      <c r="B813" s="5">
        <v>2018</v>
      </c>
      <c r="C813" s="5" t="s">
        <v>83</v>
      </c>
      <c r="D813" s="15" t="s">
        <v>725</v>
      </c>
      <c r="E813" s="6">
        <v>66570</v>
      </c>
      <c r="F813" s="5" t="s">
        <v>36</v>
      </c>
      <c r="G813" s="5" t="s">
        <v>28</v>
      </c>
      <c r="H813" s="5" t="s">
        <v>17</v>
      </c>
      <c r="I813" s="5" t="s">
        <v>18</v>
      </c>
      <c r="J813" s="7">
        <v>45510</v>
      </c>
      <c r="K813" s="5" t="s">
        <v>17</v>
      </c>
      <c r="L813" s="8">
        <v>43608</v>
      </c>
      <c r="M813" s="19">
        <v>264</v>
      </c>
      <c r="N813" s="19">
        <v>314</v>
      </c>
      <c r="O813" s="24">
        <v>16500</v>
      </c>
      <c r="P813" s="24">
        <v>20100</v>
      </c>
      <c r="Q813" t="s">
        <v>1983</v>
      </c>
      <c r="R813" s="19">
        <f>VLOOKUP(A813,[1]Sheet1!$A$2:$Q$1536,15,FALSE)</f>
        <v>7439.8154296875</v>
      </c>
      <c r="S813" s="27">
        <f t="shared" si="36"/>
        <v>-1.7016799260629338</v>
      </c>
      <c r="T813" s="19">
        <f>VLOOKUP(A813,[1]Sheet1!$A$2:$Q$1536,16,FALSE)</f>
        <v>11218.73359641991</v>
      </c>
      <c r="U813" s="27">
        <f t="shared" si="37"/>
        <v>-0.7916460737078429</v>
      </c>
      <c r="V813" s="19">
        <f>VLOOKUP(A813,[1]Sheet1!$A$2:$Q$1536,17,FALSE)</f>
        <v>7056.85595703125</v>
      </c>
      <c r="W813" s="27">
        <f t="shared" si="38"/>
        <v>-1.8482939318001714</v>
      </c>
    </row>
    <row r="814" spans="1:23" x14ac:dyDescent="0.3">
      <c r="A814" s="4" t="s">
        <v>1565</v>
      </c>
      <c r="B814" s="5">
        <v>2015</v>
      </c>
      <c r="C814" s="5" t="s">
        <v>636</v>
      </c>
      <c r="D814" s="15" t="s">
        <v>1566</v>
      </c>
      <c r="E814" s="6">
        <v>44101</v>
      </c>
      <c r="F814" s="5" t="s">
        <v>644</v>
      </c>
      <c r="G814" s="5" t="s">
        <v>16</v>
      </c>
      <c r="H814" s="5" t="s">
        <v>17</v>
      </c>
      <c r="I814" s="5" t="s">
        <v>18</v>
      </c>
      <c r="J814" s="7">
        <v>45386</v>
      </c>
      <c r="K814" s="5" t="s">
        <v>17</v>
      </c>
      <c r="L814" s="8">
        <v>44662</v>
      </c>
      <c r="M814" s="19">
        <v>235</v>
      </c>
      <c r="N814" s="19">
        <v>285</v>
      </c>
      <c r="O814" s="24">
        <v>0</v>
      </c>
      <c r="P814" s="24">
        <v>2000</v>
      </c>
      <c r="Q814" t="s">
        <v>1983</v>
      </c>
      <c r="R814" s="19">
        <f>VLOOKUP(A814,[1]Sheet1!$A$2:$Q$1536,15,FALSE)</f>
        <v>10194.904296875</v>
      </c>
      <c r="S814" s="27">
        <f t="shared" si="36"/>
        <v>0.80382356305070457</v>
      </c>
      <c r="T814" s="19">
        <f>VLOOKUP(A814,[1]Sheet1!$A$2:$Q$1536,16,FALSE)</f>
        <v>11926.91516120298</v>
      </c>
      <c r="U814" s="27">
        <f t="shared" si="37"/>
        <v>0.83231204607660891</v>
      </c>
      <c r="V814" s="19">
        <f>VLOOKUP(A814,[1]Sheet1!$A$2:$Q$1536,17,FALSE)</f>
        <v>10027.189453125</v>
      </c>
      <c r="W814" s="27">
        <f t="shared" si="38"/>
        <v>0.80054231453892644</v>
      </c>
    </row>
    <row r="815" spans="1:23" x14ac:dyDescent="0.3">
      <c r="A815" s="4" t="s">
        <v>448</v>
      </c>
      <c r="B815" s="5">
        <v>2020</v>
      </c>
      <c r="C815" s="5" t="s">
        <v>391</v>
      </c>
      <c r="D815" s="15" t="s">
        <v>432</v>
      </c>
      <c r="E815" s="6">
        <v>79713</v>
      </c>
      <c r="F815" s="5" t="s">
        <v>40</v>
      </c>
      <c r="G815" s="5" t="s">
        <v>28</v>
      </c>
      <c r="H815" s="5" t="s">
        <v>17</v>
      </c>
      <c r="I815" s="5" t="s">
        <v>18</v>
      </c>
      <c r="J815" s="7">
        <v>45482</v>
      </c>
      <c r="K815" s="5" t="s">
        <v>17</v>
      </c>
      <c r="L815" s="8">
        <v>44451</v>
      </c>
      <c r="M815" s="19">
        <v>264</v>
      </c>
      <c r="N815" s="19">
        <v>314</v>
      </c>
      <c r="O815" s="24">
        <v>9600</v>
      </c>
      <c r="P815" s="24">
        <v>15300</v>
      </c>
      <c r="Q815" t="s">
        <v>1983</v>
      </c>
      <c r="R815" s="19">
        <f>VLOOKUP(A815,[1]Sheet1!$A$2:$Q$1536,15,FALSE)</f>
        <v>7305.7275390625</v>
      </c>
      <c r="S815" s="27">
        <f t="shared" si="36"/>
        <v>-1.0942472762902073</v>
      </c>
      <c r="T815" s="19">
        <f>VLOOKUP(A815,[1]Sheet1!$A$2:$Q$1536,16,FALSE)</f>
        <v>10813.21878455035</v>
      </c>
      <c r="U815" s="27">
        <f t="shared" si="37"/>
        <v>-0.41493484085055671</v>
      </c>
      <c r="V815" s="19">
        <f>VLOOKUP(A815,[1]Sheet1!$A$2:$Q$1536,17,FALSE)</f>
        <v>6935.06494140625</v>
      </c>
      <c r="W815" s="27">
        <f t="shared" si="38"/>
        <v>-1.2061797732636026</v>
      </c>
    </row>
    <row r="816" spans="1:23" x14ac:dyDescent="0.3">
      <c r="A816" s="4" t="s">
        <v>1247</v>
      </c>
      <c r="B816" s="5">
        <v>2015</v>
      </c>
      <c r="C816" s="5" t="s">
        <v>920</v>
      </c>
      <c r="D816" s="15" t="s">
        <v>1238</v>
      </c>
      <c r="E816" s="6">
        <v>114451</v>
      </c>
      <c r="F816" s="5" t="s">
        <v>101</v>
      </c>
      <c r="G816" s="5" t="s">
        <v>16</v>
      </c>
      <c r="H816" s="5" t="s">
        <v>17</v>
      </c>
      <c r="I816" s="5" t="s">
        <v>18</v>
      </c>
      <c r="J816" s="7">
        <v>45386</v>
      </c>
      <c r="K816" s="5" t="s">
        <v>17</v>
      </c>
      <c r="L816" s="8">
        <v>44444</v>
      </c>
      <c r="M816" s="19">
        <v>264</v>
      </c>
      <c r="N816" s="19">
        <v>314</v>
      </c>
      <c r="O816" s="24">
        <v>0</v>
      </c>
      <c r="P816" s="24">
        <v>12200</v>
      </c>
      <c r="Q816" t="s">
        <v>1983</v>
      </c>
      <c r="R816" s="19">
        <f>VLOOKUP(A816,[1]Sheet1!$A$2:$Q$1536,15,FALSE)</f>
        <v>9922.6240234375</v>
      </c>
      <c r="S816" s="27">
        <f t="shared" si="36"/>
        <v>-0.22951348062601967</v>
      </c>
      <c r="T816" s="19">
        <f>VLOOKUP(A816,[1]Sheet1!$A$2:$Q$1536,16,FALSE)</f>
        <v>10228.645154801239</v>
      </c>
      <c r="U816" s="27">
        <f t="shared" si="37"/>
        <v>-0.19272883313127973</v>
      </c>
      <c r="V816" s="19">
        <f>VLOOKUP(A816,[1]Sheet1!$A$2:$Q$1536,17,FALSE)</f>
        <v>9994.708984375</v>
      </c>
      <c r="W816" s="27">
        <f t="shared" si="38"/>
        <v>-0.22064584562417888</v>
      </c>
    </row>
    <row r="817" spans="1:23" x14ac:dyDescent="0.3">
      <c r="A817" s="4" t="s">
        <v>699</v>
      </c>
      <c r="B817" s="5">
        <v>2018</v>
      </c>
      <c r="C817" s="5" t="s">
        <v>684</v>
      </c>
      <c r="D817" s="15" t="s">
        <v>693</v>
      </c>
      <c r="E817" s="6">
        <v>132752</v>
      </c>
      <c r="F817" s="5" t="s">
        <v>66</v>
      </c>
      <c r="G817" s="5" t="s">
        <v>22</v>
      </c>
      <c r="H817" s="5" t="s">
        <v>18</v>
      </c>
      <c r="I817" s="5" t="s">
        <v>17</v>
      </c>
      <c r="J817" s="7">
        <v>45580</v>
      </c>
      <c r="K817" s="5" t="s">
        <v>17</v>
      </c>
      <c r="L817" s="8">
        <v>44128</v>
      </c>
      <c r="M817" s="19">
        <v>264</v>
      </c>
      <c r="N817" s="19">
        <v>314</v>
      </c>
      <c r="O817" s="24">
        <v>1500</v>
      </c>
      <c r="P817" s="24">
        <v>1600</v>
      </c>
      <c r="Q817" t="s">
        <v>1983</v>
      </c>
      <c r="R817" s="19">
        <f>VLOOKUP(A817,[1]Sheet1!$A$2:$Q$1536,15,FALSE)</f>
        <v>1783.93701171875</v>
      </c>
      <c r="S817" s="27">
        <f t="shared" si="36"/>
        <v>0.10310734656574799</v>
      </c>
      <c r="T817" s="19">
        <f>VLOOKUP(A817,[1]Sheet1!$A$2:$Q$1536,16,FALSE)</f>
        <v>8804.6877830581343</v>
      </c>
      <c r="U817" s="27">
        <f t="shared" si="37"/>
        <v>0.81827862163622667</v>
      </c>
      <c r="V817" s="19">
        <f>VLOOKUP(A817,[1]Sheet1!$A$2:$Q$1536,17,FALSE)</f>
        <v>1715.600830078125</v>
      </c>
      <c r="W817" s="27">
        <f t="shared" si="38"/>
        <v>6.7382125288934933E-2</v>
      </c>
    </row>
    <row r="818" spans="1:23" x14ac:dyDescent="0.3">
      <c r="A818" s="4" t="s">
        <v>1360</v>
      </c>
      <c r="B818" s="5">
        <v>2013</v>
      </c>
      <c r="C818" s="5" t="s">
        <v>1089</v>
      </c>
      <c r="D818" s="15" t="s">
        <v>1328</v>
      </c>
      <c r="E818" s="6">
        <v>191217</v>
      </c>
      <c r="F818" s="5" t="s">
        <v>87</v>
      </c>
      <c r="G818" s="5" t="s">
        <v>25</v>
      </c>
      <c r="H818" s="5" t="s">
        <v>18</v>
      </c>
      <c r="I818" s="5" t="s">
        <v>17</v>
      </c>
      <c r="J818" s="7">
        <v>45575</v>
      </c>
      <c r="K818" s="5" t="s">
        <v>17</v>
      </c>
      <c r="L818" s="8">
        <v>44483</v>
      </c>
      <c r="M818" s="19">
        <v>264</v>
      </c>
      <c r="N818" s="19">
        <v>314</v>
      </c>
      <c r="O818" s="24">
        <v>2300</v>
      </c>
      <c r="P818" s="24">
        <v>8000</v>
      </c>
      <c r="Q818" t="s">
        <v>1983</v>
      </c>
      <c r="R818" s="19">
        <f>VLOOKUP(A818,[1]Sheet1!$A$2:$Q$1536,15,FALSE)</f>
        <v>495.48507690429688</v>
      </c>
      <c r="S818" s="27">
        <f t="shared" si="36"/>
        <v>-15.145794036790342</v>
      </c>
      <c r="T818" s="19">
        <f>VLOOKUP(A818,[1]Sheet1!$A$2:$Q$1536,16,FALSE)</f>
        <v>8565.006194416419</v>
      </c>
      <c r="U818" s="27">
        <f t="shared" si="37"/>
        <v>6.5966816788147808E-2</v>
      </c>
      <c r="V818" s="19">
        <f>VLOOKUP(A818,[1]Sheet1!$A$2:$Q$1536,17,FALSE)</f>
        <v>820.78350830078125</v>
      </c>
      <c r="W818" s="27">
        <f t="shared" si="38"/>
        <v>-8.7467845285560362</v>
      </c>
    </row>
    <row r="819" spans="1:23" x14ac:dyDescent="0.3">
      <c r="A819" s="4" t="s">
        <v>1477</v>
      </c>
      <c r="B819" s="5">
        <v>2016</v>
      </c>
      <c r="C819" s="5" t="s">
        <v>920</v>
      </c>
      <c r="D819" s="15" t="s">
        <v>921</v>
      </c>
      <c r="E819" s="6">
        <v>108496</v>
      </c>
      <c r="F819" s="5" t="s">
        <v>21</v>
      </c>
      <c r="G819" s="5" t="s">
        <v>33</v>
      </c>
      <c r="H819" s="5" t="s">
        <v>17</v>
      </c>
      <c r="I819" s="5" t="s">
        <v>18</v>
      </c>
      <c r="J819" s="7">
        <v>45608</v>
      </c>
      <c r="K819" s="5" t="s">
        <v>17</v>
      </c>
      <c r="L819" s="8">
        <v>44451</v>
      </c>
      <c r="M819" s="19">
        <v>264</v>
      </c>
      <c r="N819" s="19">
        <v>314</v>
      </c>
      <c r="O819" s="24">
        <v>6900</v>
      </c>
      <c r="P819" s="24">
        <v>12300</v>
      </c>
      <c r="Q819" t="s">
        <v>1983</v>
      </c>
      <c r="R819" s="19">
        <f>VLOOKUP(A819,[1]Sheet1!$A$2:$Q$1536,15,FALSE)</f>
        <v>4037.0087890625</v>
      </c>
      <c r="S819" s="27">
        <f t="shared" si="36"/>
        <v>-2.0468103099811148</v>
      </c>
      <c r="T819" s="19">
        <f>VLOOKUP(A819,[1]Sheet1!$A$2:$Q$1536,16,FALSE)</f>
        <v>9381.9709632600825</v>
      </c>
      <c r="U819" s="27">
        <f t="shared" si="37"/>
        <v>-0.31102516178817396</v>
      </c>
      <c r="V819" s="19">
        <f>VLOOKUP(A819,[1]Sheet1!$A$2:$Q$1536,17,FALSE)</f>
        <v>3918.42822265625</v>
      </c>
      <c r="W819" s="27">
        <f t="shared" si="38"/>
        <v>-2.1390137323127982</v>
      </c>
    </row>
    <row r="820" spans="1:23" x14ac:dyDescent="0.3">
      <c r="A820" s="4" t="s">
        <v>362</v>
      </c>
      <c r="B820" s="5">
        <v>2018</v>
      </c>
      <c r="C820" s="5" t="s">
        <v>237</v>
      </c>
      <c r="D820" s="15" t="s">
        <v>310</v>
      </c>
      <c r="E820" s="6">
        <v>87195</v>
      </c>
      <c r="F820" s="5" t="s">
        <v>15</v>
      </c>
      <c r="G820" s="5" t="s">
        <v>33</v>
      </c>
      <c r="H820" s="5" t="s">
        <v>17</v>
      </c>
      <c r="I820" s="5" t="s">
        <v>18</v>
      </c>
      <c r="J820" s="7">
        <v>45734</v>
      </c>
      <c r="K820" s="5" t="s">
        <v>17</v>
      </c>
      <c r="L820" s="8">
        <v>44054</v>
      </c>
      <c r="M820" s="19">
        <v>235</v>
      </c>
      <c r="N820" s="19">
        <v>285</v>
      </c>
      <c r="O820" s="24">
        <v>0</v>
      </c>
      <c r="P820" s="24">
        <v>10300</v>
      </c>
      <c r="Q820" t="s">
        <v>1983</v>
      </c>
      <c r="R820" s="19">
        <f>VLOOKUP(A820,[1]Sheet1!$A$2:$Q$1536,15,FALSE)</f>
        <v>9396.537109375</v>
      </c>
      <c r="S820" s="27">
        <f t="shared" si="36"/>
        <v>-9.6148493866278453E-2</v>
      </c>
      <c r="T820" s="19">
        <f>VLOOKUP(A820,[1]Sheet1!$A$2:$Q$1536,16,FALSE)</f>
        <v>10338.399912703069</v>
      </c>
      <c r="U820" s="27">
        <f t="shared" si="37"/>
        <v>3.7142994106743998E-3</v>
      </c>
      <c r="V820" s="19">
        <f>VLOOKUP(A820,[1]Sheet1!$A$2:$Q$1536,17,FALSE)</f>
        <v>9504.462890625</v>
      </c>
      <c r="W820" s="27">
        <f t="shared" si="38"/>
        <v>-8.370142726946736E-2</v>
      </c>
    </row>
    <row r="821" spans="1:23" x14ac:dyDescent="0.3">
      <c r="A821" s="4" t="s">
        <v>880</v>
      </c>
      <c r="B821" s="5">
        <v>2019</v>
      </c>
      <c r="C821" s="5" t="s">
        <v>391</v>
      </c>
      <c r="D821" s="15" t="s">
        <v>590</v>
      </c>
      <c r="E821" s="6">
        <v>170865</v>
      </c>
      <c r="F821" s="5" t="s">
        <v>15</v>
      </c>
      <c r="G821" s="5" t="s">
        <v>25</v>
      </c>
      <c r="H821" s="5" t="s">
        <v>18</v>
      </c>
      <c r="I821" s="5" t="s">
        <v>17</v>
      </c>
      <c r="J821" s="7">
        <v>45435</v>
      </c>
      <c r="K821" s="5" t="s">
        <v>17</v>
      </c>
      <c r="L821" s="8">
        <v>44451</v>
      </c>
      <c r="M821" s="19">
        <v>264</v>
      </c>
      <c r="N821" s="19">
        <v>314</v>
      </c>
      <c r="O821" s="24">
        <v>0</v>
      </c>
      <c r="P821" s="24">
        <v>15300</v>
      </c>
      <c r="Q821" t="s">
        <v>1983</v>
      </c>
      <c r="R821" s="19">
        <f>VLOOKUP(A821,[1]Sheet1!$A$2:$Q$1536,15,FALSE)</f>
        <v>9095.146484375</v>
      </c>
      <c r="S821" s="27">
        <f t="shared" si="36"/>
        <v>-0.68221589682855832</v>
      </c>
      <c r="T821" s="19">
        <f>VLOOKUP(A821,[1]Sheet1!$A$2:$Q$1536,16,FALSE)</f>
        <v>10354.098307994251</v>
      </c>
      <c r="U821" s="27">
        <f t="shared" si="37"/>
        <v>-0.47767575165739828</v>
      </c>
      <c r="V821" s="19">
        <f>VLOOKUP(A821,[1]Sheet1!$A$2:$Q$1536,17,FALSE)</f>
        <v>9144.44921875</v>
      </c>
      <c r="W821" s="27">
        <f t="shared" si="38"/>
        <v>-0.67314614953829144</v>
      </c>
    </row>
    <row r="822" spans="1:23" x14ac:dyDescent="0.3">
      <c r="A822" s="4" t="s">
        <v>1641</v>
      </c>
      <c r="B822" s="5">
        <v>2018</v>
      </c>
      <c r="C822" s="5" t="s">
        <v>391</v>
      </c>
      <c r="D822" s="15" t="s">
        <v>1056</v>
      </c>
      <c r="E822" s="6">
        <v>145866</v>
      </c>
      <c r="F822" s="5" t="s">
        <v>81</v>
      </c>
      <c r="G822" s="5" t="s">
        <v>25</v>
      </c>
      <c r="H822" s="5" t="s">
        <v>18</v>
      </c>
      <c r="I822" s="5" t="s">
        <v>17</v>
      </c>
      <c r="J822" s="7">
        <v>45622</v>
      </c>
      <c r="K822" s="5" t="s">
        <v>17</v>
      </c>
      <c r="L822" s="8">
        <v>43935</v>
      </c>
      <c r="M822" s="19">
        <v>222</v>
      </c>
      <c r="N822" s="19">
        <v>272</v>
      </c>
      <c r="O822" s="24">
        <v>1600</v>
      </c>
      <c r="P822" s="24">
        <v>3900</v>
      </c>
      <c r="Q822" t="s">
        <v>1983</v>
      </c>
      <c r="R822" s="19">
        <f>VLOOKUP(A822,[1]Sheet1!$A$2:$Q$1536,15,FALSE)</f>
        <v>2374.367919921875</v>
      </c>
      <c r="S822" s="27">
        <f t="shared" si="36"/>
        <v>-0.64254240771932414</v>
      </c>
      <c r="T822" s="19">
        <f>VLOOKUP(A822,[1]Sheet1!$A$2:$Q$1536,16,FALSE)</f>
        <v>9521.72743965064</v>
      </c>
      <c r="U822" s="27">
        <f t="shared" si="37"/>
        <v>0.59041045601037556</v>
      </c>
      <c r="V822" s="19">
        <f>VLOOKUP(A822,[1]Sheet1!$A$2:$Q$1536,17,FALSE)</f>
        <v>2398.505859375</v>
      </c>
      <c r="W822" s="27">
        <f t="shared" si="38"/>
        <v>-0.62601228792338981</v>
      </c>
    </row>
    <row r="823" spans="1:23" x14ac:dyDescent="0.3">
      <c r="A823" s="4" t="s">
        <v>1466</v>
      </c>
      <c r="B823" s="5">
        <v>2014</v>
      </c>
      <c r="C823" s="5" t="s">
        <v>1089</v>
      </c>
      <c r="D823" s="15" t="s">
        <v>1464</v>
      </c>
      <c r="E823" s="6">
        <v>126887</v>
      </c>
      <c r="F823" s="5" t="s">
        <v>79</v>
      </c>
      <c r="G823" s="5" t="s">
        <v>25</v>
      </c>
      <c r="H823" s="5" t="s">
        <v>18</v>
      </c>
      <c r="I823" s="5" t="s">
        <v>17</v>
      </c>
      <c r="J823" s="7">
        <v>45484</v>
      </c>
      <c r="K823" s="5" t="s">
        <v>17</v>
      </c>
      <c r="L823" s="8">
        <v>43935</v>
      </c>
      <c r="M823" s="19">
        <v>222</v>
      </c>
      <c r="N823" s="19">
        <v>272</v>
      </c>
      <c r="O823" s="24">
        <v>0</v>
      </c>
      <c r="P823" s="24">
        <v>11000</v>
      </c>
      <c r="Q823" t="s">
        <v>1983</v>
      </c>
      <c r="R823" s="19">
        <f>VLOOKUP(A823,[1]Sheet1!$A$2:$Q$1536,15,FALSE)</f>
        <v>1240.900512695312</v>
      </c>
      <c r="S823" s="27">
        <f t="shared" si="36"/>
        <v>-7.8645301436029911</v>
      </c>
      <c r="T823" s="19">
        <f>VLOOKUP(A823,[1]Sheet1!$A$2:$Q$1536,16,FALSE)</f>
        <v>8676.1219526653676</v>
      </c>
      <c r="U823" s="27">
        <f t="shared" si="37"/>
        <v>-0.26784755447342695</v>
      </c>
      <c r="V823" s="19">
        <f>VLOOKUP(A823,[1]Sheet1!$A$2:$Q$1536,17,FALSE)</f>
        <v>1330.663208007812</v>
      </c>
      <c r="W823" s="27">
        <f t="shared" si="38"/>
        <v>-7.2665545524990733</v>
      </c>
    </row>
    <row r="824" spans="1:23" x14ac:dyDescent="0.3">
      <c r="A824" s="4" t="s">
        <v>1347</v>
      </c>
      <c r="B824" s="5">
        <v>2020</v>
      </c>
      <c r="C824" s="5" t="s">
        <v>1089</v>
      </c>
      <c r="D824" s="15" t="s">
        <v>1328</v>
      </c>
      <c r="E824" s="6">
        <v>82878</v>
      </c>
      <c r="F824" s="5" t="s">
        <v>36</v>
      </c>
      <c r="G824" s="5" t="s">
        <v>28</v>
      </c>
      <c r="H824" s="5" t="s">
        <v>17</v>
      </c>
      <c r="I824" s="5" t="s">
        <v>18</v>
      </c>
      <c r="J824" s="7">
        <v>45372</v>
      </c>
      <c r="K824" s="5" t="s">
        <v>17</v>
      </c>
      <c r="L824" s="8">
        <v>43617</v>
      </c>
      <c r="M824" s="19">
        <v>264</v>
      </c>
      <c r="N824" s="19">
        <v>314</v>
      </c>
      <c r="O824" s="24">
        <v>9400</v>
      </c>
      <c r="P824" s="24">
        <v>15400</v>
      </c>
      <c r="Q824" t="s">
        <v>1983</v>
      </c>
      <c r="R824" s="19">
        <f>VLOOKUP(A824,[1]Sheet1!$A$2:$Q$1536,15,FALSE)</f>
        <v>5719.0634765625</v>
      </c>
      <c r="S824" s="27">
        <f t="shared" si="36"/>
        <v>-1.692748570305487</v>
      </c>
      <c r="T824" s="19">
        <f>VLOOKUP(A824,[1]Sheet1!$A$2:$Q$1536,16,FALSE)</f>
        <v>10152.07781037116</v>
      </c>
      <c r="U824" s="27">
        <f t="shared" si="37"/>
        <v>-0.51693084781793808</v>
      </c>
      <c r="V824" s="19">
        <f>VLOOKUP(A824,[1]Sheet1!$A$2:$Q$1536,17,FALSE)</f>
        <v>5443.36279296875</v>
      </c>
      <c r="W824" s="27">
        <f t="shared" si="38"/>
        <v>-1.8291334944443434</v>
      </c>
    </row>
    <row r="825" spans="1:23" x14ac:dyDescent="0.3">
      <c r="A825" s="4" t="s">
        <v>1027</v>
      </c>
      <c r="B825" s="5">
        <v>2019</v>
      </c>
      <c r="C825" s="5" t="s">
        <v>237</v>
      </c>
      <c r="D825" s="15" t="s">
        <v>1024</v>
      </c>
      <c r="E825" s="6">
        <v>227861</v>
      </c>
      <c r="F825" s="5" t="s">
        <v>42</v>
      </c>
      <c r="G825" s="5" t="s">
        <v>25</v>
      </c>
      <c r="H825" s="5" t="s">
        <v>18</v>
      </c>
      <c r="I825" s="5" t="s">
        <v>17</v>
      </c>
      <c r="J825" s="7">
        <v>45678</v>
      </c>
      <c r="K825" s="5" t="s">
        <v>17</v>
      </c>
      <c r="L825" s="8">
        <v>44310</v>
      </c>
      <c r="M825" s="19">
        <v>235</v>
      </c>
      <c r="N825" s="19">
        <v>285</v>
      </c>
      <c r="O825" s="24">
        <v>1100</v>
      </c>
      <c r="P825" s="24">
        <v>10000</v>
      </c>
      <c r="Q825" t="s">
        <v>1983</v>
      </c>
      <c r="R825" s="19">
        <f>VLOOKUP(A825,[1]Sheet1!$A$2:$Q$1536,15,FALSE)</f>
        <v>4600.2451171875</v>
      </c>
      <c r="S825" s="27">
        <f t="shared" si="36"/>
        <v>-1.1737972097699447</v>
      </c>
      <c r="T825" s="19">
        <f>VLOOKUP(A825,[1]Sheet1!$A$2:$Q$1536,16,FALSE)</f>
        <v>9386.2627001086985</v>
      </c>
      <c r="U825" s="27">
        <f t="shared" si="37"/>
        <v>-6.5386759299225036E-2</v>
      </c>
      <c r="V825" s="19">
        <f>VLOOKUP(A825,[1]Sheet1!$A$2:$Q$1536,17,FALSE)</f>
        <v>4494.11474609375</v>
      </c>
      <c r="W825" s="27">
        <f t="shared" si="38"/>
        <v>-1.2251323263812797</v>
      </c>
    </row>
    <row r="826" spans="1:23" x14ac:dyDescent="0.3">
      <c r="A826" s="4" t="s">
        <v>1724</v>
      </c>
      <c r="B826" s="5">
        <v>2016</v>
      </c>
      <c r="C826" s="5" t="s">
        <v>1089</v>
      </c>
      <c r="D826" s="15" t="s">
        <v>1720</v>
      </c>
      <c r="E826" s="6">
        <v>143904</v>
      </c>
      <c r="F826" s="5" t="s">
        <v>144</v>
      </c>
      <c r="G826" s="5" t="s">
        <v>25</v>
      </c>
      <c r="H826" s="5" t="s">
        <v>18</v>
      </c>
      <c r="I826" s="5" t="s">
        <v>17</v>
      </c>
      <c r="J826" s="7">
        <v>45540</v>
      </c>
      <c r="K826" s="5" t="s">
        <v>17</v>
      </c>
      <c r="L826" s="8">
        <v>44113</v>
      </c>
      <c r="M826" s="19">
        <v>264</v>
      </c>
      <c r="N826" s="19">
        <v>314</v>
      </c>
      <c r="O826" s="24">
        <v>2400</v>
      </c>
      <c r="P826" s="24">
        <v>4467.6470588235297</v>
      </c>
      <c r="Q826" t="s">
        <v>1983</v>
      </c>
      <c r="R826" s="19">
        <f>VLOOKUP(A826,[1]Sheet1!$A$2:$Q$1536,15,FALSE)</f>
        <v>1490.213500976562</v>
      </c>
      <c r="S826" s="27">
        <f t="shared" si="36"/>
        <v>-1.9979912649400944</v>
      </c>
      <c r="T826" s="19">
        <f>VLOOKUP(A826,[1]Sheet1!$A$2:$Q$1536,16,FALSE)</f>
        <v>8651.1149695011354</v>
      </c>
      <c r="U826" s="27">
        <f t="shared" si="37"/>
        <v>0.48357557672347573</v>
      </c>
      <c r="V826" s="19">
        <f>VLOOKUP(A826,[1]Sheet1!$A$2:$Q$1536,17,FALSE)</f>
        <v>1403.335083007812</v>
      </c>
      <c r="W826" s="27">
        <f t="shared" si="38"/>
        <v>-2.1835925096719464</v>
      </c>
    </row>
    <row r="827" spans="1:23" x14ac:dyDescent="0.3">
      <c r="A827" s="4" t="s">
        <v>1563</v>
      </c>
      <c r="B827" s="5">
        <v>2014</v>
      </c>
      <c r="C827" s="5" t="s">
        <v>636</v>
      </c>
      <c r="D827" s="15" t="s">
        <v>1564</v>
      </c>
      <c r="E827" s="6">
        <v>133309</v>
      </c>
      <c r="F827" s="5" t="s">
        <v>199</v>
      </c>
      <c r="G827" s="5" t="s">
        <v>28</v>
      </c>
      <c r="H827" s="5" t="s">
        <v>17</v>
      </c>
      <c r="I827" s="5" t="s">
        <v>18</v>
      </c>
      <c r="J827" s="7">
        <v>45421</v>
      </c>
      <c r="K827" s="5" t="s">
        <v>17</v>
      </c>
      <c r="L827" s="8">
        <v>44483</v>
      </c>
      <c r="M827" s="19">
        <v>264</v>
      </c>
      <c r="N827" s="19">
        <v>314</v>
      </c>
      <c r="O827" s="24">
        <v>0</v>
      </c>
      <c r="P827" s="24">
        <v>3600</v>
      </c>
      <c r="Q827" t="s">
        <v>1983</v>
      </c>
      <c r="R827" s="19">
        <f>VLOOKUP(A827,[1]Sheet1!$A$2:$Q$1536,15,FALSE)</f>
        <v>5512.939453125</v>
      </c>
      <c r="S827" s="27">
        <f t="shared" si="36"/>
        <v>0.34699083300119571</v>
      </c>
      <c r="T827" s="19">
        <f>VLOOKUP(A827,[1]Sheet1!$A$2:$Q$1536,16,FALSE)</f>
        <v>9644.8470157287666</v>
      </c>
      <c r="U827" s="27">
        <f t="shared" si="37"/>
        <v>0.62674369078854864</v>
      </c>
      <c r="V827" s="19">
        <f>VLOOKUP(A827,[1]Sheet1!$A$2:$Q$1536,17,FALSE)</f>
        <v>5626.990234375</v>
      </c>
      <c r="W827" s="27">
        <f t="shared" si="38"/>
        <v>0.36022636435233507</v>
      </c>
    </row>
    <row r="828" spans="1:23" x14ac:dyDescent="0.3">
      <c r="A828" s="4" t="s">
        <v>410</v>
      </c>
      <c r="B828" s="5">
        <v>2014</v>
      </c>
      <c r="C828" s="5" t="s">
        <v>391</v>
      </c>
      <c r="D828" s="15" t="s">
        <v>394</v>
      </c>
      <c r="E828" s="6">
        <v>129278</v>
      </c>
      <c r="F828" s="5" t="s">
        <v>79</v>
      </c>
      <c r="G828" s="5" t="s">
        <v>22</v>
      </c>
      <c r="H828" s="5" t="s">
        <v>18</v>
      </c>
      <c r="I828" s="5" t="s">
        <v>17</v>
      </c>
      <c r="J828" s="7">
        <v>45449</v>
      </c>
      <c r="K828" s="5" t="s">
        <v>17</v>
      </c>
      <c r="L828" s="8">
        <v>44128</v>
      </c>
      <c r="M828" s="19">
        <v>264</v>
      </c>
      <c r="N828" s="19">
        <v>314</v>
      </c>
      <c r="O828" s="24">
        <v>1400</v>
      </c>
      <c r="P828" s="24">
        <v>2300</v>
      </c>
      <c r="Q828" t="s">
        <v>1983</v>
      </c>
      <c r="R828" s="19">
        <f>VLOOKUP(A828,[1]Sheet1!$A$2:$Q$1536,15,FALSE)</f>
        <v>992.15167236328125</v>
      </c>
      <c r="S828" s="27">
        <f t="shared" si="36"/>
        <v>-1.3181939456106098</v>
      </c>
      <c r="T828" s="19">
        <f>VLOOKUP(A828,[1]Sheet1!$A$2:$Q$1536,16,FALSE)</f>
        <v>9229.3398971799252</v>
      </c>
      <c r="U828" s="27">
        <f t="shared" si="37"/>
        <v>0.75079474527720258</v>
      </c>
      <c r="V828" s="19">
        <f>VLOOKUP(A828,[1]Sheet1!$A$2:$Q$1536,17,FALSE)</f>
        <v>1195.601196289062</v>
      </c>
      <c r="W828" s="27">
        <f t="shared" si="38"/>
        <v>-0.92371838296816666</v>
      </c>
    </row>
    <row r="829" spans="1:23" x14ac:dyDescent="0.3">
      <c r="A829" s="4" t="s">
        <v>481</v>
      </c>
      <c r="B829" s="5">
        <v>2012</v>
      </c>
      <c r="C829" s="5" t="s">
        <v>391</v>
      </c>
      <c r="D829" s="15" t="s">
        <v>394</v>
      </c>
      <c r="E829" s="6">
        <v>70663</v>
      </c>
      <c r="F829" s="5" t="s">
        <v>144</v>
      </c>
      <c r="G829" s="5" t="s">
        <v>22</v>
      </c>
      <c r="H829" s="5" t="s">
        <v>18</v>
      </c>
      <c r="I829" s="5" t="s">
        <v>17</v>
      </c>
      <c r="J829" s="7">
        <v>45300</v>
      </c>
      <c r="K829" s="5" t="s">
        <v>17</v>
      </c>
      <c r="L829" s="8">
        <v>44035</v>
      </c>
      <c r="M829" s="19">
        <v>222</v>
      </c>
      <c r="N829" s="19">
        <v>272</v>
      </c>
      <c r="O829" s="24">
        <v>1800</v>
      </c>
      <c r="P829" s="24">
        <v>3700</v>
      </c>
      <c r="Q829" t="s">
        <v>1983</v>
      </c>
      <c r="R829" s="19">
        <f>VLOOKUP(A829,[1]Sheet1!$A$2:$Q$1536,15,FALSE)</f>
        <v>2373.221435546875</v>
      </c>
      <c r="S829" s="27">
        <f t="shared" si="36"/>
        <v>-0.55906227062515468</v>
      </c>
      <c r="T829" s="19">
        <f>VLOOKUP(A829,[1]Sheet1!$A$2:$Q$1536,16,FALSE)</f>
        <v>9607.0470569320478</v>
      </c>
      <c r="U829" s="27">
        <f t="shared" si="37"/>
        <v>0.61486604800897349</v>
      </c>
      <c r="V829" s="19">
        <f>VLOOKUP(A829,[1]Sheet1!$A$2:$Q$1536,17,FALSE)</f>
        <v>2310.92822265625</v>
      </c>
      <c r="W829" s="27">
        <f t="shared" si="38"/>
        <v>-0.60108823966289593</v>
      </c>
    </row>
    <row r="830" spans="1:23" x14ac:dyDescent="0.3">
      <c r="A830" s="4" t="s">
        <v>818</v>
      </c>
      <c r="B830" s="5">
        <v>2013</v>
      </c>
      <c r="C830" s="5" t="s">
        <v>559</v>
      </c>
      <c r="D830" s="15" t="s">
        <v>760</v>
      </c>
      <c r="E830" s="6">
        <v>113999</v>
      </c>
      <c r="F830" s="5" t="s">
        <v>718</v>
      </c>
      <c r="G830" s="5" t="s">
        <v>22</v>
      </c>
      <c r="H830" s="5" t="s">
        <v>18</v>
      </c>
      <c r="I830" s="5" t="s">
        <v>17</v>
      </c>
      <c r="J830" s="7">
        <v>45454</v>
      </c>
      <c r="K830" s="5" t="s">
        <v>17</v>
      </c>
      <c r="L830" s="8">
        <v>44035</v>
      </c>
      <c r="M830" s="19">
        <v>222</v>
      </c>
      <c r="N830" s="19">
        <v>272</v>
      </c>
      <c r="O830" s="24">
        <v>1500</v>
      </c>
      <c r="P830" s="24">
        <v>2100</v>
      </c>
      <c r="Q830" t="s">
        <v>1983</v>
      </c>
      <c r="R830" s="19">
        <f>VLOOKUP(A830,[1]Sheet1!$A$2:$Q$1536,15,FALSE)</f>
        <v>2289.25390625</v>
      </c>
      <c r="S830" s="27">
        <f t="shared" si="36"/>
        <v>8.2670561676583362E-2</v>
      </c>
      <c r="T830" s="19">
        <f>VLOOKUP(A830,[1]Sheet1!$A$2:$Q$1536,16,FALSE)</f>
        <v>10016.137751357621</v>
      </c>
      <c r="U830" s="27">
        <f t="shared" si="37"/>
        <v>0.79033834676291681</v>
      </c>
      <c r="V830" s="19">
        <f>VLOOKUP(A830,[1]Sheet1!$A$2:$Q$1536,17,FALSE)</f>
        <v>2192.39453125</v>
      </c>
      <c r="W830" s="27">
        <f t="shared" si="38"/>
        <v>4.2143204579752805E-2</v>
      </c>
    </row>
    <row r="831" spans="1:23" x14ac:dyDescent="0.3">
      <c r="A831" s="4" t="s">
        <v>914</v>
      </c>
      <c r="B831" s="5">
        <v>2011</v>
      </c>
      <c r="C831" s="5" t="s">
        <v>633</v>
      </c>
      <c r="D831" s="15" t="s">
        <v>915</v>
      </c>
      <c r="E831" s="6">
        <v>118116</v>
      </c>
      <c r="F831" s="5" t="s">
        <v>718</v>
      </c>
      <c r="G831" s="5" t="s">
        <v>22</v>
      </c>
      <c r="H831" s="5" t="s">
        <v>18</v>
      </c>
      <c r="I831" s="5" t="s">
        <v>17</v>
      </c>
      <c r="J831" s="7">
        <v>45482</v>
      </c>
      <c r="K831" s="5" t="s">
        <v>17</v>
      </c>
      <c r="L831" s="8">
        <v>44113</v>
      </c>
      <c r="M831" s="19">
        <v>264</v>
      </c>
      <c r="N831" s="19">
        <v>314</v>
      </c>
      <c r="O831" s="24">
        <v>2000</v>
      </c>
      <c r="P831" s="24">
        <v>7681.8181818181802</v>
      </c>
      <c r="Q831" t="s">
        <v>1983</v>
      </c>
      <c r="R831" s="19">
        <f>VLOOKUP(A831,[1]Sheet1!$A$2:$Q$1536,15,FALSE)</f>
        <v>1865.85400390625</v>
      </c>
      <c r="S831" s="27">
        <f t="shared" si="36"/>
        <v>-3.1170521196920795</v>
      </c>
      <c r="T831" s="19">
        <f>VLOOKUP(A831,[1]Sheet1!$A$2:$Q$1536,16,FALSE)</f>
        <v>8905.2655733712654</v>
      </c>
      <c r="U831" s="27">
        <f t="shared" si="37"/>
        <v>0.13738471710618788</v>
      </c>
      <c r="V831" s="19">
        <f>VLOOKUP(A831,[1]Sheet1!$A$2:$Q$1536,17,FALSE)</f>
        <v>1778.49755859375</v>
      </c>
      <c r="W831" s="27">
        <f t="shared" si="38"/>
        <v>-3.3192739538490899</v>
      </c>
    </row>
    <row r="832" spans="1:23" x14ac:dyDescent="0.3">
      <c r="A832" s="4" t="s">
        <v>197</v>
      </c>
      <c r="B832" s="5">
        <v>2019</v>
      </c>
      <c r="C832" s="5" t="s">
        <v>96</v>
      </c>
      <c r="D832" s="15" t="s">
        <v>154</v>
      </c>
      <c r="E832" s="6">
        <v>69683</v>
      </c>
      <c r="F832" s="5" t="s">
        <v>59</v>
      </c>
      <c r="G832" s="5" t="s">
        <v>16</v>
      </c>
      <c r="H832" s="5" t="s">
        <v>17</v>
      </c>
      <c r="I832" s="5" t="s">
        <v>18</v>
      </c>
      <c r="J832" s="7">
        <v>45664</v>
      </c>
      <c r="K832" s="5" t="s">
        <v>17</v>
      </c>
      <c r="L832" s="8">
        <v>43952</v>
      </c>
      <c r="M832" s="19">
        <v>222</v>
      </c>
      <c r="N832" s="19">
        <v>272</v>
      </c>
      <c r="O832" s="24">
        <v>14700</v>
      </c>
      <c r="P832" s="24">
        <v>16200</v>
      </c>
      <c r="Q832" t="s">
        <v>1983</v>
      </c>
      <c r="R832" s="19">
        <f>VLOOKUP(A832,[1]Sheet1!$A$2:$Q$1536,15,FALSE)</f>
        <v>13401.3896484375</v>
      </c>
      <c r="S832" s="27">
        <f t="shared" si="36"/>
        <v>-0.20882986205007453</v>
      </c>
      <c r="T832" s="19">
        <f>VLOOKUP(A832,[1]Sheet1!$A$2:$Q$1536,16,FALSE)</f>
        <v>10669.456248883591</v>
      </c>
      <c r="U832" s="27">
        <f t="shared" si="37"/>
        <v>-0.51835291528517236</v>
      </c>
      <c r="V832" s="19">
        <f>VLOOKUP(A832,[1]Sheet1!$A$2:$Q$1536,17,FALSE)</f>
        <v>13325.6220703125</v>
      </c>
      <c r="W832" s="27">
        <f t="shared" si="38"/>
        <v>-0.21570309547433328</v>
      </c>
    </row>
    <row r="833" spans="1:23" x14ac:dyDescent="0.3">
      <c r="A833" s="4" t="s">
        <v>959</v>
      </c>
      <c r="B833" s="5">
        <v>2017</v>
      </c>
      <c r="C833" s="5" t="s">
        <v>96</v>
      </c>
      <c r="D833" s="15" t="s">
        <v>956</v>
      </c>
      <c r="E833" s="6">
        <v>122668</v>
      </c>
      <c r="F833" s="5" t="s">
        <v>79</v>
      </c>
      <c r="G833" s="5" t="s">
        <v>25</v>
      </c>
      <c r="H833" s="5" t="s">
        <v>18</v>
      </c>
      <c r="I833" s="5" t="s">
        <v>17</v>
      </c>
      <c r="J833" s="7">
        <v>45636</v>
      </c>
      <c r="K833" s="5" t="s">
        <v>17</v>
      </c>
      <c r="L833" s="8">
        <v>44128</v>
      </c>
      <c r="M833" s="19">
        <v>264</v>
      </c>
      <c r="N833" s="19">
        <v>314</v>
      </c>
      <c r="O833" s="24">
        <v>0</v>
      </c>
      <c r="P833" s="24">
        <v>13300</v>
      </c>
      <c r="Q833" t="s">
        <v>1983</v>
      </c>
      <c r="R833" s="19">
        <f>VLOOKUP(A833,[1]Sheet1!$A$2:$Q$1536,15,FALSE)</f>
        <v>3858.069580078125</v>
      </c>
      <c r="S833" s="27">
        <f t="shared" si="36"/>
        <v>-2.4473198898944375</v>
      </c>
      <c r="T833" s="19">
        <f>VLOOKUP(A833,[1]Sheet1!$A$2:$Q$1536,16,FALSE)</f>
        <v>9224.559686926641</v>
      </c>
      <c r="U833" s="27">
        <f t="shared" si="37"/>
        <v>-0.44180323521015441</v>
      </c>
      <c r="V833" s="19">
        <f>VLOOKUP(A833,[1]Sheet1!$A$2:$Q$1536,17,FALSE)</f>
        <v>3803.46435546875</v>
      </c>
      <c r="W833" s="27">
        <f t="shared" si="38"/>
        <v>-2.4968120526426936</v>
      </c>
    </row>
    <row r="834" spans="1:23" x14ac:dyDescent="0.3">
      <c r="A834" s="4" t="s">
        <v>108</v>
      </c>
      <c r="B834" s="5">
        <v>2016</v>
      </c>
      <c r="C834" s="5" t="s">
        <v>96</v>
      </c>
      <c r="D834" s="15" t="s">
        <v>105</v>
      </c>
      <c r="E834" s="6">
        <v>141144</v>
      </c>
      <c r="F834" s="5" t="s">
        <v>42</v>
      </c>
      <c r="G834" s="5" t="s">
        <v>25</v>
      </c>
      <c r="H834" s="5" t="s">
        <v>18</v>
      </c>
      <c r="I834" s="5" t="s">
        <v>17</v>
      </c>
      <c r="J834" s="7">
        <v>45722</v>
      </c>
      <c r="K834" s="5" t="s">
        <v>17</v>
      </c>
      <c r="L834" s="8">
        <v>44224</v>
      </c>
      <c r="M834" s="19">
        <v>235</v>
      </c>
      <c r="N834" s="19">
        <v>285</v>
      </c>
      <c r="O834" s="24">
        <v>0</v>
      </c>
      <c r="P834" s="24">
        <v>2900</v>
      </c>
      <c r="Q834" t="s">
        <v>1983</v>
      </c>
      <c r="R834" s="19">
        <f>VLOOKUP(A834,[1]Sheet1!$A$2:$Q$1536,15,FALSE)</f>
        <v>2437.732177734375</v>
      </c>
      <c r="S834" s="27">
        <f t="shared" si="36"/>
        <v>-0.18963027460024592</v>
      </c>
      <c r="T834" s="19">
        <f>VLOOKUP(A834,[1]Sheet1!$A$2:$Q$1536,16,FALSE)</f>
        <v>9256.3077191098255</v>
      </c>
      <c r="U834" s="27">
        <f t="shared" si="37"/>
        <v>0.68670013054850221</v>
      </c>
      <c r="V834" s="19">
        <f>VLOOKUP(A834,[1]Sheet1!$A$2:$Q$1536,17,FALSE)</f>
        <v>2358.90087890625</v>
      </c>
      <c r="W834" s="27">
        <f t="shared" si="38"/>
        <v>-0.22938612043107173</v>
      </c>
    </row>
    <row r="835" spans="1:23" x14ac:dyDescent="0.3">
      <c r="A835" s="4" t="s">
        <v>1287</v>
      </c>
      <c r="B835" s="5">
        <v>2013</v>
      </c>
      <c r="C835" s="5" t="s">
        <v>636</v>
      </c>
      <c r="D835" s="15" t="s">
        <v>1288</v>
      </c>
      <c r="E835" s="6">
        <v>132738</v>
      </c>
      <c r="F835" s="5" t="s">
        <v>112</v>
      </c>
      <c r="G835" s="5" t="s">
        <v>22</v>
      </c>
      <c r="H835" s="5" t="s">
        <v>18</v>
      </c>
      <c r="I835" s="5" t="s">
        <v>17</v>
      </c>
      <c r="J835" s="7">
        <v>45463</v>
      </c>
      <c r="K835" s="5" t="s">
        <v>17</v>
      </c>
      <c r="L835" s="8">
        <v>44128</v>
      </c>
      <c r="M835" s="19">
        <v>264</v>
      </c>
      <c r="N835" s="19">
        <v>314</v>
      </c>
      <c r="O835" s="24">
        <v>0</v>
      </c>
      <c r="P835" s="24">
        <v>2300</v>
      </c>
      <c r="Q835" t="s">
        <v>1983</v>
      </c>
      <c r="R835" s="19">
        <f>VLOOKUP(A835,[1]Sheet1!$A$2:$Q$1536,15,FALSE)</f>
        <v>853.58575439453125</v>
      </c>
      <c r="S835" s="27">
        <f t="shared" ref="S835:S898" si="39">(R835-$P835)/R835</f>
        <v>-1.6945154463495526</v>
      </c>
      <c r="T835" s="19">
        <f>VLOOKUP(A835,[1]Sheet1!$A$2:$Q$1536,16,FALSE)</f>
        <v>8801.2236621514039</v>
      </c>
      <c r="U835" s="27">
        <f t="shared" ref="U835:U898" si="40">(T835-$P835)/T835</f>
        <v>0.73867270185498513</v>
      </c>
      <c r="V835" s="19">
        <f>VLOOKUP(A835,[1]Sheet1!$A$2:$Q$1536,17,FALSE)</f>
        <v>1088.946655273438</v>
      </c>
      <c r="W835" s="27">
        <f t="shared" ref="W835:W898" si="41">(V835-$P835)/V835</f>
        <v>-1.1121328477036028</v>
      </c>
    </row>
    <row r="836" spans="1:23" x14ac:dyDescent="0.3">
      <c r="A836" s="4" t="s">
        <v>1771</v>
      </c>
      <c r="B836" s="5">
        <v>2017</v>
      </c>
      <c r="C836" s="5" t="s">
        <v>1086</v>
      </c>
      <c r="D836" s="15" t="s">
        <v>1758</v>
      </c>
      <c r="E836" s="6">
        <v>121558</v>
      </c>
      <c r="F836" s="5" t="s">
        <v>40</v>
      </c>
      <c r="G836" s="5" t="s">
        <v>28</v>
      </c>
      <c r="H836" s="5" t="s">
        <v>17</v>
      </c>
      <c r="I836" s="5" t="s">
        <v>18</v>
      </c>
      <c r="J836" s="7">
        <v>45386</v>
      </c>
      <c r="K836" s="5" t="s">
        <v>17</v>
      </c>
      <c r="L836" s="8">
        <v>43950</v>
      </c>
      <c r="M836" s="19">
        <v>264</v>
      </c>
      <c r="N836" s="19">
        <v>314</v>
      </c>
      <c r="O836" s="24">
        <v>4400</v>
      </c>
      <c r="P836" s="24">
        <v>8000</v>
      </c>
      <c r="Q836" t="s">
        <v>1983</v>
      </c>
      <c r="R836" s="19">
        <f>VLOOKUP(A836,[1]Sheet1!$A$2:$Q$1536,15,FALSE)</f>
        <v>2886.047119140625</v>
      </c>
      <c r="S836" s="27">
        <f t="shared" si="39"/>
        <v>-1.7719575148108293</v>
      </c>
      <c r="T836" s="19">
        <f>VLOOKUP(A836,[1]Sheet1!$A$2:$Q$1536,16,FALSE)</f>
        <v>8681.0929151599812</v>
      </c>
      <c r="U836" s="27">
        <f t="shared" si="40"/>
        <v>7.8457047035007985E-2</v>
      </c>
      <c r="V836" s="19">
        <f>VLOOKUP(A836,[1]Sheet1!$A$2:$Q$1536,17,FALSE)</f>
        <v>2697.9189453125</v>
      </c>
      <c r="W836" s="27">
        <f t="shared" si="41"/>
        <v>-1.9652484608181435</v>
      </c>
    </row>
    <row r="837" spans="1:23" x14ac:dyDescent="0.3">
      <c r="A837" s="4" t="s">
        <v>153</v>
      </c>
      <c r="B837" s="5">
        <v>2015</v>
      </c>
      <c r="C837" s="5" t="s">
        <v>96</v>
      </c>
      <c r="D837" s="15" t="s">
        <v>154</v>
      </c>
      <c r="E837" s="6">
        <v>94760</v>
      </c>
      <c r="F837" s="5" t="s">
        <v>79</v>
      </c>
      <c r="G837" s="5" t="s">
        <v>25</v>
      </c>
      <c r="H837" s="5" t="s">
        <v>18</v>
      </c>
      <c r="I837" s="5" t="s">
        <v>17</v>
      </c>
      <c r="J837" s="7">
        <v>45580</v>
      </c>
      <c r="K837" s="5" t="s">
        <v>17</v>
      </c>
      <c r="L837" s="8">
        <v>44067</v>
      </c>
      <c r="M837" s="19">
        <v>235</v>
      </c>
      <c r="N837" s="19">
        <v>285</v>
      </c>
      <c r="O837" s="24">
        <v>3600</v>
      </c>
      <c r="P837" s="24">
        <v>3800</v>
      </c>
      <c r="Q837" t="s">
        <v>1983</v>
      </c>
      <c r="R837" s="19">
        <f>VLOOKUP(A837,[1]Sheet1!$A$2:$Q$1536,15,FALSE)</f>
        <v>3752.6103515625</v>
      </c>
      <c r="S837" s="27">
        <f t="shared" si="39"/>
        <v>-1.2628448998912996E-2</v>
      </c>
      <c r="T837" s="19">
        <f>VLOOKUP(A837,[1]Sheet1!$A$2:$Q$1536,16,FALSE)</f>
        <v>9340.0101832902474</v>
      </c>
      <c r="U837" s="27">
        <f t="shared" si="40"/>
        <v>0.59314819519165052</v>
      </c>
      <c r="V837" s="19">
        <f>VLOOKUP(A837,[1]Sheet1!$A$2:$Q$1536,17,FALSE)</f>
        <v>3597.75048828125</v>
      </c>
      <c r="W837" s="27">
        <f t="shared" si="41"/>
        <v>-5.6215547014037227E-2</v>
      </c>
    </row>
    <row r="838" spans="1:23" x14ac:dyDescent="0.3">
      <c r="A838" s="4" t="s">
        <v>1935</v>
      </c>
      <c r="B838" s="5">
        <v>2017</v>
      </c>
      <c r="C838" s="5" t="s">
        <v>684</v>
      </c>
      <c r="D838" s="15" t="s">
        <v>1936</v>
      </c>
      <c r="E838" s="6">
        <v>84333</v>
      </c>
      <c r="F838" s="5" t="s">
        <v>81</v>
      </c>
      <c r="G838" s="5" t="s">
        <v>33</v>
      </c>
      <c r="H838" s="5" t="s">
        <v>17</v>
      </c>
      <c r="I838" s="5" t="s">
        <v>18</v>
      </c>
      <c r="J838" s="7">
        <v>45365</v>
      </c>
      <c r="K838" s="5" t="s">
        <v>17</v>
      </c>
      <c r="L838" s="8">
        <v>44081</v>
      </c>
      <c r="M838" s="19">
        <v>325</v>
      </c>
      <c r="N838" s="19">
        <v>375</v>
      </c>
      <c r="O838" s="24">
        <v>0</v>
      </c>
      <c r="P838" s="24">
        <v>13000</v>
      </c>
      <c r="Q838" t="s">
        <v>1983</v>
      </c>
      <c r="R838" s="19">
        <f>VLOOKUP(A838,[1]Sheet1!$A$2:$Q$1536,15,FALSE)</f>
        <v>4395.40625</v>
      </c>
      <c r="S838" s="27">
        <f t="shared" si="39"/>
        <v>-1.9576333245647088</v>
      </c>
      <c r="T838" s="19">
        <f>VLOOKUP(A838,[1]Sheet1!$A$2:$Q$1536,16,FALSE)</f>
        <v>9091.2444419143521</v>
      </c>
      <c r="U838" s="27">
        <f t="shared" si="40"/>
        <v>-0.42994725123270117</v>
      </c>
      <c r="V838" s="19">
        <f>VLOOKUP(A838,[1]Sheet1!$A$2:$Q$1536,17,FALSE)</f>
        <v>4356.724609375</v>
      </c>
      <c r="W838" s="27">
        <f t="shared" si="41"/>
        <v>-1.9838929851168474</v>
      </c>
    </row>
    <row r="839" spans="1:23" x14ac:dyDescent="0.3">
      <c r="A839" s="4" t="s">
        <v>1001</v>
      </c>
      <c r="B839" s="5">
        <v>2016</v>
      </c>
      <c r="C839" s="5" t="s">
        <v>237</v>
      </c>
      <c r="D839" s="15" t="s">
        <v>238</v>
      </c>
      <c r="E839" s="6">
        <v>139960</v>
      </c>
      <c r="F839" s="5" t="s">
        <v>73</v>
      </c>
      <c r="G839" s="5" t="s">
        <v>25</v>
      </c>
      <c r="H839" s="5" t="s">
        <v>18</v>
      </c>
      <c r="I839" s="5" t="s">
        <v>17</v>
      </c>
      <c r="J839" s="7">
        <v>45666</v>
      </c>
      <c r="K839" s="5" t="s">
        <v>17</v>
      </c>
      <c r="L839" s="8">
        <v>43612</v>
      </c>
      <c r="M839" s="19">
        <v>264</v>
      </c>
      <c r="N839" s="19">
        <v>314</v>
      </c>
      <c r="O839" s="24">
        <v>0</v>
      </c>
      <c r="P839" s="24">
        <v>700</v>
      </c>
      <c r="Q839" t="s">
        <v>1983</v>
      </c>
      <c r="R839" s="19">
        <f>VLOOKUP(A839,[1]Sheet1!$A$2:$Q$1536,15,FALSE)</f>
        <v>2529.716796875</v>
      </c>
      <c r="S839" s="27">
        <f t="shared" si="39"/>
        <v>0.72328918364904671</v>
      </c>
      <c r="T839" s="19">
        <f>VLOOKUP(A839,[1]Sheet1!$A$2:$Q$1536,16,FALSE)</f>
        <v>9219.0735592967721</v>
      </c>
      <c r="U839" s="27">
        <f t="shared" si="40"/>
        <v>0.92407046158189066</v>
      </c>
      <c r="V839" s="19">
        <f>VLOOKUP(A839,[1]Sheet1!$A$2:$Q$1536,17,FALSE)</f>
        <v>2345.591796875</v>
      </c>
      <c r="W839" s="27">
        <f t="shared" si="41"/>
        <v>0.7015678512635487</v>
      </c>
    </row>
    <row r="840" spans="1:23" x14ac:dyDescent="0.3">
      <c r="A840" s="4" t="s">
        <v>1201</v>
      </c>
      <c r="B840" s="5">
        <v>2020</v>
      </c>
      <c r="C840" s="5" t="s">
        <v>684</v>
      </c>
      <c r="D840" s="15" t="s">
        <v>1187</v>
      </c>
      <c r="E840" s="6">
        <v>68335</v>
      </c>
      <c r="F840" s="5" t="s">
        <v>77</v>
      </c>
      <c r="G840" s="5" t="s">
        <v>25</v>
      </c>
      <c r="H840" s="5" t="s">
        <v>18</v>
      </c>
      <c r="I840" s="5" t="s">
        <v>17</v>
      </c>
      <c r="J840" s="7">
        <v>45687</v>
      </c>
      <c r="K840" s="5" t="s">
        <v>17</v>
      </c>
      <c r="L840" s="8">
        <v>43608</v>
      </c>
      <c r="M840" s="19">
        <v>264</v>
      </c>
      <c r="N840" s="19">
        <v>314</v>
      </c>
      <c r="O840" s="24">
        <v>9000</v>
      </c>
      <c r="P840" s="24">
        <v>13700</v>
      </c>
      <c r="Q840" t="s">
        <v>1983</v>
      </c>
      <c r="R840" s="19">
        <f>VLOOKUP(A840,[1]Sheet1!$A$2:$Q$1536,15,FALSE)</f>
        <v>11809.9033203125</v>
      </c>
      <c r="S840" s="27">
        <f t="shared" si="39"/>
        <v>-0.16004336601440414</v>
      </c>
      <c r="T840" s="19">
        <f>VLOOKUP(A840,[1]Sheet1!$A$2:$Q$1536,16,FALSE)</f>
        <v>10978.03166254544</v>
      </c>
      <c r="U840" s="27">
        <f t="shared" si="40"/>
        <v>-0.24794684704192468</v>
      </c>
      <c r="V840" s="19">
        <f>VLOOKUP(A840,[1]Sheet1!$A$2:$Q$1536,17,FALSE)</f>
        <v>11724.0654296875</v>
      </c>
      <c r="W840" s="27">
        <f t="shared" si="41"/>
        <v>-0.16853663792331527</v>
      </c>
    </row>
    <row r="841" spans="1:23" x14ac:dyDescent="0.3">
      <c r="A841" s="4" t="s">
        <v>788</v>
      </c>
      <c r="B841" s="5">
        <v>2010</v>
      </c>
      <c r="C841" s="5" t="s">
        <v>391</v>
      </c>
      <c r="D841" s="15" t="s">
        <v>429</v>
      </c>
      <c r="E841" s="6">
        <v>123429</v>
      </c>
      <c r="F841" s="5" t="s">
        <v>32</v>
      </c>
      <c r="G841" s="5" t="s">
        <v>25</v>
      </c>
      <c r="H841" s="5" t="s">
        <v>18</v>
      </c>
      <c r="I841" s="5" t="s">
        <v>17</v>
      </c>
      <c r="J841" s="7">
        <v>45356</v>
      </c>
      <c r="K841" s="5" t="s">
        <v>17</v>
      </c>
      <c r="L841" s="8">
        <v>44128</v>
      </c>
      <c r="M841" s="19">
        <v>264</v>
      </c>
      <c r="N841" s="19">
        <v>314</v>
      </c>
      <c r="O841" s="24">
        <v>4800</v>
      </c>
      <c r="P841" s="24">
        <v>9700</v>
      </c>
      <c r="Q841" t="s">
        <v>1983</v>
      </c>
      <c r="R841" s="19">
        <f>VLOOKUP(A841,[1]Sheet1!$A$2:$Q$1536,15,FALSE)</f>
        <v>2180.69140625</v>
      </c>
      <c r="S841" s="27">
        <f t="shared" si="39"/>
        <v>-3.4481305205308668</v>
      </c>
      <c r="T841" s="19">
        <f>VLOOKUP(A841,[1]Sheet1!$A$2:$Q$1536,16,FALSE)</f>
        <v>9302.3363544063195</v>
      </c>
      <c r="U841" s="27">
        <f t="shared" si="40"/>
        <v>-4.2748792394000638E-2</v>
      </c>
      <c r="V841" s="19">
        <f>VLOOKUP(A841,[1]Sheet1!$A$2:$Q$1536,17,FALSE)</f>
        <v>2142.682861328125</v>
      </c>
      <c r="W841" s="27">
        <f t="shared" si="41"/>
        <v>-3.5270348566598102</v>
      </c>
    </row>
    <row r="842" spans="1:23" x14ac:dyDescent="0.3">
      <c r="A842" s="4" t="s">
        <v>224</v>
      </c>
      <c r="B842" s="5">
        <v>2017</v>
      </c>
      <c r="C842" s="5" t="s">
        <v>223</v>
      </c>
      <c r="D842" s="15" t="s">
        <v>225</v>
      </c>
      <c r="E842" s="6">
        <v>252965</v>
      </c>
      <c r="F842" s="5" t="s">
        <v>24</v>
      </c>
      <c r="G842" s="5" t="s">
        <v>25</v>
      </c>
      <c r="H842" s="5" t="s">
        <v>18</v>
      </c>
      <c r="I842" s="5" t="s">
        <v>17</v>
      </c>
      <c r="J842" s="7">
        <v>45561</v>
      </c>
      <c r="K842" s="5" t="s">
        <v>17</v>
      </c>
      <c r="L842" s="8">
        <v>43605</v>
      </c>
      <c r="M842" s="19">
        <v>264</v>
      </c>
      <c r="N842" s="19">
        <v>314</v>
      </c>
      <c r="O842" s="24">
        <v>0</v>
      </c>
      <c r="P842" s="24">
        <v>24800</v>
      </c>
      <c r="Q842" t="s">
        <v>1983</v>
      </c>
      <c r="R842" s="19">
        <f>VLOOKUP(A842,[1]Sheet1!$A$2:$Q$1536,15,FALSE)</f>
        <v>4596.44091796875</v>
      </c>
      <c r="S842" s="27">
        <f t="shared" si="39"/>
        <v>-4.3954789026113632</v>
      </c>
      <c r="T842" s="19">
        <f>VLOOKUP(A842,[1]Sheet1!$A$2:$Q$1536,16,FALSE)</f>
        <v>10299.467445167409</v>
      </c>
      <c r="U842" s="27">
        <f t="shared" si="40"/>
        <v>-1.4078914887620091</v>
      </c>
      <c r="V842" s="19">
        <f>VLOOKUP(A842,[1]Sheet1!$A$2:$Q$1536,17,FALSE)</f>
        <v>4349.7392578125</v>
      </c>
      <c r="W842" s="27">
        <f t="shared" si="41"/>
        <v>-4.7014911768463135</v>
      </c>
    </row>
    <row r="843" spans="1:23" x14ac:dyDescent="0.3">
      <c r="A843" s="4" t="s">
        <v>1351</v>
      </c>
      <c r="B843" s="5">
        <v>2018</v>
      </c>
      <c r="C843" s="5" t="s">
        <v>1089</v>
      </c>
      <c r="D843" s="15" t="s">
        <v>1328</v>
      </c>
      <c r="E843" s="6">
        <v>122810</v>
      </c>
      <c r="F843" s="5" t="s">
        <v>144</v>
      </c>
      <c r="G843" s="5" t="s">
        <v>25</v>
      </c>
      <c r="H843" s="5" t="s">
        <v>18</v>
      </c>
      <c r="I843" s="5" t="s">
        <v>17</v>
      </c>
      <c r="J843" s="7">
        <v>45300</v>
      </c>
      <c r="K843" s="5" t="s">
        <v>17</v>
      </c>
      <c r="L843" s="8">
        <v>44224</v>
      </c>
      <c r="M843" s="19">
        <v>235</v>
      </c>
      <c r="N843" s="19">
        <v>285</v>
      </c>
      <c r="O843" s="24">
        <v>3700</v>
      </c>
      <c r="P843" s="24">
        <v>14400</v>
      </c>
      <c r="Q843" t="s">
        <v>1983</v>
      </c>
      <c r="R843" s="19">
        <f>VLOOKUP(A843,[1]Sheet1!$A$2:$Q$1536,15,FALSE)</f>
        <v>2735.0390625</v>
      </c>
      <c r="S843" s="27">
        <f t="shared" si="39"/>
        <v>-4.2650070697116416</v>
      </c>
      <c r="T843" s="19">
        <f>VLOOKUP(A843,[1]Sheet1!$A$2:$Q$1536,16,FALSE)</f>
        <v>8639.8448247009583</v>
      </c>
      <c r="U843" s="27">
        <f t="shared" si="40"/>
        <v>-0.66669660071104486</v>
      </c>
      <c r="V843" s="19">
        <f>VLOOKUP(A843,[1]Sheet1!$A$2:$Q$1536,17,FALSE)</f>
        <v>2612.43359375</v>
      </c>
      <c r="W843" s="27">
        <f t="shared" si="41"/>
        <v>-4.5121018327319922</v>
      </c>
    </row>
    <row r="844" spans="1:23" x14ac:dyDescent="0.3">
      <c r="A844" s="4" t="s">
        <v>1169</v>
      </c>
      <c r="B844" s="5">
        <v>2017</v>
      </c>
      <c r="C844" s="5" t="s">
        <v>636</v>
      </c>
      <c r="D844" s="15" t="s">
        <v>1164</v>
      </c>
      <c r="E844" s="6">
        <v>160625</v>
      </c>
      <c r="F844" s="5" t="s">
        <v>61</v>
      </c>
      <c r="G844" s="5" t="s">
        <v>25</v>
      </c>
      <c r="H844" s="5" t="s">
        <v>18</v>
      </c>
      <c r="I844" s="5" t="s">
        <v>17</v>
      </c>
      <c r="J844" s="7">
        <v>45680</v>
      </c>
      <c r="K844" s="5" t="s">
        <v>17</v>
      </c>
      <c r="L844" s="8">
        <v>44067</v>
      </c>
      <c r="M844" s="19">
        <v>235</v>
      </c>
      <c r="N844" s="19">
        <v>285</v>
      </c>
      <c r="O844" s="24">
        <v>500</v>
      </c>
      <c r="P844" s="24">
        <v>2500</v>
      </c>
      <c r="Q844" t="s">
        <v>1983</v>
      </c>
      <c r="R844" s="19">
        <f>VLOOKUP(A844,[1]Sheet1!$A$2:$Q$1536,15,FALSE)</f>
        <v>1418.170166015625</v>
      </c>
      <c r="S844" s="27">
        <f t="shared" si="39"/>
        <v>-0.76283499675063371</v>
      </c>
      <c r="T844" s="19">
        <f>VLOOKUP(A844,[1]Sheet1!$A$2:$Q$1536,16,FALSE)</f>
        <v>8771.775125825603</v>
      </c>
      <c r="U844" s="27">
        <f t="shared" si="40"/>
        <v>0.71499497374943266</v>
      </c>
      <c r="V844" s="19">
        <f>VLOOKUP(A844,[1]Sheet1!$A$2:$Q$1536,17,FALSE)</f>
        <v>1385.325439453125</v>
      </c>
      <c r="W844" s="27">
        <f t="shared" si="41"/>
        <v>-0.80463010986566963</v>
      </c>
    </row>
    <row r="845" spans="1:23" x14ac:dyDescent="0.3">
      <c r="A845" s="4" t="s">
        <v>827</v>
      </c>
      <c r="B845" s="5">
        <v>2016</v>
      </c>
      <c r="C845" s="5" t="s">
        <v>571</v>
      </c>
      <c r="D845" s="15" t="s">
        <v>826</v>
      </c>
      <c r="E845" s="6">
        <v>134202</v>
      </c>
      <c r="F845" s="5" t="s">
        <v>164</v>
      </c>
      <c r="G845" s="5" t="s">
        <v>22</v>
      </c>
      <c r="H845" s="5" t="s">
        <v>18</v>
      </c>
      <c r="I845" s="5" t="s">
        <v>17</v>
      </c>
      <c r="J845" s="7">
        <v>45421</v>
      </c>
      <c r="K845" s="5" t="s">
        <v>17</v>
      </c>
      <c r="L845" s="8">
        <v>43612</v>
      </c>
      <c r="M845" s="19">
        <v>264</v>
      </c>
      <c r="N845" s="19">
        <v>314</v>
      </c>
      <c r="O845" s="24">
        <v>0</v>
      </c>
      <c r="P845" s="24">
        <v>12500</v>
      </c>
      <c r="Q845" t="s">
        <v>1983</v>
      </c>
      <c r="R845" s="19">
        <f>VLOOKUP(A845,[1]Sheet1!$A$2:$Q$1536,15,FALSE)</f>
        <v>6717.6875</v>
      </c>
      <c r="S845" s="27">
        <f t="shared" si="39"/>
        <v>-0.86075937590130536</v>
      </c>
      <c r="T845" s="19">
        <f>VLOOKUP(A845,[1]Sheet1!$A$2:$Q$1536,16,FALSE)</f>
        <v>9301.6281984558755</v>
      </c>
      <c r="U845" s="27">
        <f t="shared" si="40"/>
        <v>-0.34385074669777416</v>
      </c>
      <c r="V845" s="19">
        <f>VLOOKUP(A845,[1]Sheet1!$A$2:$Q$1536,17,FALSE)</f>
        <v>6816.08837890625</v>
      </c>
      <c r="W845" s="27">
        <f t="shared" si="41"/>
        <v>-0.8338964087795212</v>
      </c>
    </row>
    <row r="846" spans="1:23" x14ac:dyDescent="0.3">
      <c r="A846" s="4" t="s">
        <v>1642</v>
      </c>
      <c r="B846" s="5">
        <v>2015</v>
      </c>
      <c r="C846" s="5" t="s">
        <v>391</v>
      </c>
      <c r="D846" s="15" t="s">
        <v>1056</v>
      </c>
      <c r="E846" s="6">
        <v>106030</v>
      </c>
      <c r="F846" s="5" t="s">
        <v>36</v>
      </c>
      <c r="G846" s="5" t="s">
        <v>28</v>
      </c>
      <c r="H846" s="5" t="s">
        <v>17</v>
      </c>
      <c r="I846" s="5" t="s">
        <v>18</v>
      </c>
      <c r="J846" s="7">
        <v>45314</v>
      </c>
      <c r="K846" s="5" t="s">
        <v>17</v>
      </c>
      <c r="L846" s="8">
        <v>44067</v>
      </c>
      <c r="M846" s="19">
        <v>235</v>
      </c>
      <c r="N846" s="19">
        <v>285</v>
      </c>
      <c r="O846" s="24">
        <v>5000</v>
      </c>
      <c r="P846" s="24">
        <v>7400</v>
      </c>
      <c r="Q846" t="s">
        <v>1983</v>
      </c>
      <c r="R846" s="19">
        <f>VLOOKUP(A846,[1]Sheet1!$A$2:$Q$1536,15,FALSE)</f>
        <v>2060.852783203125</v>
      </c>
      <c r="S846" s="27">
        <f t="shared" si="39"/>
        <v>-2.5907465396428706</v>
      </c>
      <c r="T846" s="19">
        <f>VLOOKUP(A846,[1]Sheet1!$A$2:$Q$1536,16,FALSE)</f>
        <v>9416.2475008238725</v>
      </c>
      <c r="U846" s="27">
        <f t="shared" si="40"/>
        <v>0.21412431020398109</v>
      </c>
      <c r="V846" s="19">
        <f>VLOOKUP(A846,[1]Sheet1!$A$2:$Q$1536,17,FALSE)</f>
        <v>2082.42431640625</v>
      </c>
      <c r="W846" s="27">
        <f t="shared" si="41"/>
        <v>-2.5535505140328807</v>
      </c>
    </row>
    <row r="847" spans="1:23" x14ac:dyDescent="0.3">
      <c r="A847" s="4" t="s">
        <v>1814</v>
      </c>
      <c r="B847" s="5">
        <v>2018</v>
      </c>
      <c r="C847" s="5" t="s">
        <v>237</v>
      </c>
      <c r="D847" s="15" t="s">
        <v>1808</v>
      </c>
      <c r="E847" s="6">
        <v>68155</v>
      </c>
      <c r="F847" s="5" t="s">
        <v>170</v>
      </c>
      <c r="G847" s="5" t="s">
        <v>33</v>
      </c>
      <c r="H847" s="5" t="s">
        <v>17</v>
      </c>
      <c r="I847" s="5" t="s">
        <v>18</v>
      </c>
      <c r="J847" s="7">
        <v>45622</v>
      </c>
      <c r="K847" s="5" t="s">
        <v>17</v>
      </c>
      <c r="L847" s="8">
        <v>44052</v>
      </c>
      <c r="M847" s="19">
        <v>235</v>
      </c>
      <c r="N847" s="19">
        <v>285</v>
      </c>
      <c r="O847" s="24">
        <v>7300</v>
      </c>
      <c r="P847" s="24">
        <v>10000</v>
      </c>
      <c r="Q847" t="s">
        <v>1983</v>
      </c>
      <c r="R847" s="19">
        <f>VLOOKUP(A847,[1]Sheet1!$A$2:$Q$1536,15,FALSE)</f>
        <v>12216.87890625</v>
      </c>
      <c r="S847" s="27">
        <f t="shared" si="39"/>
        <v>0.18146033232071024</v>
      </c>
      <c r="T847" s="19">
        <f>VLOOKUP(A847,[1]Sheet1!$A$2:$Q$1536,16,FALSE)</f>
        <v>9865.1727826131773</v>
      </c>
      <c r="U847" s="27">
        <f t="shared" si="40"/>
        <v>-1.3666989961336329E-2</v>
      </c>
      <c r="V847" s="19">
        <f>VLOOKUP(A847,[1]Sheet1!$A$2:$Q$1536,17,FALSE)</f>
        <v>12452.2919921875</v>
      </c>
      <c r="W847" s="27">
        <f t="shared" si="41"/>
        <v>0.19693498945624263</v>
      </c>
    </row>
    <row r="848" spans="1:23" x14ac:dyDescent="0.3">
      <c r="A848" s="4" t="s">
        <v>727</v>
      </c>
      <c r="B848" s="5">
        <v>2017</v>
      </c>
      <c r="C848" s="5" t="s">
        <v>83</v>
      </c>
      <c r="D848" s="15" t="s">
        <v>725</v>
      </c>
      <c r="E848" s="6">
        <v>148251</v>
      </c>
      <c r="F848" s="5" t="s">
        <v>44</v>
      </c>
      <c r="G848" s="5" t="s">
        <v>28</v>
      </c>
      <c r="H848" s="5" t="s">
        <v>17</v>
      </c>
      <c r="I848" s="5" t="s">
        <v>18</v>
      </c>
      <c r="J848" s="7">
        <v>45454</v>
      </c>
      <c r="K848" s="5" t="s">
        <v>17</v>
      </c>
      <c r="L848" s="8">
        <v>44067</v>
      </c>
      <c r="M848" s="19">
        <v>235</v>
      </c>
      <c r="N848" s="19">
        <v>285</v>
      </c>
      <c r="O848" s="24">
        <v>10100</v>
      </c>
      <c r="P848" s="24">
        <v>15500</v>
      </c>
      <c r="Q848" t="s">
        <v>1983</v>
      </c>
      <c r="R848" s="19">
        <f>VLOOKUP(A848,[1]Sheet1!$A$2:$Q$1536,15,FALSE)</f>
        <v>7280.1669921875</v>
      </c>
      <c r="S848" s="27">
        <f t="shared" si="39"/>
        <v>-1.1290720414289088</v>
      </c>
      <c r="T848" s="19">
        <f>VLOOKUP(A848,[1]Sheet1!$A$2:$Q$1536,16,FALSE)</f>
        <v>9656.5744493446145</v>
      </c>
      <c r="U848" s="27">
        <f t="shared" si="40"/>
        <v>-0.60512406146798514</v>
      </c>
      <c r="V848" s="19">
        <f>VLOOKUP(A848,[1]Sheet1!$A$2:$Q$1536,17,FALSE)</f>
        <v>7316.7119140625</v>
      </c>
      <c r="W848" s="27">
        <f t="shared" si="41"/>
        <v>-1.1184379243098894</v>
      </c>
    </row>
    <row r="849" spans="1:23" x14ac:dyDescent="0.3">
      <c r="A849" s="4" t="s">
        <v>933</v>
      </c>
      <c r="B849" s="5">
        <v>2013</v>
      </c>
      <c r="C849" s="5" t="s">
        <v>932</v>
      </c>
      <c r="D849" s="15">
        <v>500</v>
      </c>
      <c r="E849" s="6">
        <v>89118</v>
      </c>
      <c r="F849" s="5" t="s">
        <v>170</v>
      </c>
      <c r="G849" s="5" t="s">
        <v>22</v>
      </c>
      <c r="H849" s="5" t="s">
        <v>18</v>
      </c>
      <c r="I849" s="5" t="s">
        <v>17</v>
      </c>
      <c r="J849" s="7">
        <v>45720</v>
      </c>
      <c r="K849" s="5" t="s">
        <v>17</v>
      </c>
      <c r="L849" s="8">
        <v>43977</v>
      </c>
      <c r="M849" s="19">
        <v>179</v>
      </c>
      <c r="N849" s="19">
        <v>229</v>
      </c>
      <c r="O849" s="24">
        <v>800</v>
      </c>
      <c r="P849" s="24">
        <v>2975</v>
      </c>
      <c r="Q849" t="s">
        <v>1983</v>
      </c>
      <c r="R849" s="19">
        <f>VLOOKUP(A849,[1]Sheet1!$A$2:$Q$1536,15,FALSE)</f>
        <v>4174.8291015625</v>
      </c>
      <c r="S849" s="27">
        <f t="shared" si="39"/>
        <v>0.28739598014046702</v>
      </c>
      <c r="T849" s="19">
        <f>VLOOKUP(A849,[1]Sheet1!$A$2:$Q$1536,16,FALSE)</f>
        <v>9270.9687229989177</v>
      </c>
      <c r="U849" s="27">
        <f t="shared" si="40"/>
        <v>0.67910580987941627</v>
      </c>
      <c r="V849" s="19">
        <f>VLOOKUP(A849,[1]Sheet1!$A$2:$Q$1536,17,FALSE)</f>
        <v>4019.3056640625</v>
      </c>
      <c r="W849" s="27">
        <f t="shared" si="41"/>
        <v>0.25982240499892001</v>
      </c>
    </row>
    <row r="850" spans="1:23" x14ac:dyDescent="0.3">
      <c r="A850" s="4" t="s">
        <v>1231</v>
      </c>
      <c r="B850" s="5">
        <v>2019</v>
      </c>
      <c r="C850" s="5" t="s">
        <v>1228</v>
      </c>
      <c r="D850" s="15" t="s">
        <v>1232</v>
      </c>
      <c r="E850" s="6">
        <v>60471</v>
      </c>
      <c r="F850" s="5" t="s">
        <v>32</v>
      </c>
      <c r="G850" s="5" t="s">
        <v>25</v>
      </c>
      <c r="H850" s="5" t="s">
        <v>18</v>
      </c>
      <c r="I850" s="5" t="s">
        <v>17</v>
      </c>
      <c r="J850" s="7">
        <v>45496</v>
      </c>
      <c r="K850" s="5" t="s">
        <v>17</v>
      </c>
      <c r="L850" s="8">
        <v>44054</v>
      </c>
      <c r="M850" s="19">
        <v>235</v>
      </c>
      <c r="N850" s="19">
        <v>285</v>
      </c>
      <c r="O850" s="24">
        <v>7000</v>
      </c>
      <c r="P850" s="24">
        <v>12600</v>
      </c>
      <c r="Q850" t="s">
        <v>1983</v>
      </c>
      <c r="R850" s="19">
        <f>VLOOKUP(A850,[1]Sheet1!$A$2:$Q$1536,15,FALSE)</f>
        <v>6484.07861328125</v>
      </c>
      <c r="S850" s="27">
        <f t="shared" si="39"/>
        <v>-0.94322135055420075</v>
      </c>
      <c r="T850" s="19">
        <f>VLOOKUP(A850,[1]Sheet1!$A$2:$Q$1536,16,FALSE)</f>
        <v>11251.397290928569</v>
      </c>
      <c r="U850" s="27">
        <f t="shared" si="40"/>
        <v>-0.1198609092009168</v>
      </c>
      <c r="V850" s="19">
        <f>VLOOKUP(A850,[1]Sheet1!$A$2:$Q$1536,17,FALSE)</f>
        <v>6084.47021484375</v>
      </c>
      <c r="W850" s="27">
        <f t="shared" si="41"/>
        <v>-1.0708458674447747</v>
      </c>
    </row>
    <row r="851" spans="1:23" x14ac:dyDescent="0.3">
      <c r="A851" s="4" t="s">
        <v>1513</v>
      </c>
      <c r="B851" s="5">
        <v>2007</v>
      </c>
      <c r="C851" s="5" t="s">
        <v>30</v>
      </c>
      <c r="D851" s="15" t="s">
        <v>1514</v>
      </c>
      <c r="E851" s="6">
        <v>208797</v>
      </c>
      <c r="F851" s="5" t="s">
        <v>27</v>
      </c>
      <c r="G851" s="5" t="s">
        <v>25</v>
      </c>
      <c r="H851" s="5" t="s">
        <v>18</v>
      </c>
      <c r="I851" s="5" t="s">
        <v>17</v>
      </c>
      <c r="J851" s="7">
        <v>45393</v>
      </c>
      <c r="K851" s="5" t="s">
        <v>17</v>
      </c>
      <c r="L851" s="8">
        <v>44224</v>
      </c>
      <c r="M851" s="19">
        <v>235</v>
      </c>
      <c r="N851" s="19">
        <v>285</v>
      </c>
      <c r="O851" s="24">
        <v>0</v>
      </c>
      <c r="P851" s="24">
        <v>11729.8876404494</v>
      </c>
      <c r="Q851" t="s">
        <v>1983</v>
      </c>
      <c r="R851" s="19">
        <f>VLOOKUP(A851,[1]Sheet1!$A$2:$Q$1536,15,FALSE)</f>
        <v>1438.079345703125</v>
      </c>
      <c r="S851" s="27">
        <f t="shared" si="39"/>
        <v>-7.1566345247203778</v>
      </c>
      <c r="T851" s="19">
        <f>VLOOKUP(A851,[1]Sheet1!$A$2:$Q$1536,16,FALSE)</f>
        <v>9009.4257371090789</v>
      </c>
      <c r="U851" s="27">
        <f t="shared" si="40"/>
        <v>-0.30195730368640078</v>
      </c>
      <c r="V851" s="19">
        <f>VLOOKUP(A851,[1]Sheet1!$A$2:$Q$1536,17,FALSE)</f>
        <v>1395.367431640625</v>
      </c>
      <c r="W851" s="27">
        <f t="shared" si="41"/>
        <v>-7.4063074531256632</v>
      </c>
    </row>
    <row r="852" spans="1:23" x14ac:dyDescent="0.3">
      <c r="A852" s="4" t="s">
        <v>150</v>
      </c>
      <c r="B852" s="5">
        <v>2014</v>
      </c>
      <c r="C852" s="5" t="s">
        <v>96</v>
      </c>
      <c r="D852" s="15" t="s">
        <v>140</v>
      </c>
      <c r="E852" s="6">
        <v>199855</v>
      </c>
      <c r="F852" s="5" t="s">
        <v>112</v>
      </c>
      <c r="G852" s="5" t="s">
        <v>22</v>
      </c>
      <c r="H852" s="5" t="s">
        <v>18</v>
      </c>
      <c r="I852" s="5" t="s">
        <v>17</v>
      </c>
      <c r="J852" s="7">
        <v>45666</v>
      </c>
      <c r="K852" s="5" t="s">
        <v>17</v>
      </c>
      <c r="L852" s="8">
        <v>44224</v>
      </c>
      <c r="M852" s="19">
        <v>235</v>
      </c>
      <c r="N852" s="19">
        <v>285</v>
      </c>
      <c r="O852" s="24">
        <v>0</v>
      </c>
      <c r="P852" s="24">
        <v>4500</v>
      </c>
      <c r="Q852" t="s">
        <v>1983</v>
      </c>
      <c r="R852" s="19">
        <f>VLOOKUP(A852,[1]Sheet1!$A$2:$Q$1536,15,FALSE)</f>
        <v>1393.219848632812</v>
      </c>
      <c r="S852" s="27">
        <f t="shared" si="39"/>
        <v>-2.2299281440871797</v>
      </c>
      <c r="T852" s="19">
        <f>VLOOKUP(A852,[1]Sheet1!$A$2:$Q$1536,16,FALSE)</f>
        <v>9109.2630909708678</v>
      </c>
      <c r="U852" s="27">
        <f t="shared" si="40"/>
        <v>0.50599736168994669</v>
      </c>
      <c r="V852" s="19">
        <f>VLOOKUP(A852,[1]Sheet1!$A$2:$Q$1536,17,FALSE)</f>
        <v>1380.25</v>
      </c>
      <c r="W852" s="27">
        <f t="shared" si="41"/>
        <v>-2.2602789349755481</v>
      </c>
    </row>
    <row r="853" spans="1:23" x14ac:dyDescent="0.3">
      <c r="A853" s="4" t="s">
        <v>1803</v>
      </c>
      <c r="B853" s="5">
        <v>2016</v>
      </c>
      <c r="C853" s="5" t="s">
        <v>636</v>
      </c>
      <c r="D853" s="15" t="s">
        <v>1578</v>
      </c>
      <c r="E853" s="6">
        <v>100929</v>
      </c>
      <c r="F853" s="5" t="s">
        <v>79</v>
      </c>
      <c r="G853" s="5" t="s">
        <v>22</v>
      </c>
      <c r="H853" s="5" t="s">
        <v>18</v>
      </c>
      <c r="I853" s="5" t="s">
        <v>17</v>
      </c>
      <c r="J853" s="7">
        <v>45645</v>
      </c>
      <c r="K853" s="5" t="s">
        <v>17</v>
      </c>
      <c r="L853" s="8">
        <v>44067</v>
      </c>
      <c r="M853" s="19">
        <v>235</v>
      </c>
      <c r="N853" s="19">
        <v>285</v>
      </c>
      <c r="O853" s="24">
        <v>0</v>
      </c>
      <c r="P853" s="24">
        <v>10000</v>
      </c>
      <c r="Q853" t="s">
        <v>1983</v>
      </c>
      <c r="R853" s="19">
        <f>VLOOKUP(A853,[1]Sheet1!$A$2:$Q$1536,15,FALSE)</f>
        <v>2369.74169921875</v>
      </c>
      <c r="S853" s="27">
        <f t="shared" si="39"/>
        <v>-3.2198691964178092</v>
      </c>
      <c r="T853" s="19">
        <f>VLOOKUP(A853,[1]Sheet1!$A$2:$Q$1536,16,FALSE)</f>
        <v>8885.0475216927025</v>
      </c>
      <c r="U853" s="27">
        <f t="shared" si="40"/>
        <v>-0.1254863832281323</v>
      </c>
      <c r="V853" s="19">
        <f>VLOOKUP(A853,[1]Sheet1!$A$2:$Q$1536,17,FALSE)</f>
        <v>2226.78125</v>
      </c>
      <c r="W853" s="27">
        <f t="shared" si="41"/>
        <v>-3.4907868700618887</v>
      </c>
    </row>
    <row r="854" spans="1:23" x14ac:dyDescent="0.3">
      <c r="A854" s="4" t="s">
        <v>652</v>
      </c>
      <c r="B854" s="5">
        <v>2015</v>
      </c>
      <c r="C854" s="5" t="s">
        <v>636</v>
      </c>
      <c r="D854" s="15" t="s">
        <v>646</v>
      </c>
      <c r="E854" s="6">
        <v>124538</v>
      </c>
      <c r="F854" s="5" t="s">
        <v>103</v>
      </c>
      <c r="G854" s="5" t="s">
        <v>28</v>
      </c>
      <c r="H854" s="5" t="s">
        <v>17</v>
      </c>
      <c r="I854" s="5" t="s">
        <v>18</v>
      </c>
      <c r="J854" s="7">
        <v>45440</v>
      </c>
      <c r="K854" s="5" t="s">
        <v>17</v>
      </c>
      <c r="L854" s="8">
        <v>44128</v>
      </c>
      <c r="M854" s="19">
        <v>264</v>
      </c>
      <c r="N854" s="19">
        <v>314</v>
      </c>
      <c r="O854" s="24">
        <v>4700</v>
      </c>
      <c r="P854" s="24">
        <v>5800</v>
      </c>
      <c r="Q854" t="s">
        <v>1983</v>
      </c>
      <c r="R854" s="19">
        <f>VLOOKUP(A854,[1]Sheet1!$A$2:$Q$1536,15,FALSE)</f>
        <v>4578.3916015625</v>
      </c>
      <c r="S854" s="27">
        <f t="shared" si="39"/>
        <v>-0.26682042619958352</v>
      </c>
      <c r="T854" s="19">
        <f>VLOOKUP(A854,[1]Sheet1!$A$2:$Q$1536,16,FALSE)</f>
        <v>8867.1980258651929</v>
      </c>
      <c r="U854" s="27">
        <f t="shared" si="40"/>
        <v>0.34590386015044694</v>
      </c>
      <c r="V854" s="19">
        <f>VLOOKUP(A854,[1]Sheet1!$A$2:$Q$1536,17,FALSE)</f>
        <v>4464.6181640625</v>
      </c>
      <c r="W854" s="27">
        <f t="shared" si="41"/>
        <v>-0.29910325740430016</v>
      </c>
    </row>
    <row r="855" spans="1:23" x14ac:dyDescent="0.3">
      <c r="A855" s="4" t="s">
        <v>1889</v>
      </c>
      <c r="B855" s="5">
        <v>2016</v>
      </c>
      <c r="C855" s="5" t="s">
        <v>1223</v>
      </c>
      <c r="D855" s="15" t="s">
        <v>1887</v>
      </c>
      <c r="E855" s="6">
        <v>73451</v>
      </c>
      <c r="F855" s="5" t="s">
        <v>77</v>
      </c>
      <c r="G855" s="5" t="s">
        <v>28</v>
      </c>
      <c r="H855" s="5" t="s">
        <v>17</v>
      </c>
      <c r="I855" s="5" t="s">
        <v>18</v>
      </c>
      <c r="J855" s="7">
        <v>45594</v>
      </c>
      <c r="K855" s="5" t="s">
        <v>17</v>
      </c>
      <c r="L855" s="8">
        <v>44128</v>
      </c>
      <c r="M855" s="19">
        <v>264</v>
      </c>
      <c r="N855" s="19">
        <v>314</v>
      </c>
      <c r="O855" s="24">
        <v>0</v>
      </c>
      <c r="P855" s="24">
        <v>7800</v>
      </c>
      <c r="Q855" t="s">
        <v>1983</v>
      </c>
      <c r="R855" s="19">
        <f>VLOOKUP(A855,[1]Sheet1!$A$2:$Q$1536,15,FALSE)</f>
        <v>11447.693359375</v>
      </c>
      <c r="S855" s="27">
        <f t="shared" si="39"/>
        <v>0.31864003034181115</v>
      </c>
      <c r="T855" s="19">
        <f>VLOOKUP(A855,[1]Sheet1!$A$2:$Q$1536,16,FALSE)</f>
        <v>10074.76532726921</v>
      </c>
      <c r="U855" s="27">
        <f t="shared" si="40"/>
        <v>0.22578841822867457</v>
      </c>
      <c r="V855" s="19">
        <f>VLOOKUP(A855,[1]Sheet1!$A$2:$Q$1536,17,FALSE)</f>
        <v>11499.353515625</v>
      </c>
      <c r="W855" s="27">
        <f t="shared" si="41"/>
        <v>0.32170099915603273</v>
      </c>
    </row>
    <row r="856" spans="1:23" x14ac:dyDescent="0.3">
      <c r="A856" s="4" t="s">
        <v>1443</v>
      </c>
      <c r="B856" s="5">
        <v>2015</v>
      </c>
      <c r="C856" s="5" t="s">
        <v>1086</v>
      </c>
      <c r="D856" s="15" t="s">
        <v>1442</v>
      </c>
      <c r="E856" s="6">
        <v>121732</v>
      </c>
      <c r="F856" s="5" t="s">
        <v>81</v>
      </c>
      <c r="G856" s="5" t="s">
        <v>25</v>
      </c>
      <c r="H856" s="5" t="s">
        <v>18</v>
      </c>
      <c r="I856" s="5" t="s">
        <v>17</v>
      </c>
      <c r="J856" s="7">
        <v>45596</v>
      </c>
      <c r="K856" s="5" t="s">
        <v>17</v>
      </c>
      <c r="L856" s="8">
        <v>43605</v>
      </c>
      <c r="M856" s="19">
        <v>264</v>
      </c>
      <c r="N856" s="19">
        <v>314</v>
      </c>
      <c r="O856" s="24">
        <v>0</v>
      </c>
      <c r="P856" s="24">
        <v>9000</v>
      </c>
      <c r="Q856" t="s">
        <v>1983</v>
      </c>
      <c r="R856" s="19">
        <f>VLOOKUP(A856,[1]Sheet1!$A$2:$Q$1536,15,FALSE)</f>
        <v>1246.733032226562</v>
      </c>
      <c r="S856" s="27">
        <f t="shared" si="39"/>
        <v>-6.218867044796867</v>
      </c>
      <c r="T856" s="19">
        <f>VLOOKUP(A856,[1]Sheet1!$A$2:$Q$1536,16,FALSE)</f>
        <v>8707.1575817042067</v>
      </c>
      <c r="U856" s="27">
        <f t="shared" si="40"/>
        <v>-3.3632378367783808E-2</v>
      </c>
      <c r="V856" s="19">
        <f>VLOOKUP(A856,[1]Sheet1!$A$2:$Q$1536,17,FALSE)</f>
        <v>1330.663208007812</v>
      </c>
      <c r="W856" s="27">
        <f t="shared" si="41"/>
        <v>-5.7635446338628782</v>
      </c>
    </row>
    <row r="857" spans="1:23" x14ac:dyDescent="0.3">
      <c r="A857" s="4" t="s">
        <v>1107</v>
      </c>
      <c r="B857" s="5">
        <v>2017</v>
      </c>
      <c r="C857" s="5" t="s">
        <v>1086</v>
      </c>
      <c r="D857" s="15" t="s">
        <v>1093</v>
      </c>
      <c r="E857" s="6">
        <v>99476</v>
      </c>
      <c r="F857" s="5" t="s">
        <v>79</v>
      </c>
      <c r="G857" s="5" t="s">
        <v>22</v>
      </c>
      <c r="H857" s="5" t="s">
        <v>18</v>
      </c>
      <c r="I857" s="5" t="s">
        <v>17</v>
      </c>
      <c r="J857" s="7">
        <v>45512</v>
      </c>
      <c r="K857" s="5" t="s">
        <v>17</v>
      </c>
      <c r="L857" s="8">
        <v>43612</v>
      </c>
      <c r="M857" s="19">
        <v>264</v>
      </c>
      <c r="N857" s="19">
        <v>314</v>
      </c>
      <c r="O857" s="24">
        <v>1400</v>
      </c>
      <c r="P857" s="24">
        <v>11000</v>
      </c>
      <c r="Q857" t="s">
        <v>1983</v>
      </c>
      <c r="R857" s="19">
        <f>VLOOKUP(A857,[1]Sheet1!$A$2:$Q$1536,15,FALSE)</f>
        <v>2937.392578125</v>
      </c>
      <c r="S857" s="27">
        <f t="shared" si="39"/>
        <v>-2.7448177958635456</v>
      </c>
      <c r="T857" s="19">
        <f>VLOOKUP(A857,[1]Sheet1!$A$2:$Q$1536,16,FALSE)</f>
        <v>8715.5350768906865</v>
      </c>
      <c r="U857" s="27">
        <f t="shared" si="40"/>
        <v>-0.2621141333211533</v>
      </c>
      <c r="V857" s="19">
        <f>VLOOKUP(A857,[1]Sheet1!$A$2:$Q$1536,17,FALSE)</f>
        <v>2786.861328125</v>
      </c>
      <c r="W857" s="27">
        <f t="shared" si="41"/>
        <v>-2.9470926985092576</v>
      </c>
    </row>
    <row r="858" spans="1:23" x14ac:dyDescent="0.3">
      <c r="A858" s="4" t="s">
        <v>620</v>
      </c>
      <c r="B858" s="5">
        <v>2013</v>
      </c>
      <c r="C858" s="5" t="s">
        <v>30</v>
      </c>
      <c r="D858" s="15" t="s">
        <v>614</v>
      </c>
      <c r="E858" s="6">
        <v>270358</v>
      </c>
      <c r="F858" s="5" t="s">
        <v>219</v>
      </c>
      <c r="G858" s="5" t="s">
        <v>22</v>
      </c>
      <c r="H858" s="5" t="s">
        <v>18</v>
      </c>
      <c r="I858" s="5" t="s">
        <v>17</v>
      </c>
      <c r="J858" s="7">
        <v>45720</v>
      </c>
      <c r="K858" s="5" t="s">
        <v>17</v>
      </c>
      <c r="L858" s="8">
        <v>43608</v>
      </c>
      <c r="M858" s="19">
        <v>264</v>
      </c>
      <c r="N858" s="19">
        <v>314</v>
      </c>
      <c r="O858" s="24">
        <v>1300</v>
      </c>
      <c r="P858" s="24">
        <v>6600</v>
      </c>
      <c r="Q858" t="s">
        <v>1983</v>
      </c>
      <c r="R858" s="19">
        <f>VLOOKUP(A858,[1]Sheet1!$A$2:$Q$1536,15,FALSE)</f>
        <v>1324.264770507812</v>
      </c>
      <c r="S858" s="27">
        <f t="shared" si="39"/>
        <v>-3.9838975913171173</v>
      </c>
      <c r="T858" s="19">
        <f>VLOOKUP(A858,[1]Sheet1!$A$2:$Q$1536,16,FALSE)</f>
        <v>8976.665596703413</v>
      </c>
      <c r="U858" s="27">
        <f t="shared" si="40"/>
        <v>0.26476040252365185</v>
      </c>
      <c r="V858" s="19">
        <f>VLOOKUP(A858,[1]Sheet1!$A$2:$Q$1536,17,FALSE)</f>
        <v>1325.587768554688</v>
      </c>
      <c r="W858" s="27">
        <f t="shared" si="41"/>
        <v>-3.9789234304689596</v>
      </c>
    </row>
    <row r="859" spans="1:23" x14ac:dyDescent="0.3">
      <c r="A859" s="4" t="s">
        <v>1761</v>
      </c>
      <c r="B859" s="5">
        <v>2020</v>
      </c>
      <c r="C859" s="5" t="s">
        <v>1086</v>
      </c>
      <c r="D859" s="15" t="s">
        <v>1758</v>
      </c>
      <c r="E859" s="6">
        <v>46183</v>
      </c>
      <c r="F859" s="5" t="s">
        <v>40</v>
      </c>
      <c r="G859" s="5" t="s">
        <v>16</v>
      </c>
      <c r="H859" s="5" t="s">
        <v>17</v>
      </c>
      <c r="I859" s="5" t="s">
        <v>18</v>
      </c>
      <c r="J859" s="7">
        <v>45659</v>
      </c>
      <c r="K859" s="5" t="s">
        <v>17</v>
      </c>
      <c r="L859" s="8">
        <v>43612</v>
      </c>
      <c r="M859" s="19">
        <v>264</v>
      </c>
      <c r="N859" s="19">
        <v>314</v>
      </c>
      <c r="O859" s="24">
        <v>0</v>
      </c>
      <c r="P859" s="24">
        <v>10500</v>
      </c>
      <c r="Q859" t="s">
        <v>1983</v>
      </c>
      <c r="R859" s="19">
        <f>VLOOKUP(A859,[1]Sheet1!$A$2:$Q$1536,15,FALSE)</f>
        <v>7855.953125</v>
      </c>
      <c r="S859" s="27">
        <f t="shared" si="39"/>
        <v>-0.33656601979788414</v>
      </c>
      <c r="T859" s="19">
        <f>VLOOKUP(A859,[1]Sheet1!$A$2:$Q$1536,16,FALSE)</f>
        <v>12281.06997360222</v>
      </c>
      <c r="U859" s="27">
        <f t="shared" si="40"/>
        <v>0.14502563517922906</v>
      </c>
      <c r="V859" s="19">
        <f>VLOOKUP(A859,[1]Sheet1!$A$2:$Q$1536,17,FALSE)</f>
        <v>8101.36669921875</v>
      </c>
      <c r="W859" s="27">
        <f t="shared" si="41"/>
        <v>-0.2960776113260693</v>
      </c>
    </row>
    <row r="860" spans="1:23" x14ac:dyDescent="0.3">
      <c r="A860" s="4" t="s">
        <v>336</v>
      </c>
      <c r="B860" s="5">
        <v>2012</v>
      </c>
      <c r="C860" s="5" t="s">
        <v>237</v>
      </c>
      <c r="D860" s="15" t="s">
        <v>337</v>
      </c>
      <c r="E860" s="6">
        <v>141859</v>
      </c>
      <c r="F860" s="5" t="s">
        <v>112</v>
      </c>
      <c r="G860" s="5" t="s">
        <v>22</v>
      </c>
      <c r="H860" s="5" t="s">
        <v>18</v>
      </c>
      <c r="I860" s="5" t="s">
        <v>17</v>
      </c>
      <c r="J860" s="7">
        <v>45337</v>
      </c>
      <c r="K860" s="5" t="s">
        <v>17</v>
      </c>
      <c r="L860" s="8">
        <v>44067</v>
      </c>
      <c r="M860" s="19">
        <v>235</v>
      </c>
      <c r="N860" s="19">
        <v>285</v>
      </c>
      <c r="O860" s="24">
        <v>0</v>
      </c>
      <c r="P860" s="24">
        <v>2100</v>
      </c>
      <c r="Q860" t="s">
        <v>1983</v>
      </c>
      <c r="R860" s="19">
        <f>VLOOKUP(A860,[1]Sheet1!$A$2:$Q$1536,15,FALSE)</f>
        <v>1952.824829101562</v>
      </c>
      <c r="S860" s="27">
        <f t="shared" si="39"/>
        <v>-7.5365270199964113E-2</v>
      </c>
      <c r="T860" s="19">
        <f>VLOOKUP(A860,[1]Sheet1!$A$2:$Q$1536,16,FALSE)</f>
        <v>9177.4537814904688</v>
      </c>
      <c r="U860" s="27">
        <f t="shared" si="40"/>
        <v>0.77117836275728446</v>
      </c>
      <c r="V860" s="19">
        <f>VLOOKUP(A860,[1]Sheet1!$A$2:$Q$1536,17,FALSE)</f>
        <v>1892.78857421875</v>
      </c>
      <c r="W860" s="27">
        <f t="shared" si="41"/>
        <v>-0.10947415289992264</v>
      </c>
    </row>
    <row r="861" spans="1:23" x14ac:dyDescent="0.3">
      <c r="A861" s="4" t="s">
        <v>1390</v>
      </c>
      <c r="B861" s="5">
        <v>2011</v>
      </c>
      <c r="C861" s="5" t="s">
        <v>1089</v>
      </c>
      <c r="D861" s="15" t="s">
        <v>1363</v>
      </c>
      <c r="E861" s="6">
        <v>187031</v>
      </c>
      <c r="F861" s="5" t="s">
        <v>57</v>
      </c>
      <c r="G861" s="5" t="s">
        <v>25</v>
      </c>
      <c r="H861" s="5" t="s">
        <v>18</v>
      </c>
      <c r="I861" s="5" t="s">
        <v>17</v>
      </c>
      <c r="J861" s="7">
        <v>45510</v>
      </c>
      <c r="K861" s="5" t="s">
        <v>17</v>
      </c>
      <c r="L861" s="8">
        <v>44113</v>
      </c>
      <c r="M861" s="19">
        <v>264</v>
      </c>
      <c r="N861" s="19">
        <v>314</v>
      </c>
      <c r="O861" s="24">
        <v>1800</v>
      </c>
      <c r="P861" s="24">
        <v>2600</v>
      </c>
      <c r="Q861" t="s">
        <v>1983</v>
      </c>
      <c r="R861" s="19">
        <f>VLOOKUP(A861,[1]Sheet1!$A$2:$Q$1536,15,FALSE)</f>
        <v>438.78475952148438</v>
      </c>
      <c r="S861" s="27">
        <f t="shared" si="39"/>
        <v>-4.9254564876761524</v>
      </c>
      <c r="T861" s="19">
        <f>VLOOKUP(A861,[1]Sheet1!$A$2:$Q$1536,16,FALSE)</f>
        <v>8534.2740008235796</v>
      </c>
      <c r="U861" s="27">
        <f t="shared" si="40"/>
        <v>0.6953460833634949</v>
      </c>
      <c r="V861" s="19">
        <f>VLOOKUP(A861,[1]Sheet1!$A$2:$Q$1536,17,FALSE)</f>
        <v>816.079345703125</v>
      </c>
      <c r="W861" s="27">
        <f t="shared" si="41"/>
        <v>-2.1859647149381884</v>
      </c>
    </row>
    <row r="862" spans="1:23" x14ac:dyDescent="0.3">
      <c r="A862" s="4" t="s">
        <v>705</v>
      </c>
      <c r="B862" s="5">
        <v>2020</v>
      </c>
      <c r="C862" s="5" t="s">
        <v>684</v>
      </c>
      <c r="D862" s="15" t="s">
        <v>693</v>
      </c>
      <c r="E862" s="6">
        <v>92600</v>
      </c>
      <c r="F862" s="5" t="s">
        <v>40</v>
      </c>
      <c r="G862" s="5" t="s">
        <v>28</v>
      </c>
      <c r="H862" s="5" t="s">
        <v>17</v>
      </c>
      <c r="I862" s="5" t="s">
        <v>18</v>
      </c>
      <c r="J862" s="7">
        <v>45603</v>
      </c>
      <c r="K862" s="5" t="s">
        <v>17</v>
      </c>
      <c r="L862" s="8">
        <v>44113</v>
      </c>
      <c r="M862" s="19">
        <v>264</v>
      </c>
      <c r="N862" s="19">
        <v>314</v>
      </c>
      <c r="O862" s="24">
        <v>10100</v>
      </c>
      <c r="P862" s="24">
        <v>15400</v>
      </c>
      <c r="Q862" t="s">
        <v>1983</v>
      </c>
      <c r="R862" s="19">
        <f>VLOOKUP(A862,[1]Sheet1!$A$2:$Q$1536,15,FALSE)</f>
        <v>4818.07470703125</v>
      </c>
      <c r="S862" s="27">
        <f t="shared" si="39"/>
        <v>-2.1962974707565315</v>
      </c>
      <c r="T862" s="19">
        <f>VLOOKUP(A862,[1]Sheet1!$A$2:$Q$1536,16,FALSE)</f>
        <v>10521.930029435451</v>
      </c>
      <c r="U862" s="27">
        <f t="shared" si="40"/>
        <v>-0.46360980893410103</v>
      </c>
      <c r="V862" s="19">
        <f>VLOOKUP(A862,[1]Sheet1!$A$2:$Q$1536,17,FALSE)</f>
        <v>4557.52392578125</v>
      </c>
      <c r="W862" s="27">
        <f t="shared" si="41"/>
        <v>-2.3790277902622607</v>
      </c>
    </row>
    <row r="863" spans="1:23" x14ac:dyDescent="0.3">
      <c r="A863" s="4" t="s">
        <v>1211</v>
      </c>
      <c r="B863" s="5">
        <v>2014</v>
      </c>
      <c r="C863" s="5" t="s">
        <v>684</v>
      </c>
      <c r="D863" s="15" t="s">
        <v>1187</v>
      </c>
      <c r="E863" s="6">
        <v>50310</v>
      </c>
      <c r="F863" s="5" t="s">
        <v>38</v>
      </c>
      <c r="G863" s="5" t="s">
        <v>22</v>
      </c>
      <c r="H863" s="5" t="s">
        <v>18</v>
      </c>
      <c r="I863" s="5" t="s">
        <v>17</v>
      </c>
      <c r="J863" s="7">
        <v>45328</v>
      </c>
      <c r="K863" s="5" t="s">
        <v>17</v>
      </c>
      <c r="L863" s="8">
        <v>44028</v>
      </c>
      <c r="M863" s="19">
        <v>235</v>
      </c>
      <c r="N863" s="19">
        <v>285</v>
      </c>
      <c r="O863" s="24">
        <v>0</v>
      </c>
      <c r="P863" s="24">
        <v>6000</v>
      </c>
      <c r="Q863" t="s">
        <v>1983</v>
      </c>
      <c r="R863" s="19">
        <f>VLOOKUP(A863,[1]Sheet1!$A$2:$Q$1536,15,FALSE)</f>
        <v>4840.14697265625</v>
      </c>
      <c r="S863" s="27">
        <f t="shared" si="39"/>
        <v>-0.23963177851750814</v>
      </c>
      <c r="T863" s="19">
        <f>VLOOKUP(A863,[1]Sheet1!$A$2:$Q$1536,16,FALSE)</f>
        <v>10962.125832789779</v>
      </c>
      <c r="U863" s="27">
        <f t="shared" si="40"/>
        <v>0.4526609079734451</v>
      </c>
      <c r="V863" s="19">
        <f>VLOOKUP(A863,[1]Sheet1!$A$2:$Q$1536,17,FALSE)</f>
        <v>4693.626953125</v>
      </c>
      <c r="W863" s="27">
        <f t="shared" si="41"/>
        <v>-0.27832911731624121</v>
      </c>
    </row>
    <row r="864" spans="1:23" x14ac:dyDescent="0.3">
      <c r="A864" s="4" t="s">
        <v>499</v>
      </c>
      <c r="B864" s="5">
        <v>2020</v>
      </c>
      <c r="C864" s="5" t="s">
        <v>391</v>
      </c>
      <c r="D864" s="15" t="s">
        <v>394</v>
      </c>
      <c r="E864" s="6">
        <v>58992</v>
      </c>
      <c r="F864" s="5" t="s">
        <v>112</v>
      </c>
      <c r="G864" s="5" t="s">
        <v>134</v>
      </c>
      <c r="H864" s="5" t="s">
        <v>18</v>
      </c>
      <c r="I864" s="5" t="s">
        <v>17</v>
      </c>
      <c r="J864" s="7">
        <v>45519</v>
      </c>
      <c r="K864" s="5" t="s">
        <v>17</v>
      </c>
      <c r="L864" s="8">
        <v>44113</v>
      </c>
      <c r="M864" s="19">
        <v>264</v>
      </c>
      <c r="N864" s="19">
        <v>314</v>
      </c>
      <c r="O864" s="24">
        <v>3400</v>
      </c>
      <c r="P864" s="24">
        <v>13300</v>
      </c>
      <c r="Q864" t="s">
        <v>1983</v>
      </c>
      <c r="R864" s="19">
        <f>VLOOKUP(A864,[1]Sheet1!$A$2:$Q$1536,15,FALSE)</f>
        <v>5387.484375</v>
      </c>
      <c r="S864" s="27">
        <f t="shared" si="39"/>
        <v>-1.4686846539578131</v>
      </c>
      <c r="T864" s="19">
        <f>VLOOKUP(A864,[1]Sheet1!$A$2:$Q$1536,16,FALSE)</f>
        <v>12292.81997445571</v>
      </c>
      <c r="U864" s="27">
        <f t="shared" si="40"/>
        <v>-8.1932382287969313E-2</v>
      </c>
      <c r="V864" s="19">
        <f>VLOOKUP(A864,[1]Sheet1!$A$2:$Q$1536,17,FALSE)</f>
        <v>5117.9111328125</v>
      </c>
      <c r="W864" s="27">
        <f t="shared" si="41"/>
        <v>-1.5987164792154391</v>
      </c>
    </row>
    <row r="865" spans="1:23" x14ac:dyDescent="0.3">
      <c r="A865" s="4" t="s">
        <v>1279</v>
      </c>
      <c r="B865" s="5">
        <v>2017</v>
      </c>
      <c r="C865" s="5" t="s">
        <v>633</v>
      </c>
      <c r="D865" s="15" t="s">
        <v>1280</v>
      </c>
      <c r="E865" s="6">
        <v>116705</v>
      </c>
      <c r="F865" s="5" t="s">
        <v>47</v>
      </c>
      <c r="G865" s="5" t="s">
        <v>16</v>
      </c>
      <c r="H865" s="5" t="s">
        <v>17</v>
      </c>
      <c r="I865" s="5" t="s">
        <v>18</v>
      </c>
      <c r="J865" s="7">
        <v>45706</v>
      </c>
      <c r="K865" s="5" t="s">
        <v>17</v>
      </c>
      <c r="L865" s="8">
        <v>44307</v>
      </c>
      <c r="M865" s="19">
        <v>235</v>
      </c>
      <c r="N865" s="19">
        <v>285</v>
      </c>
      <c r="O865" s="24">
        <v>6300</v>
      </c>
      <c r="P865" s="24">
        <v>13900</v>
      </c>
      <c r="Q865" t="s">
        <v>1983</v>
      </c>
      <c r="R865" s="19">
        <f>VLOOKUP(A865,[1]Sheet1!$A$2:$Q$1536,15,FALSE)</f>
        <v>7748.0263671875</v>
      </c>
      <c r="S865" s="27">
        <f t="shared" si="39"/>
        <v>-0.79400525259771926</v>
      </c>
      <c r="T865" s="19">
        <f>VLOOKUP(A865,[1]Sheet1!$A$2:$Q$1536,16,FALSE)</f>
        <v>10069.576547875529</v>
      </c>
      <c r="U865" s="27">
        <f t="shared" si="40"/>
        <v>-0.38039568336491869</v>
      </c>
      <c r="V865" s="19">
        <f>VLOOKUP(A865,[1]Sheet1!$A$2:$Q$1536,17,FALSE)</f>
        <v>7584.53271484375</v>
      </c>
      <c r="W865" s="27">
        <f t="shared" si="41"/>
        <v>-0.83267717637979177</v>
      </c>
    </row>
    <row r="866" spans="1:23" x14ac:dyDescent="0.3">
      <c r="A866" s="4" t="s">
        <v>1778</v>
      </c>
      <c r="B866" s="5">
        <v>2016</v>
      </c>
      <c r="C866" s="5" t="s">
        <v>1086</v>
      </c>
      <c r="D866" s="15" t="s">
        <v>1758</v>
      </c>
      <c r="E866" s="6">
        <v>116043</v>
      </c>
      <c r="F866" s="5" t="s">
        <v>170</v>
      </c>
      <c r="G866" s="5" t="s">
        <v>22</v>
      </c>
      <c r="H866" s="5" t="s">
        <v>18</v>
      </c>
      <c r="I866" s="5" t="s">
        <v>17</v>
      </c>
      <c r="J866" s="7">
        <v>45449</v>
      </c>
      <c r="K866" s="5" t="s">
        <v>17</v>
      </c>
      <c r="L866" s="8">
        <v>44307</v>
      </c>
      <c r="M866" s="19">
        <v>235</v>
      </c>
      <c r="N866" s="19">
        <v>285</v>
      </c>
      <c r="O866" s="24">
        <v>2400</v>
      </c>
      <c r="P866" s="24">
        <v>6500</v>
      </c>
      <c r="Q866" t="s">
        <v>1983</v>
      </c>
      <c r="R866" s="19">
        <f>VLOOKUP(A866,[1]Sheet1!$A$2:$Q$1536,15,FALSE)</f>
        <v>4780.30078125</v>
      </c>
      <c r="S866" s="27">
        <f t="shared" si="39"/>
        <v>-0.35974707396975053</v>
      </c>
      <c r="T866" s="19">
        <f>VLOOKUP(A866,[1]Sheet1!$A$2:$Q$1536,16,FALSE)</f>
        <v>8662.8567628769742</v>
      </c>
      <c r="U866" s="27">
        <f t="shared" si="40"/>
        <v>0.24967015178474217</v>
      </c>
      <c r="V866" s="19">
        <f>VLOOKUP(A866,[1]Sheet1!$A$2:$Q$1536,17,FALSE)</f>
        <v>4670.27197265625</v>
      </c>
      <c r="W866" s="27">
        <f t="shared" si="41"/>
        <v>-0.39178190008130925</v>
      </c>
    </row>
    <row r="867" spans="1:23" x14ac:dyDescent="0.3">
      <c r="A867" s="4" t="s">
        <v>1008</v>
      </c>
      <c r="B867" s="5">
        <v>2017</v>
      </c>
      <c r="C867" s="5" t="s">
        <v>237</v>
      </c>
      <c r="D867" s="15" t="s">
        <v>238</v>
      </c>
      <c r="E867" s="6">
        <v>112551</v>
      </c>
      <c r="F867" s="5" t="s">
        <v>103</v>
      </c>
      <c r="G867" s="5" t="s">
        <v>25</v>
      </c>
      <c r="H867" s="5" t="s">
        <v>18</v>
      </c>
      <c r="I867" s="5" t="s">
        <v>17</v>
      </c>
      <c r="J867" s="7">
        <v>45309</v>
      </c>
      <c r="K867" s="5" t="s">
        <v>17</v>
      </c>
      <c r="L867" s="8">
        <v>44307</v>
      </c>
      <c r="M867" s="19">
        <v>235</v>
      </c>
      <c r="N867" s="19">
        <v>285</v>
      </c>
      <c r="O867" s="24">
        <v>0</v>
      </c>
      <c r="P867" s="24">
        <v>9000</v>
      </c>
      <c r="Q867" t="s">
        <v>1983</v>
      </c>
      <c r="R867" s="19">
        <f>VLOOKUP(A867,[1]Sheet1!$A$2:$Q$1536,15,FALSE)</f>
        <v>9188.9375</v>
      </c>
      <c r="S867" s="27">
        <f t="shared" si="39"/>
        <v>2.0561408759173734E-2</v>
      </c>
      <c r="T867" s="19">
        <f>VLOOKUP(A867,[1]Sheet1!$A$2:$Q$1536,16,FALSE)</f>
        <v>9303.0440264960089</v>
      </c>
      <c r="U867" s="27">
        <f t="shared" si="40"/>
        <v>3.2574717010143014E-2</v>
      </c>
      <c r="V867" s="19">
        <f>VLOOKUP(A867,[1]Sheet1!$A$2:$Q$1536,17,FALSE)</f>
        <v>9488.697265625</v>
      </c>
      <c r="W867" s="27">
        <f t="shared" si="41"/>
        <v>5.1503093833061661E-2</v>
      </c>
    </row>
    <row r="868" spans="1:23" x14ac:dyDescent="0.3">
      <c r="A868" s="4" t="s">
        <v>1302</v>
      </c>
      <c r="B868" s="5">
        <v>2020</v>
      </c>
      <c r="C868" s="5" t="s">
        <v>636</v>
      </c>
      <c r="D868" s="15" t="s">
        <v>1303</v>
      </c>
      <c r="E868" s="6">
        <v>56169</v>
      </c>
      <c r="F868" s="5" t="s">
        <v>199</v>
      </c>
      <c r="G868" s="5" t="s">
        <v>16</v>
      </c>
      <c r="H868" s="5" t="s">
        <v>17</v>
      </c>
      <c r="I868" s="5" t="s">
        <v>18</v>
      </c>
      <c r="J868" s="7">
        <v>45344</v>
      </c>
      <c r="K868" s="5" t="s">
        <v>17</v>
      </c>
      <c r="L868" s="8">
        <v>44137</v>
      </c>
      <c r="M868" s="19">
        <v>280</v>
      </c>
      <c r="N868" s="19">
        <v>330</v>
      </c>
      <c r="O868" s="24">
        <v>0</v>
      </c>
      <c r="P868" s="24">
        <v>17400</v>
      </c>
      <c r="Q868" t="s">
        <v>1983</v>
      </c>
      <c r="R868" s="19">
        <f>VLOOKUP(A868,[1]Sheet1!$A$2:$Q$1536,15,FALSE)</f>
        <v>13304.009765625</v>
      </c>
      <c r="S868" s="27">
        <f t="shared" si="39"/>
        <v>-0.30787637009695001</v>
      </c>
      <c r="T868" s="19">
        <f>VLOOKUP(A868,[1]Sheet1!$A$2:$Q$1536,16,FALSE)</f>
        <v>13074.02718396664</v>
      </c>
      <c r="U868" s="27">
        <f t="shared" si="40"/>
        <v>-0.33088296017454555</v>
      </c>
      <c r="V868" s="19">
        <f>VLOOKUP(A868,[1]Sheet1!$A$2:$Q$1536,17,FALSE)</f>
        <v>13252.7548828125</v>
      </c>
      <c r="W868" s="27">
        <f t="shared" si="41"/>
        <v>-0.31293456748121579</v>
      </c>
    </row>
    <row r="869" spans="1:23" x14ac:dyDescent="0.3">
      <c r="A869" s="4" t="s">
        <v>1318</v>
      </c>
      <c r="B869" s="5">
        <v>2019</v>
      </c>
      <c r="C869" s="5" t="s">
        <v>1089</v>
      </c>
      <c r="D869" s="15" t="s">
        <v>1317</v>
      </c>
      <c r="E869" s="6">
        <v>130821</v>
      </c>
      <c r="F869" s="5" t="s">
        <v>199</v>
      </c>
      <c r="G869" s="5" t="s">
        <v>28</v>
      </c>
      <c r="H869" s="5" t="s">
        <v>17</v>
      </c>
      <c r="I869" s="5" t="s">
        <v>18</v>
      </c>
      <c r="J869" s="7">
        <v>45734</v>
      </c>
      <c r="K869" s="5" t="s">
        <v>17</v>
      </c>
      <c r="L869" s="8">
        <v>44067</v>
      </c>
      <c r="M869" s="19">
        <v>235</v>
      </c>
      <c r="N869" s="19">
        <v>285</v>
      </c>
      <c r="O869" s="24">
        <v>0</v>
      </c>
      <c r="P869" s="24">
        <v>7600</v>
      </c>
      <c r="Q869" t="s">
        <v>1983</v>
      </c>
      <c r="R869" s="19">
        <f>VLOOKUP(A869,[1]Sheet1!$A$2:$Q$1536,15,FALSE)</f>
        <v>7110.0849609375</v>
      </c>
      <c r="S869" s="27">
        <f t="shared" si="39"/>
        <v>-6.890424541395386E-2</v>
      </c>
      <c r="T869" s="19">
        <f>VLOOKUP(A869,[1]Sheet1!$A$2:$Q$1536,16,FALSE)</f>
        <v>9642.0207875808101</v>
      </c>
      <c r="U869" s="27">
        <f t="shared" si="40"/>
        <v>0.21178348735889363</v>
      </c>
      <c r="V869" s="19">
        <f>VLOOKUP(A869,[1]Sheet1!$A$2:$Q$1536,17,FALSE)</f>
        <v>7131.20751953125</v>
      </c>
      <c r="W869" s="27">
        <f t="shared" si="41"/>
        <v>-6.5738162742396924E-2</v>
      </c>
    </row>
    <row r="870" spans="1:23" x14ac:dyDescent="0.3">
      <c r="A870" s="4" t="s">
        <v>1974</v>
      </c>
      <c r="B870" s="5">
        <v>2018</v>
      </c>
      <c r="C870" s="5" t="s">
        <v>1972</v>
      </c>
      <c r="D870" s="15" t="s">
        <v>1975</v>
      </c>
      <c r="E870" s="6">
        <v>108153</v>
      </c>
      <c r="F870" s="5" t="s">
        <v>57</v>
      </c>
      <c r="G870" s="5" t="s">
        <v>25</v>
      </c>
      <c r="H870" s="5" t="s">
        <v>18</v>
      </c>
      <c r="I870" s="5" t="s">
        <v>17</v>
      </c>
      <c r="J870" s="7">
        <v>45524</v>
      </c>
      <c r="K870" s="5" t="s">
        <v>17</v>
      </c>
      <c r="L870" s="8">
        <v>44135</v>
      </c>
      <c r="M870" s="19">
        <v>235</v>
      </c>
      <c r="N870" s="19">
        <v>285</v>
      </c>
      <c r="O870" s="24">
        <v>7500</v>
      </c>
      <c r="P870" s="24">
        <v>13800</v>
      </c>
      <c r="Q870" t="s">
        <v>1983</v>
      </c>
      <c r="R870" s="19">
        <f>VLOOKUP(A870,[1]Sheet1!$A$2:$Q$1536,15,FALSE)</f>
        <v>5255.48828125</v>
      </c>
      <c r="S870" s="27">
        <f t="shared" si="39"/>
        <v>-1.6258264240135869</v>
      </c>
      <c r="T870" s="19">
        <f>VLOOKUP(A870,[1]Sheet1!$A$2:$Q$1536,16,FALSE)</f>
        <v>9413.4827854642463</v>
      </c>
      <c r="U870" s="27">
        <f t="shared" si="40"/>
        <v>-0.4659823908436056</v>
      </c>
      <c r="V870" s="19">
        <f>VLOOKUP(A870,[1]Sheet1!$A$2:$Q$1536,17,FALSE)</f>
        <v>5159.3408203125</v>
      </c>
      <c r="W870" s="27">
        <f t="shared" si="41"/>
        <v>-1.6747602999338465</v>
      </c>
    </row>
    <row r="871" spans="1:23" x14ac:dyDescent="0.3">
      <c r="A871" s="4" t="s">
        <v>1764</v>
      </c>
      <c r="B871" s="5">
        <v>2020</v>
      </c>
      <c r="C871" s="5" t="s">
        <v>1086</v>
      </c>
      <c r="D871" s="15" t="s">
        <v>1758</v>
      </c>
      <c r="E871" s="6">
        <v>110319</v>
      </c>
      <c r="F871" s="5" t="s">
        <v>40</v>
      </c>
      <c r="G871" s="5" t="s">
        <v>33</v>
      </c>
      <c r="H871" s="5" t="s">
        <v>17</v>
      </c>
      <c r="I871" s="5" t="s">
        <v>18</v>
      </c>
      <c r="J871" s="7">
        <v>45449</v>
      </c>
      <c r="K871" s="5" t="s">
        <v>17</v>
      </c>
      <c r="L871" s="8">
        <v>43612</v>
      </c>
      <c r="M871" s="19">
        <v>264</v>
      </c>
      <c r="N871" s="19">
        <v>314</v>
      </c>
      <c r="O871" s="24">
        <v>6800</v>
      </c>
      <c r="P871" s="24">
        <v>13800</v>
      </c>
      <c r="Q871" t="s">
        <v>1983</v>
      </c>
      <c r="R871" s="19">
        <f>VLOOKUP(A871,[1]Sheet1!$A$2:$Q$1536,15,FALSE)</f>
        <v>4927.38427734375</v>
      </c>
      <c r="S871" s="27">
        <f t="shared" si="39"/>
        <v>-1.8006746020302868</v>
      </c>
      <c r="T871" s="19">
        <f>VLOOKUP(A871,[1]Sheet1!$A$2:$Q$1536,16,FALSE)</f>
        <v>10088.068393108349</v>
      </c>
      <c r="U871" s="27">
        <f t="shared" si="40"/>
        <v>-0.36795266073210325</v>
      </c>
      <c r="V871" s="19">
        <f>VLOOKUP(A871,[1]Sheet1!$A$2:$Q$1536,17,FALSE)</f>
        <v>4723.94921875</v>
      </c>
      <c r="W871" s="27">
        <f t="shared" si="41"/>
        <v>-1.9212845780022179</v>
      </c>
    </row>
    <row r="872" spans="1:23" x14ac:dyDescent="0.3">
      <c r="A872" s="4" t="s">
        <v>1459</v>
      </c>
      <c r="B872" s="5">
        <v>2017</v>
      </c>
      <c r="C872" s="5" t="s">
        <v>1086</v>
      </c>
      <c r="D872" s="15" t="s">
        <v>1439</v>
      </c>
      <c r="E872" s="6">
        <v>116358</v>
      </c>
      <c r="F872" s="5" t="s">
        <v>92</v>
      </c>
      <c r="G872" s="5" t="s">
        <v>16</v>
      </c>
      <c r="H872" s="5" t="s">
        <v>17</v>
      </c>
      <c r="I872" s="5" t="s">
        <v>18</v>
      </c>
      <c r="J872" s="7">
        <v>45370</v>
      </c>
      <c r="K872" s="5" t="s">
        <v>17</v>
      </c>
      <c r="L872" s="8">
        <v>43612</v>
      </c>
      <c r="M872" s="19">
        <v>264</v>
      </c>
      <c r="N872" s="19">
        <v>314</v>
      </c>
      <c r="O872" s="24">
        <v>7300</v>
      </c>
      <c r="P872" s="24">
        <v>8700</v>
      </c>
      <c r="Q872" t="s">
        <v>1983</v>
      </c>
      <c r="R872" s="19">
        <f>VLOOKUP(A872,[1]Sheet1!$A$2:$Q$1536,15,FALSE)</f>
        <v>5805.85400390625</v>
      </c>
      <c r="S872" s="27">
        <f t="shared" si="39"/>
        <v>-0.49848755999488326</v>
      </c>
      <c r="T872" s="19">
        <f>VLOOKUP(A872,[1]Sheet1!$A$2:$Q$1536,16,FALSE)</f>
        <v>9615.156948233227</v>
      </c>
      <c r="U872" s="27">
        <f t="shared" si="40"/>
        <v>9.5178576195928441E-2</v>
      </c>
      <c r="V872" s="19">
        <f>VLOOKUP(A872,[1]Sheet1!$A$2:$Q$1536,17,FALSE)</f>
        <v>5924.63134765625</v>
      </c>
      <c r="W872" s="27">
        <f t="shared" si="41"/>
        <v>-0.46844579679065934</v>
      </c>
    </row>
    <row r="873" spans="1:23" x14ac:dyDescent="0.3">
      <c r="A873" s="4" t="s">
        <v>1463</v>
      </c>
      <c r="B873" s="5">
        <v>2018</v>
      </c>
      <c r="C873" s="5" t="s">
        <v>1089</v>
      </c>
      <c r="D873" s="15" t="s">
        <v>1464</v>
      </c>
      <c r="E873" s="6">
        <v>96240</v>
      </c>
      <c r="F873" s="5" t="s">
        <v>44</v>
      </c>
      <c r="G873" s="5" t="s">
        <v>22</v>
      </c>
      <c r="H873" s="5" t="s">
        <v>18</v>
      </c>
      <c r="I873" s="5" t="s">
        <v>17</v>
      </c>
      <c r="J873" s="7">
        <v>45610</v>
      </c>
      <c r="K873" s="5" t="s">
        <v>17</v>
      </c>
      <c r="L873" s="8">
        <v>43605</v>
      </c>
      <c r="M873" s="19">
        <v>264</v>
      </c>
      <c r="N873" s="19">
        <v>314</v>
      </c>
      <c r="O873" s="24">
        <v>0</v>
      </c>
      <c r="P873" s="24">
        <v>4000</v>
      </c>
      <c r="Q873" t="s">
        <v>1983</v>
      </c>
      <c r="R873" s="19">
        <f>VLOOKUP(A873,[1]Sheet1!$A$2:$Q$1536,15,FALSE)</f>
        <v>6951.27734375</v>
      </c>
      <c r="S873" s="27">
        <f t="shared" si="39"/>
        <v>0.42456619090353787</v>
      </c>
      <c r="T873" s="19">
        <f>VLOOKUP(A873,[1]Sheet1!$A$2:$Q$1536,16,FALSE)</f>
        <v>9091.422250357753</v>
      </c>
      <c r="U873" s="27">
        <f t="shared" si="40"/>
        <v>0.56002483551541149</v>
      </c>
      <c r="V873" s="19">
        <f>VLOOKUP(A873,[1]Sheet1!$A$2:$Q$1536,17,FALSE)</f>
        <v>6987.212890625</v>
      </c>
      <c r="W873" s="27">
        <f t="shared" si="41"/>
        <v>0.4275256725944408</v>
      </c>
    </row>
    <row r="874" spans="1:23" x14ac:dyDescent="0.3">
      <c r="A874" s="4" t="s">
        <v>898</v>
      </c>
      <c r="B874" s="5">
        <v>2017</v>
      </c>
      <c r="C874" s="5" t="s">
        <v>391</v>
      </c>
      <c r="D874" s="15" t="s">
        <v>590</v>
      </c>
      <c r="E874" s="6">
        <v>76060</v>
      </c>
      <c r="F874" s="5" t="s">
        <v>24</v>
      </c>
      <c r="G874" s="5" t="s">
        <v>28</v>
      </c>
      <c r="H874" s="5" t="s">
        <v>17</v>
      </c>
      <c r="I874" s="5" t="s">
        <v>18</v>
      </c>
      <c r="J874" s="7">
        <v>45729</v>
      </c>
      <c r="K874" s="5" t="s">
        <v>17</v>
      </c>
      <c r="L874" s="8">
        <v>43612</v>
      </c>
      <c r="M874" s="19">
        <v>264</v>
      </c>
      <c r="N874" s="19">
        <v>314</v>
      </c>
      <c r="O874" s="24">
        <v>0</v>
      </c>
      <c r="P874" s="24">
        <v>11800</v>
      </c>
      <c r="Q874" t="s">
        <v>1983</v>
      </c>
      <c r="R874" s="19">
        <f>VLOOKUP(A874,[1]Sheet1!$A$2:$Q$1536,15,FALSE)</f>
        <v>5681.86083984375</v>
      </c>
      <c r="S874" s="27">
        <f t="shared" si="39"/>
        <v>-1.0767844078920625</v>
      </c>
      <c r="T874" s="19">
        <f>VLOOKUP(A874,[1]Sheet1!$A$2:$Q$1536,16,FALSE)</f>
        <v>9621.1668697851819</v>
      </c>
      <c r="U874" s="27">
        <f t="shared" si="40"/>
        <v>-0.22646246133172684</v>
      </c>
      <c r="V874" s="19">
        <f>VLOOKUP(A874,[1]Sheet1!$A$2:$Q$1536,17,FALSE)</f>
        <v>5713.1025390625</v>
      </c>
      <c r="W874" s="27">
        <f t="shared" si="41"/>
        <v>-1.0654276584954028</v>
      </c>
    </row>
    <row r="875" spans="1:23" x14ac:dyDescent="0.3">
      <c r="A875" s="4" t="s">
        <v>1423</v>
      </c>
      <c r="B875" s="5">
        <v>2016</v>
      </c>
      <c r="C875" s="5" t="s">
        <v>1086</v>
      </c>
      <c r="D875" s="15" t="s">
        <v>1411</v>
      </c>
      <c r="E875" s="6">
        <v>113618</v>
      </c>
      <c r="F875" s="5" t="s">
        <v>24</v>
      </c>
      <c r="G875" s="5" t="s">
        <v>25</v>
      </c>
      <c r="H875" s="5" t="s">
        <v>18</v>
      </c>
      <c r="I875" s="5" t="s">
        <v>17</v>
      </c>
      <c r="J875" s="7">
        <v>45435</v>
      </c>
      <c r="K875" s="5" t="s">
        <v>17</v>
      </c>
      <c r="L875" s="8">
        <v>44128</v>
      </c>
      <c r="M875" s="19">
        <v>264</v>
      </c>
      <c r="N875" s="19">
        <v>314</v>
      </c>
      <c r="O875" s="24">
        <v>3300</v>
      </c>
      <c r="P875" s="24">
        <v>6200</v>
      </c>
      <c r="Q875" t="s">
        <v>1983</v>
      </c>
      <c r="R875" s="19">
        <f>VLOOKUP(A875,[1]Sheet1!$A$2:$Q$1536,15,FALSE)</f>
        <v>2104.624267578125</v>
      </c>
      <c r="S875" s="27">
        <f t="shared" si="39"/>
        <v>-1.9458939989961186</v>
      </c>
      <c r="T875" s="19">
        <f>VLOOKUP(A875,[1]Sheet1!$A$2:$Q$1536,16,FALSE)</f>
        <v>8695.7133679387589</v>
      </c>
      <c r="U875" s="27">
        <f t="shared" si="40"/>
        <v>0.28700501756882835</v>
      </c>
      <c r="V875" s="19">
        <f>VLOOKUP(A875,[1]Sheet1!$A$2:$Q$1536,17,FALSE)</f>
        <v>2043.1826171875</v>
      </c>
      <c r="W875" s="27">
        <f t="shared" si="41"/>
        <v>-2.0344815719578113</v>
      </c>
    </row>
    <row r="876" spans="1:23" x14ac:dyDescent="0.3">
      <c r="A876" s="4" t="s">
        <v>991</v>
      </c>
      <c r="B876" s="5">
        <v>2018</v>
      </c>
      <c r="C876" s="5" t="s">
        <v>237</v>
      </c>
      <c r="D876" s="15" t="s">
        <v>238</v>
      </c>
      <c r="E876" s="6">
        <v>90630</v>
      </c>
      <c r="F876" s="5" t="s">
        <v>199</v>
      </c>
      <c r="G876" s="5" t="s">
        <v>25</v>
      </c>
      <c r="H876" s="5" t="s">
        <v>18</v>
      </c>
      <c r="I876" s="5" t="s">
        <v>17</v>
      </c>
      <c r="J876" s="7">
        <v>45540</v>
      </c>
      <c r="K876" s="5" t="s">
        <v>17</v>
      </c>
      <c r="L876" s="8">
        <v>44128</v>
      </c>
      <c r="M876" s="19">
        <v>264</v>
      </c>
      <c r="N876" s="19">
        <v>314</v>
      </c>
      <c r="O876" s="24">
        <v>0</v>
      </c>
      <c r="P876" s="24">
        <v>15000</v>
      </c>
      <c r="Q876" t="s">
        <v>1983</v>
      </c>
      <c r="R876" s="19">
        <f>VLOOKUP(A876,[1]Sheet1!$A$2:$Q$1536,15,FALSE)</f>
        <v>12501.2314453125</v>
      </c>
      <c r="S876" s="27">
        <f t="shared" si="39"/>
        <v>-0.1998817928952468</v>
      </c>
      <c r="T876" s="19">
        <f>VLOOKUP(A876,[1]Sheet1!$A$2:$Q$1536,16,FALSE)</f>
        <v>10276.57136000233</v>
      </c>
      <c r="U876" s="27">
        <f t="shared" si="40"/>
        <v>-0.45963079265734785</v>
      </c>
      <c r="V876" s="19">
        <f>VLOOKUP(A876,[1]Sheet1!$A$2:$Q$1536,17,FALSE)</f>
        <v>12625.42578125</v>
      </c>
      <c r="W876" s="27">
        <f t="shared" si="41"/>
        <v>-0.18807874363148025</v>
      </c>
    </row>
    <row r="877" spans="1:23" x14ac:dyDescent="0.3">
      <c r="A877" s="4" t="s">
        <v>1913</v>
      </c>
      <c r="B877" s="5">
        <v>2013</v>
      </c>
      <c r="C877" s="5" t="s">
        <v>1911</v>
      </c>
      <c r="D877" s="15" t="s">
        <v>1914</v>
      </c>
      <c r="E877" s="6">
        <v>121206</v>
      </c>
      <c r="F877" s="5" t="s">
        <v>32</v>
      </c>
      <c r="G877" s="5" t="s">
        <v>25</v>
      </c>
      <c r="H877" s="5" t="s">
        <v>18</v>
      </c>
      <c r="I877" s="5" t="s">
        <v>17</v>
      </c>
      <c r="J877" s="7">
        <v>45314</v>
      </c>
      <c r="K877" s="5" t="s">
        <v>17</v>
      </c>
      <c r="L877" s="8">
        <v>43950</v>
      </c>
      <c r="M877" s="19">
        <v>264</v>
      </c>
      <c r="N877" s="19">
        <v>314</v>
      </c>
      <c r="O877" s="24">
        <v>0</v>
      </c>
      <c r="P877" s="24">
        <v>3200</v>
      </c>
      <c r="Q877" t="s">
        <v>1983</v>
      </c>
      <c r="R877" s="19">
        <f>VLOOKUP(A877,[1]Sheet1!$A$2:$Q$1536,15,FALSE)</f>
        <v>1331.694213867188</v>
      </c>
      <c r="S877" s="27">
        <f t="shared" si="39"/>
        <v>-1.4029540465654837</v>
      </c>
      <c r="T877" s="19">
        <f>VLOOKUP(A877,[1]Sheet1!$A$2:$Q$1536,16,FALSE)</f>
        <v>8753.9815974218163</v>
      </c>
      <c r="U877" s="27">
        <f t="shared" si="40"/>
        <v>0.63445205311575592</v>
      </c>
      <c r="V877" s="19">
        <f>VLOOKUP(A877,[1]Sheet1!$A$2:$Q$1536,17,FALSE)</f>
        <v>1330.663208007812</v>
      </c>
      <c r="W877" s="27">
        <f t="shared" si="41"/>
        <v>-1.4048158698179123</v>
      </c>
    </row>
    <row r="878" spans="1:23" x14ac:dyDescent="0.3">
      <c r="A878" s="4" t="s">
        <v>1331</v>
      </c>
      <c r="B878" s="5">
        <v>2019</v>
      </c>
      <c r="C878" s="5" t="s">
        <v>1089</v>
      </c>
      <c r="D878" s="15" t="s">
        <v>1328</v>
      </c>
      <c r="E878" s="6">
        <v>101533</v>
      </c>
      <c r="F878" s="5" t="s">
        <v>38</v>
      </c>
      <c r="G878" s="5" t="s">
        <v>33</v>
      </c>
      <c r="H878" s="5" t="s">
        <v>17</v>
      </c>
      <c r="I878" s="5" t="s">
        <v>18</v>
      </c>
      <c r="J878" s="7">
        <v>45561</v>
      </c>
      <c r="K878" s="5" t="s">
        <v>17</v>
      </c>
      <c r="L878" s="8">
        <v>43612</v>
      </c>
      <c r="M878" s="19">
        <v>264</v>
      </c>
      <c r="N878" s="19">
        <v>314</v>
      </c>
      <c r="O878" s="24">
        <v>5600</v>
      </c>
      <c r="P878" s="24">
        <v>10000</v>
      </c>
      <c r="Q878" t="s">
        <v>1983</v>
      </c>
      <c r="R878" s="19">
        <f>VLOOKUP(A878,[1]Sheet1!$A$2:$Q$1536,15,FALSE)</f>
        <v>3245.767822265625</v>
      </c>
      <c r="S878" s="27">
        <f t="shared" si="39"/>
        <v>-2.0809350968978908</v>
      </c>
      <c r="T878" s="19">
        <f>VLOOKUP(A878,[1]Sheet1!$A$2:$Q$1536,16,FALSE)</f>
        <v>8697.8276980668179</v>
      </c>
      <c r="U878" s="27">
        <f t="shared" si="40"/>
        <v>-0.14971235889423326</v>
      </c>
      <c r="V878" s="19">
        <f>VLOOKUP(A878,[1]Sheet1!$A$2:$Q$1536,17,FALSE)</f>
        <v>3109.43505859375</v>
      </c>
      <c r="W878" s="27">
        <f t="shared" si="41"/>
        <v>-2.216018283566445</v>
      </c>
    </row>
    <row r="879" spans="1:23" x14ac:dyDescent="0.3">
      <c r="A879" s="4" t="s">
        <v>1130</v>
      </c>
      <c r="B879" s="5">
        <v>2017</v>
      </c>
      <c r="C879" s="5" t="s">
        <v>633</v>
      </c>
      <c r="D879" s="15" t="s">
        <v>1124</v>
      </c>
      <c r="E879" s="6">
        <v>135117</v>
      </c>
      <c r="F879" s="5" t="s">
        <v>87</v>
      </c>
      <c r="G879" s="5" t="s">
        <v>33</v>
      </c>
      <c r="H879" s="5" t="s">
        <v>17</v>
      </c>
      <c r="I879" s="5" t="s">
        <v>18</v>
      </c>
      <c r="J879" s="7">
        <v>45356</v>
      </c>
      <c r="K879" s="5" t="s">
        <v>17</v>
      </c>
      <c r="L879" s="8">
        <v>44128</v>
      </c>
      <c r="M879" s="19">
        <v>264</v>
      </c>
      <c r="N879" s="19">
        <v>314</v>
      </c>
      <c r="O879" s="24">
        <v>0</v>
      </c>
      <c r="P879" s="24">
        <v>13900</v>
      </c>
      <c r="Q879" t="s">
        <v>1983</v>
      </c>
      <c r="R879" s="19">
        <f>VLOOKUP(A879,[1]Sheet1!$A$2:$Q$1536,15,FALSE)</f>
        <v>3892.827392578125</v>
      </c>
      <c r="S879" s="27">
        <f t="shared" si="39"/>
        <v>-2.5706694898677149</v>
      </c>
      <c r="T879" s="19">
        <f>VLOOKUP(A879,[1]Sheet1!$A$2:$Q$1536,16,FALSE)</f>
        <v>9143.7646122288406</v>
      </c>
      <c r="U879" s="27">
        <f t="shared" si="40"/>
        <v>-0.52016161717572929</v>
      </c>
      <c r="V879" s="19">
        <f>VLOOKUP(A879,[1]Sheet1!$A$2:$Q$1536,17,FALSE)</f>
        <v>3803.46435546875</v>
      </c>
      <c r="W879" s="27">
        <f t="shared" si="41"/>
        <v>-2.6545629723107851</v>
      </c>
    </row>
    <row r="880" spans="1:23" x14ac:dyDescent="0.3">
      <c r="A880" s="4" t="s">
        <v>1617</v>
      </c>
      <c r="B880" s="5">
        <v>2019</v>
      </c>
      <c r="C880" s="5" t="s">
        <v>519</v>
      </c>
      <c r="D880" s="15" t="s">
        <v>1607</v>
      </c>
      <c r="E880" s="6">
        <v>92658</v>
      </c>
      <c r="F880" s="5" t="s">
        <v>21</v>
      </c>
      <c r="G880" s="5" t="s">
        <v>25</v>
      </c>
      <c r="H880" s="5" t="s">
        <v>18</v>
      </c>
      <c r="I880" s="5" t="s">
        <v>17</v>
      </c>
      <c r="J880" s="7">
        <v>45706</v>
      </c>
      <c r="K880" s="5" t="s">
        <v>17</v>
      </c>
      <c r="L880" s="8">
        <v>44128</v>
      </c>
      <c r="M880" s="19">
        <v>264</v>
      </c>
      <c r="N880" s="19">
        <v>314</v>
      </c>
      <c r="O880" s="24">
        <v>5900</v>
      </c>
      <c r="P880" s="24">
        <v>13600</v>
      </c>
      <c r="Q880" t="s">
        <v>1983</v>
      </c>
      <c r="R880" s="19">
        <f>VLOOKUP(A880,[1]Sheet1!$A$2:$Q$1536,15,FALSE)</f>
        <v>2836.84814453125</v>
      </c>
      <c r="S880" s="27">
        <f t="shared" si="39"/>
        <v>-3.7940528738619572</v>
      </c>
      <c r="T880" s="19">
        <f>VLOOKUP(A880,[1]Sheet1!$A$2:$Q$1536,16,FALSE)</f>
        <v>9283.7678670526875</v>
      </c>
      <c r="U880" s="27">
        <f t="shared" si="40"/>
        <v>-0.46492245333548871</v>
      </c>
      <c r="V880" s="19">
        <f>VLOOKUP(A880,[1]Sheet1!$A$2:$Q$1536,17,FALSE)</f>
        <v>2708.66552734375</v>
      </c>
      <c r="W880" s="27">
        <f t="shared" si="41"/>
        <v>-4.0209226139990886</v>
      </c>
    </row>
    <row r="881" spans="1:23" x14ac:dyDescent="0.3">
      <c r="A881" s="4" t="s">
        <v>781</v>
      </c>
      <c r="B881" s="5">
        <v>2016</v>
      </c>
      <c r="C881" s="5" t="s">
        <v>237</v>
      </c>
      <c r="D881" s="15" t="s">
        <v>782</v>
      </c>
      <c r="E881" s="6">
        <v>123594</v>
      </c>
      <c r="F881" s="5" t="s">
        <v>81</v>
      </c>
      <c r="G881" s="5" t="s">
        <v>25</v>
      </c>
      <c r="H881" s="5" t="s">
        <v>18</v>
      </c>
      <c r="I881" s="5" t="s">
        <v>17</v>
      </c>
      <c r="J881" s="7">
        <v>45456</v>
      </c>
      <c r="K881" s="5" t="s">
        <v>17</v>
      </c>
      <c r="L881" s="8">
        <v>44662</v>
      </c>
      <c r="M881" s="19">
        <v>235</v>
      </c>
      <c r="N881" s="19">
        <v>285</v>
      </c>
      <c r="O881" s="24">
        <v>0</v>
      </c>
      <c r="P881" s="24">
        <v>6100</v>
      </c>
      <c r="Q881" t="s">
        <v>1983</v>
      </c>
      <c r="R881" s="19">
        <f>VLOOKUP(A881,[1]Sheet1!$A$2:$Q$1536,15,FALSE)</f>
        <v>3598.8203125</v>
      </c>
      <c r="S881" s="27">
        <f t="shared" si="39"/>
        <v>-0.69499988060323592</v>
      </c>
      <c r="T881" s="19">
        <f>VLOOKUP(A881,[1]Sheet1!$A$2:$Q$1536,16,FALSE)</f>
        <v>9333.2986627555219</v>
      </c>
      <c r="U881" s="27">
        <f t="shared" si="40"/>
        <v>0.3464261435946524</v>
      </c>
      <c r="V881" s="19">
        <f>VLOOKUP(A881,[1]Sheet1!$A$2:$Q$1536,17,FALSE)</f>
        <v>3504.2548828125</v>
      </c>
      <c r="W881" s="27">
        <f t="shared" si="41"/>
        <v>-0.74074095749113034</v>
      </c>
    </row>
    <row r="882" spans="1:23" x14ac:dyDescent="0.3">
      <c r="A882" s="4" t="s">
        <v>1586</v>
      </c>
      <c r="B882" s="5">
        <v>2017</v>
      </c>
      <c r="C882" s="5" t="s">
        <v>920</v>
      </c>
      <c r="D882" s="15" t="s">
        <v>1587</v>
      </c>
      <c r="E882" s="6">
        <v>195322</v>
      </c>
      <c r="F882" s="5" t="s">
        <v>32</v>
      </c>
      <c r="G882" s="5" t="s">
        <v>25</v>
      </c>
      <c r="H882" s="5" t="s">
        <v>18</v>
      </c>
      <c r="I882" s="5" t="s">
        <v>17</v>
      </c>
      <c r="J882" s="7">
        <v>45622</v>
      </c>
      <c r="K882" s="5" t="s">
        <v>17</v>
      </c>
      <c r="L882" s="8">
        <v>44113</v>
      </c>
      <c r="M882" s="19">
        <v>264</v>
      </c>
      <c r="N882" s="19">
        <v>314</v>
      </c>
      <c r="O882" s="24">
        <v>2700</v>
      </c>
      <c r="P882" s="24">
        <v>15898.7951807229</v>
      </c>
      <c r="Q882" t="s">
        <v>1983</v>
      </c>
      <c r="R882" s="19">
        <f>VLOOKUP(A882,[1]Sheet1!$A$2:$Q$1536,15,FALSE)</f>
        <v>3540.610107421875</v>
      </c>
      <c r="S882" s="27">
        <f t="shared" si="39"/>
        <v>-3.4904111716214192</v>
      </c>
      <c r="T882" s="19">
        <f>VLOOKUP(A882,[1]Sheet1!$A$2:$Q$1536,16,FALSE)</f>
        <v>9349.0354994971367</v>
      </c>
      <c r="U882" s="27">
        <f t="shared" si="40"/>
        <v>-0.70058132537608397</v>
      </c>
      <c r="V882" s="19">
        <f>VLOOKUP(A882,[1]Sheet1!$A$2:$Q$1536,17,FALSE)</f>
        <v>3484.11572265625</v>
      </c>
      <c r="W882" s="27">
        <f t="shared" si="41"/>
        <v>-3.5632224777545107</v>
      </c>
    </row>
    <row r="883" spans="1:23" x14ac:dyDescent="0.3">
      <c r="A883" s="4" t="s">
        <v>1062</v>
      </c>
      <c r="B883" s="5">
        <v>2017</v>
      </c>
      <c r="C883" s="5" t="s">
        <v>391</v>
      </c>
      <c r="D883" s="15" t="s">
        <v>1056</v>
      </c>
      <c r="E883" s="6">
        <v>77086</v>
      </c>
      <c r="F883" s="5" t="s">
        <v>57</v>
      </c>
      <c r="G883" s="5" t="s">
        <v>25</v>
      </c>
      <c r="H883" s="5" t="s">
        <v>18</v>
      </c>
      <c r="I883" s="5" t="s">
        <v>17</v>
      </c>
      <c r="J883" s="7">
        <v>45426</v>
      </c>
      <c r="K883" s="5" t="s">
        <v>17</v>
      </c>
      <c r="L883" s="8">
        <v>44444</v>
      </c>
      <c r="M883" s="19">
        <v>264</v>
      </c>
      <c r="N883" s="19">
        <v>314</v>
      </c>
      <c r="O883" s="24">
        <v>6500</v>
      </c>
      <c r="P883" s="24">
        <v>8400</v>
      </c>
      <c r="Q883" t="s">
        <v>1983</v>
      </c>
      <c r="R883" s="19">
        <f>VLOOKUP(A883,[1]Sheet1!$A$2:$Q$1536,15,FALSE)</f>
        <v>4547.50830078125</v>
      </c>
      <c r="S883" s="27">
        <f t="shared" si="39"/>
        <v>-0.84716540232744642</v>
      </c>
      <c r="T883" s="19">
        <f>VLOOKUP(A883,[1]Sheet1!$A$2:$Q$1536,16,FALSE)</f>
        <v>9521.7702921188684</v>
      </c>
      <c r="U883" s="27">
        <f t="shared" si="40"/>
        <v>0.11781110630733796</v>
      </c>
      <c r="V883" s="19">
        <f>VLOOKUP(A883,[1]Sheet1!$A$2:$Q$1536,17,FALSE)</f>
        <v>4584.306640625</v>
      </c>
      <c r="W883" s="27">
        <f t="shared" si="41"/>
        <v>-0.8323381611433367</v>
      </c>
    </row>
    <row r="884" spans="1:23" x14ac:dyDescent="0.3">
      <c r="A884" s="4" t="s">
        <v>187</v>
      </c>
      <c r="B884" s="5">
        <v>2016</v>
      </c>
      <c r="C884" s="5" t="s">
        <v>96</v>
      </c>
      <c r="D884" s="15" t="s">
        <v>177</v>
      </c>
      <c r="E884" s="6">
        <v>122279</v>
      </c>
      <c r="F884" s="5" t="s">
        <v>27</v>
      </c>
      <c r="G884" s="5" t="s">
        <v>25</v>
      </c>
      <c r="H884" s="5" t="s">
        <v>18</v>
      </c>
      <c r="I884" s="5" t="s">
        <v>17</v>
      </c>
      <c r="J884" s="7">
        <v>45701</v>
      </c>
      <c r="K884" s="5" t="s">
        <v>17</v>
      </c>
      <c r="L884" s="8">
        <v>44113</v>
      </c>
      <c r="M884" s="19">
        <v>264</v>
      </c>
      <c r="N884" s="19">
        <v>314</v>
      </c>
      <c r="O884" s="24">
        <v>0</v>
      </c>
      <c r="P884" s="24">
        <v>11100</v>
      </c>
      <c r="Q884" t="s">
        <v>1983</v>
      </c>
      <c r="R884" s="19">
        <f>VLOOKUP(A884,[1]Sheet1!$A$2:$Q$1536,15,FALSE)</f>
        <v>3132.401611328125</v>
      </c>
      <c r="S884" s="27">
        <f t="shared" si="39"/>
        <v>-2.543606911660873</v>
      </c>
      <c r="T884" s="19">
        <f>VLOOKUP(A884,[1]Sheet1!$A$2:$Q$1536,16,FALSE)</f>
        <v>9150.5889532364708</v>
      </c>
      <c r="U884" s="27">
        <f t="shared" si="40"/>
        <v>-0.21303667520482844</v>
      </c>
      <c r="V884" s="19">
        <f>VLOOKUP(A884,[1]Sheet1!$A$2:$Q$1536,17,FALSE)</f>
        <v>3011.75048828125</v>
      </c>
      <c r="W884" s="27">
        <f t="shared" si="41"/>
        <v>-2.6855642733985454</v>
      </c>
    </row>
    <row r="885" spans="1:23" x14ac:dyDescent="0.3">
      <c r="A885" s="4" t="s">
        <v>1631</v>
      </c>
      <c r="B885" s="5">
        <v>2016</v>
      </c>
      <c r="C885" s="5" t="s">
        <v>519</v>
      </c>
      <c r="D885" s="15" t="s">
        <v>1607</v>
      </c>
      <c r="E885" s="6">
        <v>104447</v>
      </c>
      <c r="F885" s="5" t="s">
        <v>164</v>
      </c>
      <c r="G885" s="5" t="s">
        <v>33</v>
      </c>
      <c r="H885" s="5" t="s">
        <v>17</v>
      </c>
      <c r="I885" s="5" t="s">
        <v>18</v>
      </c>
      <c r="J885" s="7">
        <v>45566</v>
      </c>
      <c r="K885" s="5" t="s">
        <v>17</v>
      </c>
      <c r="L885" s="8">
        <v>44081</v>
      </c>
      <c r="M885" s="19">
        <v>325</v>
      </c>
      <c r="N885" s="19">
        <v>375</v>
      </c>
      <c r="O885" s="24">
        <v>5500</v>
      </c>
      <c r="P885" s="24">
        <v>6800</v>
      </c>
      <c r="Q885" t="s">
        <v>1983</v>
      </c>
      <c r="R885" s="19">
        <f>VLOOKUP(A885,[1]Sheet1!$A$2:$Q$1536,15,FALSE)</f>
        <v>6348.08203125</v>
      </c>
      <c r="S885" s="27">
        <f t="shared" si="39"/>
        <v>-7.1189686353346146E-2</v>
      </c>
      <c r="T885" s="19">
        <f>VLOOKUP(A885,[1]Sheet1!$A$2:$Q$1536,16,FALSE)</f>
        <v>9156.6114129187044</v>
      </c>
      <c r="U885" s="27">
        <f t="shared" si="40"/>
        <v>0.25736719695168603</v>
      </c>
      <c r="V885" s="19">
        <f>VLOOKUP(A885,[1]Sheet1!$A$2:$Q$1536,17,FALSE)</f>
        <v>6283.87451171875</v>
      </c>
      <c r="W885" s="27">
        <f t="shared" si="41"/>
        <v>-8.2134913311641009E-2</v>
      </c>
    </row>
    <row r="886" spans="1:23" x14ac:dyDescent="0.3">
      <c r="A886" s="4" t="s">
        <v>541</v>
      </c>
      <c r="B886" s="5">
        <v>2010</v>
      </c>
      <c r="C886" s="5" t="s">
        <v>535</v>
      </c>
      <c r="D886" s="15" t="s">
        <v>540</v>
      </c>
      <c r="E886" s="6">
        <v>73346</v>
      </c>
      <c r="F886" s="5" t="s">
        <v>64</v>
      </c>
      <c r="G886" s="5" t="s">
        <v>28</v>
      </c>
      <c r="H886" s="5" t="s">
        <v>17</v>
      </c>
      <c r="I886" s="5" t="s">
        <v>18</v>
      </c>
      <c r="J886" s="7">
        <v>45356</v>
      </c>
      <c r="K886" s="5" t="s">
        <v>17</v>
      </c>
      <c r="L886" s="8">
        <v>44128</v>
      </c>
      <c r="M886" s="19">
        <v>264</v>
      </c>
      <c r="N886" s="19">
        <v>314</v>
      </c>
      <c r="O886" s="24">
        <v>7500</v>
      </c>
      <c r="P886" s="24">
        <v>7956.14035087719</v>
      </c>
      <c r="Q886" t="s">
        <v>1983</v>
      </c>
      <c r="R886" s="19">
        <f>VLOOKUP(A886,[1]Sheet1!$A$2:$Q$1536,15,FALSE)</f>
        <v>6173.7294921875</v>
      </c>
      <c r="S886" s="27">
        <f t="shared" si="39"/>
        <v>-0.28870893370777395</v>
      </c>
      <c r="T886" s="19">
        <f>VLOOKUP(A886,[1]Sheet1!$A$2:$Q$1536,16,FALSE)</f>
        <v>9180.7120851435302</v>
      </c>
      <c r="U886" s="27">
        <f t="shared" si="40"/>
        <v>0.13338526716767149</v>
      </c>
      <c r="V886" s="19">
        <f>VLOOKUP(A886,[1]Sheet1!$A$2:$Q$1536,17,FALSE)</f>
        <v>6160.89794921875</v>
      </c>
      <c r="W886" s="27">
        <f t="shared" si="41"/>
        <v>-0.29139297817554188</v>
      </c>
    </row>
    <row r="887" spans="1:23" x14ac:dyDescent="0.3">
      <c r="A887" s="4" t="s">
        <v>375</v>
      </c>
      <c r="B887" s="5">
        <v>2015</v>
      </c>
      <c r="C887" s="5" t="s">
        <v>237</v>
      </c>
      <c r="D887" s="15" t="s">
        <v>376</v>
      </c>
      <c r="E887" s="6">
        <v>71120</v>
      </c>
      <c r="F887" s="5" t="s">
        <v>246</v>
      </c>
      <c r="G887" s="5" t="s">
        <v>16</v>
      </c>
      <c r="H887" s="5" t="s">
        <v>17</v>
      </c>
      <c r="I887" s="5" t="s">
        <v>18</v>
      </c>
      <c r="J887" s="7">
        <v>45664</v>
      </c>
      <c r="K887" s="5" t="s">
        <v>17</v>
      </c>
      <c r="L887" s="8">
        <v>44144</v>
      </c>
      <c r="M887" s="19">
        <v>235</v>
      </c>
      <c r="N887" s="19">
        <v>285</v>
      </c>
      <c r="O887" s="24">
        <v>0</v>
      </c>
      <c r="P887" s="24">
        <v>21500</v>
      </c>
      <c r="Q887" t="s">
        <v>1983</v>
      </c>
      <c r="R887" s="19">
        <f>VLOOKUP(A887,[1]Sheet1!$A$2:$Q$1536,15,FALSE)</f>
        <v>16147.2607421875</v>
      </c>
      <c r="S887" s="27">
        <f t="shared" si="39"/>
        <v>-0.33149518938698663</v>
      </c>
      <c r="T887" s="19">
        <f>VLOOKUP(A887,[1]Sheet1!$A$2:$Q$1536,16,FALSE)</f>
        <v>10429.29287757296</v>
      </c>
      <c r="U887" s="27">
        <f t="shared" si="40"/>
        <v>-1.0615012208769561</v>
      </c>
      <c r="V887" s="19">
        <f>VLOOKUP(A887,[1]Sheet1!$A$2:$Q$1536,17,FALSE)</f>
        <v>16528.412109375</v>
      </c>
      <c r="W887" s="27">
        <f t="shared" si="41"/>
        <v>-0.30079041215369323</v>
      </c>
    </row>
    <row r="888" spans="1:23" x14ac:dyDescent="0.3">
      <c r="A888" s="4" t="s">
        <v>1371</v>
      </c>
      <c r="B888" s="5">
        <v>2017</v>
      </c>
      <c r="C888" s="5" t="s">
        <v>1089</v>
      </c>
      <c r="D888" s="15" t="s">
        <v>1363</v>
      </c>
      <c r="E888" s="6">
        <v>113777</v>
      </c>
      <c r="F888" s="5" t="s">
        <v>44</v>
      </c>
      <c r="G888" s="5" t="s">
        <v>33</v>
      </c>
      <c r="H888" s="5" t="s">
        <v>17</v>
      </c>
      <c r="I888" s="5" t="s">
        <v>18</v>
      </c>
      <c r="J888" s="7">
        <v>45666</v>
      </c>
      <c r="K888" s="5" t="s">
        <v>17</v>
      </c>
      <c r="L888" s="8">
        <v>44067</v>
      </c>
      <c r="M888" s="19">
        <v>235</v>
      </c>
      <c r="N888" s="19">
        <v>285</v>
      </c>
      <c r="O888" s="24">
        <v>3900</v>
      </c>
      <c r="P888" s="24">
        <v>4800</v>
      </c>
      <c r="Q888" t="s">
        <v>1983</v>
      </c>
      <c r="R888" s="19">
        <f>VLOOKUP(A888,[1]Sheet1!$A$2:$Q$1536,15,FALSE)</f>
        <v>4764.90380859375</v>
      </c>
      <c r="S888" s="27">
        <f t="shared" si="39"/>
        <v>-7.365561366202652E-3</v>
      </c>
      <c r="T888" s="19">
        <f>VLOOKUP(A888,[1]Sheet1!$A$2:$Q$1536,16,FALSE)</f>
        <v>8734.4723068133517</v>
      </c>
      <c r="U888" s="27">
        <f t="shared" si="40"/>
        <v>0.45045334951079469</v>
      </c>
      <c r="V888" s="19">
        <f>VLOOKUP(A888,[1]Sheet1!$A$2:$Q$1536,17,FALSE)</f>
        <v>4667.08935546875</v>
      </c>
      <c r="W888" s="27">
        <f t="shared" si="41"/>
        <v>-2.8478272946608457E-2</v>
      </c>
    </row>
    <row r="889" spans="1:23" x14ac:dyDescent="0.3">
      <c r="A889" s="4" t="s">
        <v>476</v>
      </c>
      <c r="B889" s="5">
        <v>2012</v>
      </c>
      <c r="C889" s="5" t="s">
        <v>391</v>
      </c>
      <c r="D889" s="15" t="s">
        <v>413</v>
      </c>
      <c r="E889" s="6">
        <v>90213</v>
      </c>
      <c r="F889" s="5" t="s">
        <v>170</v>
      </c>
      <c r="G889" s="5" t="s">
        <v>33</v>
      </c>
      <c r="H889" s="5" t="s">
        <v>17</v>
      </c>
      <c r="I889" s="5" t="s">
        <v>18</v>
      </c>
      <c r="J889" s="7">
        <v>45706</v>
      </c>
      <c r="K889" s="5" t="s">
        <v>17</v>
      </c>
      <c r="L889" s="8">
        <v>44224</v>
      </c>
      <c r="M889" s="19">
        <v>235</v>
      </c>
      <c r="N889" s="19">
        <v>285</v>
      </c>
      <c r="O889" s="24">
        <v>1300</v>
      </c>
      <c r="P889" s="24">
        <v>1900</v>
      </c>
      <c r="Q889" t="s">
        <v>1983</v>
      </c>
      <c r="R889" s="19">
        <f>VLOOKUP(A889,[1]Sheet1!$A$2:$Q$1536,15,FALSE)</f>
        <v>5255.626953125</v>
      </c>
      <c r="S889" s="27">
        <f t="shared" si="39"/>
        <v>0.63848271253912747</v>
      </c>
      <c r="T889" s="19">
        <f>VLOOKUP(A889,[1]Sheet1!$A$2:$Q$1536,16,FALSE)</f>
        <v>9518.2864262019284</v>
      </c>
      <c r="U889" s="27">
        <f t="shared" si="40"/>
        <v>0.80038423777943035</v>
      </c>
      <c r="V889" s="19">
        <f>VLOOKUP(A889,[1]Sheet1!$A$2:$Q$1536,17,FALSE)</f>
        <v>5193.2509765625</v>
      </c>
      <c r="W889" s="27">
        <f t="shared" si="41"/>
        <v>0.63414053960133432</v>
      </c>
    </row>
    <row r="890" spans="1:23" x14ac:dyDescent="0.3">
      <c r="A890" s="4" t="s">
        <v>1622</v>
      </c>
      <c r="B890" s="5">
        <v>2017</v>
      </c>
      <c r="C890" s="5" t="s">
        <v>519</v>
      </c>
      <c r="D890" s="15" t="s">
        <v>1623</v>
      </c>
      <c r="E890" s="6">
        <v>129974</v>
      </c>
      <c r="F890" s="5" t="s">
        <v>42</v>
      </c>
      <c r="G890" s="5" t="s">
        <v>25</v>
      </c>
      <c r="H890" s="5" t="s">
        <v>18</v>
      </c>
      <c r="I890" s="5" t="s">
        <v>17</v>
      </c>
      <c r="J890" s="7">
        <v>45631</v>
      </c>
      <c r="K890" s="5" t="s">
        <v>17</v>
      </c>
      <c r="L890" s="8">
        <v>44067</v>
      </c>
      <c r="M890" s="19">
        <v>235</v>
      </c>
      <c r="N890" s="19">
        <v>285</v>
      </c>
      <c r="O890" s="24">
        <v>0</v>
      </c>
      <c r="P890" s="24">
        <v>9300</v>
      </c>
      <c r="Q890" t="s">
        <v>1983</v>
      </c>
      <c r="R890" s="19">
        <f>VLOOKUP(A890,[1]Sheet1!$A$2:$Q$1536,15,FALSE)</f>
        <v>2524.83154296875</v>
      </c>
      <c r="S890" s="27">
        <f t="shared" si="39"/>
        <v>-2.6834140582166781</v>
      </c>
      <c r="T890" s="19">
        <f>VLOOKUP(A890,[1]Sheet1!$A$2:$Q$1536,16,FALSE)</f>
        <v>9156.6114129187044</v>
      </c>
      <c r="U890" s="27">
        <f t="shared" si="40"/>
        <v>-1.5659568874899967E-2</v>
      </c>
      <c r="V890" s="19">
        <f>VLOOKUP(A890,[1]Sheet1!$A$2:$Q$1536,17,FALSE)</f>
        <v>2338.3408203125</v>
      </c>
      <c r="W890" s="27">
        <f t="shared" si="41"/>
        <v>-2.9771789976950971</v>
      </c>
    </row>
    <row r="891" spans="1:23" x14ac:dyDescent="0.3">
      <c r="A891" s="4" t="s">
        <v>1370</v>
      </c>
      <c r="B891" s="5">
        <v>2015</v>
      </c>
      <c r="C891" s="5" t="s">
        <v>1089</v>
      </c>
      <c r="D891" s="15" t="s">
        <v>1363</v>
      </c>
      <c r="E891" s="6">
        <v>138417</v>
      </c>
      <c r="F891" s="5" t="s">
        <v>170</v>
      </c>
      <c r="G891" s="5" t="s">
        <v>28</v>
      </c>
      <c r="H891" s="5" t="s">
        <v>17</v>
      </c>
      <c r="I891" s="5" t="s">
        <v>18</v>
      </c>
      <c r="J891" s="7">
        <v>45715</v>
      </c>
      <c r="K891" s="5" t="s">
        <v>17</v>
      </c>
      <c r="L891" s="8">
        <v>44067</v>
      </c>
      <c r="M891" s="19">
        <v>235</v>
      </c>
      <c r="N891" s="19">
        <v>285</v>
      </c>
      <c r="O891" s="24">
        <v>3900</v>
      </c>
      <c r="P891" s="24">
        <v>4300</v>
      </c>
      <c r="Q891" t="s">
        <v>1983</v>
      </c>
      <c r="R891" s="19">
        <f>VLOOKUP(A891,[1]Sheet1!$A$2:$Q$1536,15,FALSE)</f>
        <v>3254.367919921875</v>
      </c>
      <c r="S891" s="27">
        <f t="shared" si="39"/>
        <v>-0.32130112691844215</v>
      </c>
      <c r="T891" s="19">
        <f>VLOOKUP(A891,[1]Sheet1!$A$2:$Q$1536,16,FALSE)</f>
        <v>8707.8692455657274</v>
      </c>
      <c r="U891" s="27">
        <f t="shared" si="40"/>
        <v>0.50619377958739198</v>
      </c>
      <c r="V891" s="19">
        <f>VLOOKUP(A891,[1]Sheet1!$A$2:$Q$1536,17,FALSE)</f>
        <v>3109.43505859375</v>
      </c>
      <c r="W891" s="27">
        <f t="shared" si="41"/>
        <v>-0.38288786193357133</v>
      </c>
    </row>
    <row r="892" spans="1:23" x14ac:dyDescent="0.3">
      <c r="A892" s="4" t="s">
        <v>1582</v>
      </c>
      <c r="B892" s="5">
        <v>2014</v>
      </c>
      <c r="C892" s="5" t="s">
        <v>636</v>
      </c>
      <c r="D892" s="15" t="s">
        <v>1303</v>
      </c>
      <c r="E892" s="6">
        <v>140597</v>
      </c>
      <c r="F892" s="5" t="s">
        <v>87</v>
      </c>
      <c r="G892" s="5" t="s">
        <v>25</v>
      </c>
      <c r="H892" s="5" t="s">
        <v>18</v>
      </c>
      <c r="I892" s="5" t="s">
        <v>17</v>
      </c>
      <c r="J892" s="7">
        <v>45393</v>
      </c>
      <c r="K892" s="5" t="s">
        <v>17</v>
      </c>
      <c r="L892" s="8">
        <v>44128</v>
      </c>
      <c r="M892" s="19">
        <v>264</v>
      </c>
      <c r="N892" s="19">
        <v>314</v>
      </c>
      <c r="O892" s="24">
        <v>0</v>
      </c>
      <c r="P892" s="24">
        <v>9000</v>
      </c>
      <c r="Q892" t="s">
        <v>1983</v>
      </c>
      <c r="R892" s="19">
        <f>VLOOKUP(A892,[1]Sheet1!$A$2:$Q$1536,15,FALSE)</f>
        <v>1705.072631835938</v>
      </c>
      <c r="S892" s="27">
        <f t="shared" si="39"/>
        <v>-4.2783675205139184</v>
      </c>
      <c r="T892" s="19">
        <f>VLOOKUP(A892,[1]Sheet1!$A$2:$Q$1536,16,FALSE)</f>
        <v>8769.726195238185</v>
      </c>
      <c r="U892" s="27">
        <f t="shared" si="40"/>
        <v>-2.6257810065592448E-2</v>
      </c>
      <c r="V892" s="19">
        <f>VLOOKUP(A892,[1]Sheet1!$A$2:$Q$1536,17,FALSE)</f>
        <v>1678.0625</v>
      </c>
      <c r="W892" s="27">
        <f t="shared" si="41"/>
        <v>-4.3633282431375466</v>
      </c>
    </row>
    <row r="893" spans="1:23" x14ac:dyDescent="0.3">
      <c r="A893" s="4" t="s">
        <v>671</v>
      </c>
      <c r="B893" s="5">
        <v>2015</v>
      </c>
      <c r="C893" s="5" t="s">
        <v>636</v>
      </c>
      <c r="D893" s="15" t="s">
        <v>670</v>
      </c>
      <c r="E893" s="6">
        <v>68512</v>
      </c>
      <c r="F893" s="5" t="s">
        <v>101</v>
      </c>
      <c r="G893" s="5" t="s">
        <v>16</v>
      </c>
      <c r="H893" s="5" t="s">
        <v>17</v>
      </c>
      <c r="I893" s="5" t="s">
        <v>18</v>
      </c>
      <c r="J893" s="7">
        <v>45356</v>
      </c>
      <c r="K893" s="5" t="s">
        <v>17</v>
      </c>
      <c r="L893" s="8">
        <v>44067</v>
      </c>
      <c r="M893" s="19">
        <v>235</v>
      </c>
      <c r="N893" s="19">
        <v>285</v>
      </c>
      <c r="O893" s="24">
        <v>3600</v>
      </c>
      <c r="P893" s="24">
        <v>3614.2857142857101</v>
      </c>
      <c r="Q893" t="s">
        <v>1983</v>
      </c>
      <c r="R893" s="19">
        <f>VLOOKUP(A893,[1]Sheet1!$A$2:$Q$1536,15,FALSE)</f>
        <v>7301.41650390625</v>
      </c>
      <c r="S893" s="27">
        <f t="shared" si="39"/>
        <v>0.50498842076026329</v>
      </c>
      <c r="T893" s="19">
        <f>VLOOKUP(A893,[1]Sheet1!$A$2:$Q$1536,16,FALSE)</f>
        <v>9847.8853041607072</v>
      </c>
      <c r="U893" s="27">
        <f t="shared" si="40"/>
        <v>0.63298864653118136</v>
      </c>
      <c r="V893" s="19">
        <f>VLOOKUP(A893,[1]Sheet1!$A$2:$Q$1536,17,FALSE)</f>
        <v>7304.02099609375</v>
      </c>
      <c r="W893" s="27">
        <f t="shared" si="41"/>
        <v>0.50516493364152981</v>
      </c>
    </row>
    <row r="894" spans="1:23" x14ac:dyDescent="0.3">
      <c r="A894" s="4" t="s">
        <v>1524</v>
      </c>
      <c r="B894" s="5">
        <v>2018</v>
      </c>
      <c r="C894" s="5" t="s">
        <v>1139</v>
      </c>
      <c r="D894" s="15" t="s">
        <v>1525</v>
      </c>
      <c r="E894" s="6">
        <v>108598</v>
      </c>
      <c r="F894" s="5" t="s">
        <v>144</v>
      </c>
      <c r="G894" s="5" t="s">
        <v>33</v>
      </c>
      <c r="H894" s="5" t="s">
        <v>17</v>
      </c>
      <c r="I894" s="5" t="s">
        <v>18</v>
      </c>
      <c r="J894" s="7">
        <v>45510</v>
      </c>
      <c r="K894" s="5" t="s">
        <v>17</v>
      </c>
      <c r="L894" s="8">
        <v>44128</v>
      </c>
      <c r="M894" s="19">
        <v>264</v>
      </c>
      <c r="N894" s="19">
        <v>314</v>
      </c>
      <c r="O894" s="24">
        <v>4500</v>
      </c>
      <c r="P894" s="24">
        <v>15000</v>
      </c>
      <c r="Q894" t="s">
        <v>1983</v>
      </c>
      <c r="R894" s="19">
        <f>VLOOKUP(A894,[1]Sheet1!$A$2:$Q$1536,15,FALSE)</f>
        <v>3141.77880859375</v>
      </c>
      <c r="S894" s="27">
        <f t="shared" si="39"/>
        <v>-3.7743653878402572</v>
      </c>
      <c r="T894" s="19">
        <f>VLOOKUP(A894,[1]Sheet1!$A$2:$Q$1536,16,FALSE)</f>
        <v>9220.616333200016</v>
      </c>
      <c r="U894" s="27">
        <f t="shared" si="40"/>
        <v>-0.62678930105686848</v>
      </c>
      <c r="V894" s="19">
        <f>VLOOKUP(A894,[1]Sheet1!$A$2:$Q$1536,17,FALSE)</f>
        <v>3019.00146484375</v>
      </c>
      <c r="W894" s="27">
        <f t="shared" si="41"/>
        <v>-3.9685302159256595</v>
      </c>
    </row>
    <row r="895" spans="1:23" x14ac:dyDescent="0.3">
      <c r="A895" s="4" t="s">
        <v>749</v>
      </c>
      <c r="B895" s="5">
        <v>2013</v>
      </c>
      <c r="C895" s="5" t="s">
        <v>83</v>
      </c>
      <c r="D895" s="15" t="s">
        <v>744</v>
      </c>
      <c r="E895" s="6">
        <v>142273</v>
      </c>
      <c r="F895" s="5" t="s">
        <v>79</v>
      </c>
      <c r="G895" s="5" t="s">
        <v>22</v>
      </c>
      <c r="H895" s="5" t="s">
        <v>18</v>
      </c>
      <c r="I895" s="5" t="s">
        <v>17</v>
      </c>
      <c r="J895" s="7">
        <v>45309</v>
      </c>
      <c r="K895" s="5" t="s">
        <v>17</v>
      </c>
      <c r="L895" s="8">
        <v>44483</v>
      </c>
      <c r="M895" s="19">
        <v>264</v>
      </c>
      <c r="N895" s="19">
        <v>314</v>
      </c>
      <c r="O895" s="24">
        <v>700</v>
      </c>
      <c r="P895" s="24">
        <v>3200</v>
      </c>
      <c r="Q895" t="s">
        <v>1983</v>
      </c>
      <c r="R895" s="19">
        <f>VLOOKUP(A895,[1]Sheet1!$A$2:$Q$1536,15,FALSE)</f>
        <v>2196.86474609375</v>
      </c>
      <c r="S895" s="27">
        <f t="shared" si="39"/>
        <v>-0.45662130802086337</v>
      </c>
      <c r="T895" s="19">
        <f>VLOOKUP(A895,[1]Sheet1!$A$2:$Q$1536,16,FALSE)</f>
        <v>8857.4876309614847</v>
      </c>
      <c r="U895" s="27">
        <f t="shared" si="40"/>
        <v>0.63872374048659686</v>
      </c>
      <c r="V895" s="19">
        <f>VLOOKUP(A895,[1]Sheet1!$A$2:$Q$1536,17,FALSE)</f>
        <v>2098.140869140625</v>
      </c>
      <c r="W895" s="27">
        <f t="shared" si="41"/>
        <v>-0.52515974835888124</v>
      </c>
    </row>
    <row r="896" spans="1:23" x14ac:dyDescent="0.3">
      <c r="A896" s="4" t="s">
        <v>1166</v>
      </c>
      <c r="B896" s="5">
        <v>2017</v>
      </c>
      <c r="C896" s="5" t="s">
        <v>636</v>
      </c>
      <c r="D896" s="15" t="s">
        <v>1164</v>
      </c>
      <c r="E896" s="6">
        <v>97309</v>
      </c>
      <c r="F896" s="5" t="s">
        <v>27</v>
      </c>
      <c r="G896" s="5" t="s">
        <v>33</v>
      </c>
      <c r="H896" s="5" t="s">
        <v>17</v>
      </c>
      <c r="I896" s="5" t="s">
        <v>18</v>
      </c>
      <c r="J896" s="7">
        <v>45554</v>
      </c>
      <c r="K896" s="5" t="s">
        <v>17</v>
      </c>
      <c r="L896" s="8">
        <v>44128</v>
      </c>
      <c r="M896" s="19">
        <v>264</v>
      </c>
      <c r="N896" s="19">
        <v>314</v>
      </c>
      <c r="O896" s="24">
        <v>2000</v>
      </c>
      <c r="P896" s="24">
        <v>2400</v>
      </c>
      <c r="Q896" t="s">
        <v>1983</v>
      </c>
      <c r="R896" s="19">
        <f>VLOOKUP(A896,[1]Sheet1!$A$2:$Q$1536,15,FALSE)</f>
        <v>3964.016845703125</v>
      </c>
      <c r="S896" s="27">
        <f t="shared" si="39"/>
        <v>0.3945535315770598</v>
      </c>
      <c r="T896" s="19">
        <f>VLOOKUP(A896,[1]Sheet1!$A$2:$Q$1536,16,FALSE)</f>
        <v>8970.1071963982595</v>
      </c>
      <c r="U896" s="27">
        <f t="shared" si="40"/>
        <v>0.73244466900421601</v>
      </c>
      <c r="V896" s="19">
        <f>VLOOKUP(A896,[1]Sheet1!$A$2:$Q$1536,17,FALSE)</f>
        <v>3881.8876953125</v>
      </c>
      <c r="W896" s="27">
        <f t="shared" si="41"/>
        <v>0.38174409246870417</v>
      </c>
    </row>
    <row r="897" spans="1:23" x14ac:dyDescent="0.3">
      <c r="A897" s="4" t="s">
        <v>694</v>
      </c>
      <c r="B897" s="5">
        <v>2015</v>
      </c>
      <c r="C897" s="5" t="s">
        <v>684</v>
      </c>
      <c r="D897" s="15" t="s">
        <v>693</v>
      </c>
      <c r="E897" s="6">
        <v>101872</v>
      </c>
      <c r="F897" s="5" t="s">
        <v>81</v>
      </c>
      <c r="G897" s="5" t="s">
        <v>25</v>
      </c>
      <c r="H897" s="5" t="s">
        <v>18</v>
      </c>
      <c r="I897" s="5" t="s">
        <v>17</v>
      </c>
      <c r="J897" s="7">
        <v>45664</v>
      </c>
      <c r="K897" s="5" t="s">
        <v>17</v>
      </c>
      <c r="L897" s="8">
        <v>44451</v>
      </c>
      <c r="M897" s="19">
        <v>264</v>
      </c>
      <c r="N897" s="19">
        <v>314</v>
      </c>
      <c r="O897" s="24">
        <v>2600</v>
      </c>
      <c r="P897" s="24">
        <v>5700</v>
      </c>
      <c r="Q897" t="s">
        <v>1983</v>
      </c>
      <c r="R897" s="19">
        <f>VLOOKUP(A897,[1]Sheet1!$A$2:$Q$1536,15,FALSE)</f>
        <v>1437.047973632812</v>
      </c>
      <c r="S897" s="27">
        <f t="shared" si="39"/>
        <v>-2.9664646585114198</v>
      </c>
      <c r="T897" s="19">
        <f>VLOOKUP(A897,[1]Sheet1!$A$2:$Q$1536,16,FALSE)</f>
        <v>8778.4655708637147</v>
      </c>
      <c r="U897" s="27">
        <f t="shared" si="40"/>
        <v>0.35068378932661509</v>
      </c>
      <c r="V897" s="19">
        <f>VLOOKUP(A897,[1]Sheet1!$A$2:$Q$1536,17,FALSE)</f>
        <v>1400.44287109375</v>
      </c>
      <c r="W897" s="27">
        <f t="shared" si="41"/>
        <v>-3.0701410372765032</v>
      </c>
    </row>
    <row r="898" spans="1:23" x14ac:dyDescent="0.3">
      <c r="A898" s="4" t="s">
        <v>807</v>
      </c>
      <c r="B898" s="5">
        <v>2015</v>
      </c>
      <c r="C898" s="5" t="s">
        <v>559</v>
      </c>
      <c r="D898" s="15" t="s">
        <v>760</v>
      </c>
      <c r="E898" s="6">
        <v>130697</v>
      </c>
      <c r="F898" s="5" t="s">
        <v>112</v>
      </c>
      <c r="G898" s="5" t="s">
        <v>22</v>
      </c>
      <c r="H898" s="5" t="s">
        <v>18</v>
      </c>
      <c r="I898" s="5" t="s">
        <v>17</v>
      </c>
      <c r="J898" s="7">
        <v>45706</v>
      </c>
      <c r="K898" s="5" t="s">
        <v>17</v>
      </c>
      <c r="L898" s="8">
        <v>44128</v>
      </c>
      <c r="M898" s="19">
        <v>264</v>
      </c>
      <c r="N898" s="19">
        <v>314</v>
      </c>
      <c r="O898" s="24">
        <v>600</v>
      </c>
      <c r="P898" s="24">
        <v>5100</v>
      </c>
      <c r="Q898" t="s">
        <v>1983</v>
      </c>
      <c r="R898" s="19">
        <f>VLOOKUP(A898,[1]Sheet1!$A$2:$Q$1536,15,FALSE)</f>
        <v>2848.804931640625</v>
      </c>
      <c r="S898" s="27">
        <f t="shared" si="39"/>
        <v>-0.79022436508592853</v>
      </c>
      <c r="T898" s="19">
        <f>VLOOKUP(A898,[1]Sheet1!$A$2:$Q$1536,16,FALSE)</f>
        <v>10046.17618820505</v>
      </c>
      <c r="U898" s="27">
        <f t="shared" si="40"/>
        <v>0.49234416115578633</v>
      </c>
      <c r="V898" s="19">
        <f>VLOOKUP(A898,[1]Sheet1!$A$2:$Q$1536,17,FALSE)</f>
        <v>2685.137939453125</v>
      </c>
      <c r="W898" s="27">
        <f t="shared" si="41"/>
        <v>-0.899343763709474</v>
      </c>
    </row>
    <row r="899" spans="1:23" x14ac:dyDescent="0.3">
      <c r="A899" s="4" t="s">
        <v>904</v>
      </c>
      <c r="B899" s="5">
        <v>2011</v>
      </c>
      <c r="C899" s="5" t="s">
        <v>30</v>
      </c>
      <c r="D899" s="15" t="s">
        <v>31</v>
      </c>
      <c r="E899" s="6">
        <v>144196</v>
      </c>
      <c r="F899" s="5" t="s">
        <v>144</v>
      </c>
      <c r="G899" s="5" t="s">
        <v>25</v>
      </c>
      <c r="H899" s="5" t="s">
        <v>18</v>
      </c>
      <c r="I899" s="5" t="s">
        <v>17</v>
      </c>
      <c r="J899" s="7">
        <v>45692</v>
      </c>
      <c r="K899" s="5" t="s">
        <v>17</v>
      </c>
      <c r="L899" s="8">
        <v>44133</v>
      </c>
      <c r="M899" s="19">
        <v>222</v>
      </c>
      <c r="N899" s="19">
        <v>272</v>
      </c>
      <c r="O899" s="24">
        <v>2400</v>
      </c>
      <c r="P899" s="24">
        <v>2700</v>
      </c>
      <c r="Q899" t="s">
        <v>1983</v>
      </c>
      <c r="R899" s="19">
        <f>VLOOKUP(A899,[1]Sheet1!$A$2:$Q$1536,15,FALSE)</f>
        <v>1699.127807617188</v>
      </c>
      <c r="S899" s="27">
        <f t="shared" ref="S899:S962" si="42">(R899-$P899)/R899</f>
        <v>-0.58905056341018214</v>
      </c>
      <c r="T899" s="19">
        <f>VLOOKUP(A899,[1]Sheet1!$A$2:$Q$1536,16,FALSE)</f>
        <v>9011.6830514181074</v>
      </c>
      <c r="U899" s="27">
        <f t="shared" ref="U899:U962" si="43">(T899-$P899)/T899</f>
        <v>0.70038893017047255</v>
      </c>
      <c r="V899" s="19">
        <f>VLOOKUP(A899,[1]Sheet1!$A$2:$Q$1536,17,FALSE)</f>
        <v>1672.987060546875</v>
      </c>
      <c r="W899" s="27">
        <f t="shared" ref="W899:W962" si="44">(V899-$P899)/V899</f>
        <v>-0.61387978644461805</v>
      </c>
    </row>
    <row r="900" spans="1:23" x14ac:dyDescent="0.3">
      <c r="A900" s="4" t="s">
        <v>507</v>
      </c>
      <c r="B900" s="5">
        <v>2016</v>
      </c>
      <c r="C900" s="5" t="s">
        <v>391</v>
      </c>
      <c r="D900" s="15" t="s">
        <v>394</v>
      </c>
      <c r="E900" s="6">
        <v>95990</v>
      </c>
      <c r="F900" s="5" t="s">
        <v>15</v>
      </c>
      <c r="G900" s="5" t="s">
        <v>28</v>
      </c>
      <c r="H900" s="5" t="s">
        <v>17</v>
      </c>
      <c r="I900" s="5" t="s">
        <v>18</v>
      </c>
      <c r="J900" s="7">
        <v>45356</v>
      </c>
      <c r="K900" s="5" t="s">
        <v>17</v>
      </c>
      <c r="L900" s="8">
        <v>43612</v>
      </c>
      <c r="M900" s="19">
        <v>264</v>
      </c>
      <c r="N900" s="19">
        <v>314</v>
      </c>
      <c r="O900" s="24">
        <v>9700</v>
      </c>
      <c r="P900" s="24">
        <v>12100</v>
      </c>
      <c r="Q900" t="s">
        <v>1983</v>
      </c>
      <c r="R900" s="19">
        <f>VLOOKUP(A900,[1]Sheet1!$A$2:$Q$1536,15,FALSE)</f>
        <v>7481.0517578125</v>
      </c>
      <c r="S900" s="27">
        <f t="shared" si="42"/>
        <v>-0.61741963452717852</v>
      </c>
      <c r="T900" s="19">
        <f>VLOOKUP(A900,[1]Sheet1!$A$2:$Q$1536,16,FALSE)</f>
        <v>10373.963506725449</v>
      </c>
      <c r="U900" s="27">
        <f t="shared" si="43"/>
        <v>-0.16638158522107385</v>
      </c>
      <c r="V900" s="19">
        <f>VLOOKUP(A900,[1]Sheet1!$A$2:$Q$1536,17,FALSE)</f>
        <v>7249.17626953125</v>
      </c>
      <c r="W900" s="27">
        <f t="shared" si="44"/>
        <v>-0.66915516330552915</v>
      </c>
    </row>
    <row r="901" spans="1:23" x14ac:dyDescent="0.3">
      <c r="A901" s="4" t="s">
        <v>1160</v>
      </c>
      <c r="B901" s="5">
        <v>2017</v>
      </c>
      <c r="C901" s="5" t="s">
        <v>636</v>
      </c>
      <c r="D901" s="15" t="s">
        <v>1161</v>
      </c>
      <c r="E901" s="6">
        <v>95571</v>
      </c>
      <c r="F901" s="5" t="s">
        <v>79</v>
      </c>
      <c r="G901" s="5" t="s">
        <v>25</v>
      </c>
      <c r="H901" s="5" t="s">
        <v>18</v>
      </c>
      <c r="I901" s="5" t="s">
        <v>17</v>
      </c>
      <c r="J901" s="7">
        <v>45330</v>
      </c>
      <c r="K901" s="5" t="s">
        <v>17</v>
      </c>
      <c r="L901" s="8">
        <v>43612</v>
      </c>
      <c r="M901" s="19">
        <v>264</v>
      </c>
      <c r="N901" s="19">
        <v>314</v>
      </c>
      <c r="O901" s="24">
        <v>4800</v>
      </c>
      <c r="P901" s="24">
        <v>5200</v>
      </c>
      <c r="Q901" t="s">
        <v>1983</v>
      </c>
      <c r="R901" s="19">
        <f>VLOOKUP(A901,[1]Sheet1!$A$2:$Q$1536,15,FALSE)</f>
        <v>4348.75341796875</v>
      </c>
      <c r="S901" s="27">
        <f t="shared" si="42"/>
        <v>-0.19574496418075987</v>
      </c>
      <c r="T901" s="19">
        <f>VLOOKUP(A901,[1]Sheet1!$A$2:$Q$1536,16,FALSE)</f>
        <v>8908.4054635651919</v>
      </c>
      <c r="U901" s="27">
        <f t="shared" si="43"/>
        <v>0.41628162062586094</v>
      </c>
      <c r="V901" s="19">
        <f>VLOOKUP(A901,[1]Sheet1!$A$2:$Q$1536,17,FALSE)</f>
        <v>4277.77783203125</v>
      </c>
      <c r="W901" s="27">
        <f t="shared" si="44"/>
        <v>-0.21558440016760855</v>
      </c>
    </row>
    <row r="902" spans="1:23" x14ac:dyDescent="0.3">
      <c r="A902" s="4" t="s">
        <v>1014</v>
      </c>
      <c r="B902" s="5">
        <v>2020</v>
      </c>
      <c r="C902" s="5" t="s">
        <v>237</v>
      </c>
      <c r="D902" s="15" t="s">
        <v>241</v>
      </c>
      <c r="E902" s="6">
        <v>65583</v>
      </c>
      <c r="F902" s="5" t="s">
        <v>246</v>
      </c>
      <c r="G902" s="5" t="s">
        <v>16</v>
      </c>
      <c r="H902" s="5" t="s">
        <v>17</v>
      </c>
      <c r="I902" s="5" t="s">
        <v>18</v>
      </c>
      <c r="J902" s="7">
        <v>45664</v>
      </c>
      <c r="K902" s="5" t="s">
        <v>17</v>
      </c>
      <c r="L902" s="8">
        <v>44035</v>
      </c>
      <c r="M902" s="19">
        <v>222</v>
      </c>
      <c r="N902" s="19">
        <v>272</v>
      </c>
      <c r="O902" s="24">
        <v>12000</v>
      </c>
      <c r="P902" s="24">
        <v>18800</v>
      </c>
      <c r="Q902" t="s">
        <v>1983</v>
      </c>
      <c r="R902" s="19">
        <f>VLOOKUP(A902,[1]Sheet1!$A$2:$Q$1536,15,FALSE)</f>
        <v>15521.9013671875</v>
      </c>
      <c r="S902" s="27">
        <f t="shared" si="42"/>
        <v>-0.21119182213992363</v>
      </c>
      <c r="T902" s="19">
        <f>VLOOKUP(A902,[1]Sheet1!$A$2:$Q$1536,16,FALSE)</f>
        <v>12659.01728296711</v>
      </c>
      <c r="U902" s="27">
        <f t="shared" si="43"/>
        <v>-0.48510738075187482</v>
      </c>
      <c r="V902" s="19">
        <f>VLOOKUP(A902,[1]Sheet1!$A$2:$Q$1536,17,FALSE)</f>
        <v>15629.8251953125</v>
      </c>
      <c r="W902" s="27">
        <f t="shared" si="44"/>
        <v>-0.20282855150793747</v>
      </c>
    </row>
    <row r="903" spans="1:23" x14ac:dyDescent="0.3">
      <c r="A903" s="4" t="s">
        <v>1737</v>
      </c>
      <c r="B903" s="5">
        <v>2014</v>
      </c>
      <c r="C903" s="5" t="s">
        <v>1086</v>
      </c>
      <c r="D903" s="15" t="s">
        <v>1093</v>
      </c>
      <c r="E903" s="6">
        <v>113842</v>
      </c>
      <c r="F903" s="5" t="s">
        <v>61</v>
      </c>
      <c r="G903" s="5" t="s">
        <v>25</v>
      </c>
      <c r="H903" s="5" t="s">
        <v>18</v>
      </c>
      <c r="I903" s="5" t="s">
        <v>17</v>
      </c>
      <c r="J903" s="7">
        <v>45687</v>
      </c>
      <c r="K903" s="5" t="s">
        <v>17</v>
      </c>
      <c r="L903" s="8">
        <v>44224</v>
      </c>
      <c r="M903" s="19">
        <v>235</v>
      </c>
      <c r="N903" s="19">
        <v>285</v>
      </c>
      <c r="O903" s="24">
        <v>800</v>
      </c>
      <c r="P903" s="24">
        <v>4100</v>
      </c>
      <c r="Q903" t="s">
        <v>1983</v>
      </c>
      <c r="R903" s="19">
        <f>VLOOKUP(A903,[1]Sheet1!$A$2:$Q$1536,15,FALSE)</f>
        <v>1052.676513671875</v>
      </c>
      <c r="S903" s="27">
        <f t="shared" si="42"/>
        <v>-2.894833737383061</v>
      </c>
      <c r="T903" s="19">
        <f>VLOOKUP(A903,[1]Sheet1!$A$2:$Q$1536,16,FALSE)</f>
        <v>8470.4942381520232</v>
      </c>
      <c r="U903" s="27">
        <f t="shared" si="43"/>
        <v>0.51596685096211314</v>
      </c>
      <c r="V903" s="19">
        <f>VLOOKUP(A903,[1]Sheet1!$A$2:$Q$1536,17,FALSE)</f>
        <v>1179.263427734375</v>
      </c>
      <c r="W903" s="27">
        <f t="shared" si="44"/>
        <v>-2.4767465042793737</v>
      </c>
    </row>
    <row r="904" spans="1:23" x14ac:dyDescent="0.3">
      <c r="A904" s="4" t="s">
        <v>1449</v>
      </c>
      <c r="B904" s="5">
        <v>2013</v>
      </c>
      <c r="C904" s="5" t="s">
        <v>1086</v>
      </c>
      <c r="D904" s="15" t="s">
        <v>1442</v>
      </c>
      <c r="E904" s="6">
        <v>155907</v>
      </c>
      <c r="F904" s="5" t="s">
        <v>47</v>
      </c>
      <c r="G904" s="5" t="s">
        <v>25</v>
      </c>
      <c r="H904" s="5" t="s">
        <v>18</v>
      </c>
      <c r="I904" s="5" t="s">
        <v>17</v>
      </c>
      <c r="J904" s="7">
        <v>45561</v>
      </c>
      <c r="K904" s="5" t="s">
        <v>17</v>
      </c>
      <c r="L904" s="8">
        <v>43608</v>
      </c>
      <c r="M904" s="19">
        <v>264</v>
      </c>
      <c r="N904" s="19">
        <v>314</v>
      </c>
      <c r="O904" s="24">
        <v>0</v>
      </c>
      <c r="P904" s="24">
        <v>9000</v>
      </c>
      <c r="Q904" t="s">
        <v>1983</v>
      </c>
      <c r="R904" s="19">
        <f>VLOOKUP(A904,[1]Sheet1!$A$2:$Q$1536,15,FALSE)</f>
        <v>2254.66943359375</v>
      </c>
      <c r="S904" s="27">
        <f t="shared" si="42"/>
        <v>-2.9917159765876504</v>
      </c>
      <c r="T904" s="19">
        <f>VLOOKUP(A904,[1]Sheet1!$A$2:$Q$1536,16,FALSE)</f>
        <v>9548.2589275789651</v>
      </c>
      <c r="U904" s="27">
        <f t="shared" si="43"/>
        <v>5.7419780060151804E-2</v>
      </c>
      <c r="V904" s="19">
        <f>VLOOKUP(A904,[1]Sheet1!$A$2:$Q$1536,17,FALSE)</f>
        <v>2255.45654296875</v>
      </c>
      <c r="W904" s="27">
        <f t="shared" si="44"/>
        <v>-2.9903229472795467</v>
      </c>
    </row>
    <row r="905" spans="1:23" x14ac:dyDescent="0.3">
      <c r="A905" s="4" t="s">
        <v>702</v>
      </c>
      <c r="B905" s="5">
        <v>2015</v>
      </c>
      <c r="C905" s="5" t="s">
        <v>684</v>
      </c>
      <c r="D905" s="15" t="s">
        <v>693</v>
      </c>
      <c r="E905" s="6">
        <v>85586</v>
      </c>
      <c r="F905" s="5" t="s">
        <v>32</v>
      </c>
      <c r="G905" s="5" t="s">
        <v>25</v>
      </c>
      <c r="H905" s="5" t="s">
        <v>18</v>
      </c>
      <c r="I905" s="5" t="s">
        <v>17</v>
      </c>
      <c r="J905" s="7">
        <v>45342</v>
      </c>
      <c r="K905" s="5" t="s">
        <v>17</v>
      </c>
      <c r="L905" s="8">
        <v>44113</v>
      </c>
      <c r="M905" s="19">
        <v>264</v>
      </c>
      <c r="N905" s="19">
        <v>314</v>
      </c>
      <c r="O905" s="24">
        <v>2200</v>
      </c>
      <c r="P905" s="24">
        <v>9500</v>
      </c>
      <c r="Q905" t="s">
        <v>1983</v>
      </c>
      <c r="R905" s="19">
        <f>VLOOKUP(A905,[1]Sheet1!$A$2:$Q$1536,15,FALSE)</f>
        <v>1792.913818359375</v>
      </c>
      <c r="S905" s="27">
        <f t="shared" si="42"/>
        <v>-4.2986372812347877</v>
      </c>
      <c r="T905" s="19">
        <f>VLOOKUP(A905,[1]Sheet1!$A$2:$Q$1536,16,FALSE)</f>
        <v>8823.8160593936791</v>
      </c>
      <c r="U905" s="27">
        <f t="shared" si="43"/>
        <v>-7.6631690422248475E-2</v>
      </c>
      <c r="V905" s="19">
        <f>VLOOKUP(A905,[1]Sheet1!$A$2:$Q$1536,17,FALSE)</f>
        <v>1715.600830078125</v>
      </c>
      <c r="W905" s="27">
        <f t="shared" si="44"/>
        <v>-4.5374186310969487</v>
      </c>
    </row>
    <row r="906" spans="1:23" x14ac:dyDescent="0.3">
      <c r="A906" s="4" t="s">
        <v>482</v>
      </c>
      <c r="B906" s="5">
        <v>2021</v>
      </c>
      <c r="C906" s="5" t="s">
        <v>391</v>
      </c>
      <c r="D906" s="15" t="s">
        <v>394</v>
      </c>
      <c r="E906" s="6">
        <v>60802</v>
      </c>
      <c r="F906" s="5" t="s">
        <v>15</v>
      </c>
      <c r="G906" s="5" t="s">
        <v>33</v>
      </c>
      <c r="H906" s="5" t="s">
        <v>17</v>
      </c>
      <c r="I906" s="5" t="s">
        <v>18</v>
      </c>
      <c r="J906" s="7">
        <v>45454</v>
      </c>
      <c r="K906" s="5" t="s">
        <v>17</v>
      </c>
      <c r="L906" s="8">
        <v>44113</v>
      </c>
      <c r="M906" s="19">
        <v>264</v>
      </c>
      <c r="N906" s="19">
        <v>314</v>
      </c>
      <c r="O906" s="24">
        <v>12100</v>
      </c>
      <c r="P906" s="24">
        <v>13800</v>
      </c>
      <c r="Q906" t="s">
        <v>1983</v>
      </c>
      <c r="R906" s="19">
        <f>VLOOKUP(A906,[1]Sheet1!$A$2:$Q$1536,15,FALSE)</f>
        <v>15406.7216796875</v>
      </c>
      <c r="S906" s="27">
        <f t="shared" si="42"/>
        <v>0.1042870581485113</v>
      </c>
      <c r="T906" s="19">
        <f>VLOOKUP(A906,[1]Sheet1!$A$2:$Q$1536,16,FALSE)</f>
        <v>14383.97244202738</v>
      </c>
      <c r="U906" s="27">
        <f t="shared" si="43"/>
        <v>4.0598829313737927E-2</v>
      </c>
      <c r="V906" s="19">
        <f>VLOOKUP(A906,[1]Sheet1!$A$2:$Q$1536,17,FALSE)</f>
        <v>15305.607421875</v>
      </c>
      <c r="W906" s="27">
        <f t="shared" si="44"/>
        <v>9.8369661547908493E-2</v>
      </c>
    </row>
    <row r="907" spans="1:23" x14ac:dyDescent="0.3">
      <c r="A907" s="4" t="s">
        <v>256</v>
      </c>
      <c r="B907" s="5">
        <v>2017</v>
      </c>
      <c r="C907" s="5" t="s">
        <v>237</v>
      </c>
      <c r="D907" s="15" t="s">
        <v>248</v>
      </c>
      <c r="E907" s="6">
        <v>82193</v>
      </c>
      <c r="F907" s="5" t="s">
        <v>79</v>
      </c>
      <c r="G907" s="5" t="s">
        <v>22</v>
      </c>
      <c r="H907" s="5" t="s">
        <v>18</v>
      </c>
      <c r="I907" s="5" t="s">
        <v>17</v>
      </c>
      <c r="J907" s="7">
        <v>45729</v>
      </c>
      <c r="K907" s="5" t="s">
        <v>17</v>
      </c>
      <c r="L907" s="8">
        <v>44113</v>
      </c>
      <c r="M907" s="19">
        <v>264</v>
      </c>
      <c r="N907" s="19">
        <v>314</v>
      </c>
      <c r="O907" s="24">
        <v>0</v>
      </c>
      <c r="P907" s="24">
        <v>7500</v>
      </c>
      <c r="Q907" t="s">
        <v>1983</v>
      </c>
      <c r="R907" s="19">
        <f>VLOOKUP(A907,[1]Sheet1!$A$2:$Q$1536,15,FALSE)</f>
        <v>5193.529296875</v>
      </c>
      <c r="S907" s="27">
        <f t="shared" si="42"/>
        <v>-0.44410468705988182</v>
      </c>
      <c r="T907" s="19">
        <f>VLOOKUP(A907,[1]Sheet1!$A$2:$Q$1536,16,FALSE)</f>
        <v>9439.3206354951744</v>
      </c>
      <c r="U907" s="27">
        <f t="shared" si="43"/>
        <v>0.20545129362410308</v>
      </c>
      <c r="V907" s="19">
        <f>VLOOKUP(A907,[1]Sheet1!$A$2:$Q$1536,17,FALSE)</f>
        <v>5165.07470703125</v>
      </c>
      <c r="W907" s="27">
        <f t="shared" si="44"/>
        <v>-0.4520603138208632</v>
      </c>
    </row>
    <row r="908" spans="1:23" x14ac:dyDescent="0.3">
      <c r="A908" s="4" t="s">
        <v>202</v>
      </c>
      <c r="B908" s="5">
        <v>2019</v>
      </c>
      <c r="C908" s="5" t="s">
        <v>96</v>
      </c>
      <c r="D908" s="15" t="s">
        <v>177</v>
      </c>
      <c r="E908" s="6">
        <v>106217</v>
      </c>
      <c r="F908" s="5" t="s">
        <v>77</v>
      </c>
      <c r="G908" s="5" t="s">
        <v>25</v>
      </c>
      <c r="H908" s="5" t="s">
        <v>18</v>
      </c>
      <c r="I908" s="5" t="s">
        <v>17</v>
      </c>
      <c r="J908" s="7">
        <v>45701</v>
      </c>
      <c r="K908" s="5" t="s">
        <v>17</v>
      </c>
      <c r="L908" s="8">
        <v>43608</v>
      </c>
      <c r="M908" s="19">
        <v>264</v>
      </c>
      <c r="N908" s="19">
        <v>314</v>
      </c>
      <c r="O908" s="24">
        <v>0</v>
      </c>
      <c r="P908" s="24">
        <v>15200</v>
      </c>
      <c r="Q908" t="s">
        <v>1983</v>
      </c>
      <c r="R908" s="19">
        <f>VLOOKUP(A908,[1]Sheet1!$A$2:$Q$1536,15,FALSE)</f>
        <v>9645.5771484375</v>
      </c>
      <c r="S908" s="27">
        <f t="shared" si="42"/>
        <v>-0.57585178845023999</v>
      </c>
      <c r="T908" s="19">
        <f>VLOOKUP(A908,[1]Sheet1!$A$2:$Q$1536,16,FALSE)</f>
        <v>9364.9802255257964</v>
      </c>
      <c r="U908" s="27">
        <f t="shared" si="43"/>
        <v>-0.62306802939849204</v>
      </c>
      <c r="V908" s="19">
        <f>VLOOKUP(A908,[1]Sheet1!$A$2:$Q$1536,17,FALSE)</f>
        <v>9707.07421875</v>
      </c>
      <c r="W908" s="27">
        <f t="shared" si="44"/>
        <v>-0.56586832009999155</v>
      </c>
    </row>
    <row r="909" spans="1:23" x14ac:dyDescent="0.3">
      <c r="A909" s="4" t="s">
        <v>1023</v>
      </c>
      <c r="B909" s="5">
        <v>2012</v>
      </c>
      <c r="C909" s="5" t="s">
        <v>237</v>
      </c>
      <c r="D909" s="15" t="s">
        <v>1024</v>
      </c>
      <c r="E909" s="6">
        <v>101884</v>
      </c>
      <c r="F909" s="5" t="s">
        <v>32</v>
      </c>
      <c r="G909" s="5" t="s">
        <v>25</v>
      </c>
      <c r="H909" s="5" t="s">
        <v>18</v>
      </c>
      <c r="I909" s="5" t="s">
        <v>17</v>
      </c>
      <c r="J909" s="7">
        <v>45664</v>
      </c>
      <c r="K909" s="5" t="s">
        <v>17</v>
      </c>
      <c r="L909" s="8">
        <v>44035</v>
      </c>
      <c r="M909" s="19">
        <v>222</v>
      </c>
      <c r="N909" s="19">
        <v>272</v>
      </c>
      <c r="O909" s="24">
        <v>1200</v>
      </c>
      <c r="P909" s="24">
        <v>5085.9154929577498</v>
      </c>
      <c r="Q909" t="s">
        <v>1983</v>
      </c>
      <c r="R909" s="19">
        <f>VLOOKUP(A909,[1]Sheet1!$A$2:$Q$1536,15,FALSE)</f>
        <v>2441.162353515625</v>
      </c>
      <c r="S909" s="27">
        <f t="shared" si="42"/>
        <v>-1.0833991174873314</v>
      </c>
      <c r="T909" s="19">
        <f>VLOOKUP(A909,[1]Sheet1!$A$2:$Q$1536,16,FALSE)</f>
        <v>9173.3825040507163</v>
      </c>
      <c r="U909" s="27">
        <f t="shared" si="43"/>
        <v>0.44557904451144953</v>
      </c>
      <c r="V909" s="19">
        <f>VLOOKUP(A909,[1]Sheet1!$A$2:$Q$1536,17,FALSE)</f>
        <v>2321.60986328125</v>
      </c>
      <c r="W909" s="27">
        <f t="shared" si="44"/>
        <v>-1.190684823232774</v>
      </c>
    </row>
    <row r="910" spans="1:23" x14ac:dyDescent="0.3">
      <c r="A910" s="4" t="s">
        <v>1686</v>
      </c>
      <c r="B910" s="5">
        <v>2016</v>
      </c>
      <c r="C910" s="5" t="s">
        <v>1089</v>
      </c>
      <c r="D910" s="15" t="s">
        <v>1687</v>
      </c>
      <c r="E910" s="6">
        <v>85615</v>
      </c>
      <c r="F910" s="5" t="s">
        <v>40</v>
      </c>
      <c r="G910" s="5" t="s">
        <v>33</v>
      </c>
      <c r="H910" s="5" t="s">
        <v>17</v>
      </c>
      <c r="I910" s="5" t="s">
        <v>18</v>
      </c>
      <c r="J910" s="7">
        <v>45589</v>
      </c>
      <c r="K910" s="5" t="s">
        <v>17</v>
      </c>
      <c r="L910" s="8">
        <v>43608</v>
      </c>
      <c r="M910" s="19">
        <v>264</v>
      </c>
      <c r="N910" s="19">
        <v>314</v>
      </c>
      <c r="O910" s="24">
        <v>0</v>
      </c>
      <c r="P910" s="24">
        <v>4000</v>
      </c>
      <c r="Q910" t="s">
        <v>1983</v>
      </c>
      <c r="R910" s="19">
        <f>VLOOKUP(A910,[1]Sheet1!$A$2:$Q$1536,15,FALSE)</f>
        <v>3380.359619140625</v>
      </c>
      <c r="S910" s="27">
        <f t="shared" si="42"/>
        <v>-0.18330605340058573</v>
      </c>
      <c r="T910" s="19">
        <f>VLOOKUP(A910,[1]Sheet1!$A$2:$Q$1536,16,FALSE)</f>
        <v>9010.2642736506132</v>
      </c>
      <c r="U910" s="27">
        <f t="shared" si="43"/>
        <v>0.5560618558439514</v>
      </c>
      <c r="V910" s="19">
        <f>VLOOKUP(A910,[1]Sheet1!$A$2:$Q$1536,17,FALSE)</f>
        <v>3291.81689453125</v>
      </c>
      <c r="W910" s="27">
        <f t="shared" si="44"/>
        <v>-0.21513441608652847</v>
      </c>
    </row>
    <row r="911" spans="1:23" x14ac:dyDescent="0.3">
      <c r="A911" s="4" t="s">
        <v>1268</v>
      </c>
      <c r="B911" s="5">
        <v>2017</v>
      </c>
      <c r="C911" s="5" t="s">
        <v>519</v>
      </c>
      <c r="D911" s="15" t="s">
        <v>1267</v>
      </c>
      <c r="E911" s="6">
        <v>125258</v>
      </c>
      <c r="F911" s="5" t="s">
        <v>42</v>
      </c>
      <c r="G911" s="5" t="s">
        <v>33</v>
      </c>
      <c r="H911" s="5" t="s">
        <v>17</v>
      </c>
      <c r="I911" s="5" t="s">
        <v>18</v>
      </c>
      <c r="J911" s="7">
        <v>45440</v>
      </c>
      <c r="K911" s="5" t="s">
        <v>17</v>
      </c>
      <c r="L911" s="8">
        <v>43608</v>
      </c>
      <c r="M911" s="19">
        <v>264</v>
      </c>
      <c r="N911" s="19">
        <v>314</v>
      </c>
      <c r="O911" s="24">
        <v>7300</v>
      </c>
      <c r="P911" s="24">
        <v>20200</v>
      </c>
      <c r="Q911" t="s">
        <v>1983</v>
      </c>
      <c r="R911" s="19">
        <f>VLOOKUP(A911,[1]Sheet1!$A$2:$Q$1536,15,FALSE)</f>
        <v>3232.01708984375</v>
      </c>
      <c r="S911" s="27">
        <f t="shared" si="42"/>
        <v>-5.249966952054872</v>
      </c>
      <c r="T911" s="19">
        <f>VLOOKUP(A911,[1]Sheet1!$A$2:$Q$1536,16,FALSE)</f>
        <v>9041.5914255161024</v>
      </c>
      <c r="U911" s="27">
        <f t="shared" si="43"/>
        <v>-1.234119973945512</v>
      </c>
      <c r="V911" s="19">
        <f>VLOOKUP(A911,[1]Sheet1!$A$2:$Q$1536,17,FALSE)</f>
        <v>3104.359375</v>
      </c>
      <c r="W911" s="27">
        <f t="shared" si="44"/>
        <v>-5.5069785936107989</v>
      </c>
    </row>
    <row r="912" spans="1:23" x14ac:dyDescent="0.3">
      <c r="A912" s="4" t="s">
        <v>209</v>
      </c>
      <c r="B912" s="5">
        <v>2021</v>
      </c>
      <c r="C912" s="5" t="s">
        <v>83</v>
      </c>
      <c r="D912" s="15" t="s">
        <v>205</v>
      </c>
      <c r="E912" s="6">
        <v>51759</v>
      </c>
      <c r="F912" s="5" t="s">
        <v>184</v>
      </c>
      <c r="G912" s="5" t="s">
        <v>16</v>
      </c>
      <c r="H912" s="5" t="s">
        <v>17</v>
      </c>
      <c r="I912" s="5" t="s">
        <v>18</v>
      </c>
      <c r="J912" s="7">
        <v>45538</v>
      </c>
      <c r="K912" s="5" t="s">
        <v>17</v>
      </c>
      <c r="L912" s="8">
        <v>44128</v>
      </c>
      <c r="M912" s="19">
        <v>264</v>
      </c>
      <c r="N912" s="19">
        <v>314</v>
      </c>
      <c r="O912" s="24">
        <v>25000</v>
      </c>
      <c r="P912" s="24">
        <v>29700</v>
      </c>
      <c r="Q912" t="s">
        <v>1983</v>
      </c>
      <c r="R912" s="19">
        <f>VLOOKUP(A912,[1]Sheet1!$A$2:$Q$1536,15,FALSE)</f>
        <v>19964.494140625</v>
      </c>
      <c r="S912" s="27">
        <f t="shared" si="42"/>
        <v>-0.48764099860484739</v>
      </c>
      <c r="T912" s="19">
        <f>VLOOKUP(A912,[1]Sheet1!$A$2:$Q$1536,16,FALSE)</f>
        <v>14740.640980210679</v>
      </c>
      <c r="U912" s="27">
        <f t="shared" si="43"/>
        <v>-1.014837756368415</v>
      </c>
      <c r="V912" s="19">
        <f>VLOOKUP(A912,[1]Sheet1!$A$2:$Q$1536,17,FALSE)</f>
        <v>19977.6953125</v>
      </c>
      <c r="W912" s="27">
        <f t="shared" si="44"/>
        <v>-0.4866579720743251</v>
      </c>
    </row>
    <row r="913" spans="1:23" x14ac:dyDescent="0.3">
      <c r="A913" s="4" t="s">
        <v>1109</v>
      </c>
      <c r="B913" s="5">
        <v>2017</v>
      </c>
      <c r="C913" s="5" t="s">
        <v>1086</v>
      </c>
      <c r="D913" s="15" t="s">
        <v>1093</v>
      </c>
      <c r="E913" s="6">
        <v>118821</v>
      </c>
      <c r="F913" s="5" t="s">
        <v>42</v>
      </c>
      <c r="G913" s="5" t="s">
        <v>25</v>
      </c>
      <c r="H913" s="5" t="s">
        <v>18</v>
      </c>
      <c r="I913" s="5" t="s">
        <v>17</v>
      </c>
      <c r="J913" s="7">
        <v>45309</v>
      </c>
      <c r="K913" s="5" t="s">
        <v>17</v>
      </c>
      <c r="L913" s="8">
        <v>44128</v>
      </c>
      <c r="M913" s="19">
        <v>264</v>
      </c>
      <c r="N913" s="19">
        <v>314</v>
      </c>
      <c r="O913" s="24">
        <v>3000</v>
      </c>
      <c r="P913" s="24">
        <v>7600</v>
      </c>
      <c r="Q913" t="s">
        <v>1983</v>
      </c>
      <c r="R913" s="19">
        <f>VLOOKUP(A913,[1]Sheet1!$A$2:$Q$1536,15,FALSE)</f>
        <v>2891.205810546875</v>
      </c>
      <c r="S913" s="27">
        <f t="shared" si="42"/>
        <v>-1.6286610148180529</v>
      </c>
      <c r="T913" s="19">
        <f>VLOOKUP(A913,[1]Sheet1!$A$2:$Q$1536,16,FALSE)</f>
        <v>8665.9764637380467</v>
      </c>
      <c r="U913" s="27">
        <f t="shared" si="43"/>
        <v>0.12300708041367568</v>
      </c>
      <c r="V913" s="19">
        <f>VLOOKUP(A913,[1]Sheet1!$A$2:$Q$1536,17,FALSE)</f>
        <v>2701.1015625</v>
      </c>
      <c r="W913" s="27">
        <f t="shared" si="44"/>
        <v>-1.8136668778073761</v>
      </c>
    </row>
    <row r="914" spans="1:23" x14ac:dyDescent="0.3">
      <c r="A914" s="4" t="s">
        <v>951</v>
      </c>
      <c r="B914" s="5">
        <v>2019</v>
      </c>
      <c r="C914" s="5" t="s">
        <v>96</v>
      </c>
      <c r="D914" s="15" t="s">
        <v>107</v>
      </c>
      <c r="E914" s="6">
        <v>94795</v>
      </c>
      <c r="F914" s="5" t="s">
        <v>44</v>
      </c>
      <c r="G914" s="5" t="s">
        <v>33</v>
      </c>
      <c r="H914" s="5" t="s">
        <v>17</v>
      </c>
      <c r="I914" s="5" t="s">
        <v>18</v>
      </c>
      <c r="J914" s="7">
        <v>45496</v>
      </c>
      <c r="K914" s="5" t="s">
        <v>17</v>
      </c>
      <c r="L914" s="8">
        <v>44128</v>
      </c>
      <c r="M914" s="19">
        <v>264</v>
      </c>
      <c r="N914" s="19">
        <v>314</v>
      </c>
      <c r="O914" s="24">
        <v>12000</v>
      </c>
      <c r="P914" s="24">
        <v>15200</v>
      </c>
      <c r="Q914" t="s">
        <v>1983</v>
      </c>
      <c r="R914" s="19">
        <f>VLOOKUP(A914,[1]Sheet1!$A$2:$Q$1536,15,FALSE)</f>
        <v>9987.9873046875</v>
      </c>
      <c r="S914" s="27">
        <f t="shared" si="42"/>
        <v>-0.52182812575927395</v>
      </c>
      <c r="T914" s="19">
        <f>VLOOKUP(A914,[1]Sheet1!$A$2:$Q$1536,16,FALSE)</f>
        <v>9593.9215979142627</v>
      </c>
      <c r="U914" s="27">
        <f t="shared" si="43"/>
        <v>-0.58433648272719985</v>
      </c>
      <c r="V914" s="19">
        <f>VLOOKUP(A914,[1]Sheet1!$A$2:$Q$1536,17,FALSE)</f>
        <v>10012.79296875</v>
      </c>
      <c r="W914" s="27">
        <f t="shared" si="44"/>
        <v>-0.51805795320439674</v>
      </c>
    </row>
    <row r="915" spans="1:23" x14ac:dyDescent="0.3">
      <c r="A915" s="4" t="s">
        <v>1339</v>
      </c>
      <c r="B915" s="5">
        <v>2019</v>
      </c>
      <c r="C915" s="5" t="s">
        <v>1089</v>
      </c>
      <c r="D915" s="15" t="s">
        <v>1328</v>
      </c>
      <c r="E915" s="6">
        <v>77684</v>
      </c>
      <c r="F915" s="5" t="s">
        <v>125</v>
      </c>
      <c r="G915" s="5" t="s">
        <v>16</v>
      </c>
      <c r="H915" s="5" t="s">
        <v>17</v>
      </c>
      <c r="I915" s="5" t="s">
        <v>18</v>
      </c>
      <c r="J915" s="7">
        <v>45421</v>
      </c>
      <c r="K915" s="5" t="s">
        <v>17</v>
      </c>
      <c r="L915" s="8">
        <v>43950</v>
      </c>
      <c r="M915" s="19">
        <v>264</v>
      </c>
      <c r="N915" s="19">
        <v>314</v>
      </c>
      <c r="O915" s="24">
        <v>10700</v>
      </c>
      <c r="P915" s="24">
        <v>15400</v>
      </c>
      <c r="Q915" t="s">
        <v>1983</v>
      </c>
      <c r="R915" s="19">
        <f>VLOOKUP(A915,[1]Sheet1!$A$2:$Q$1536,15,FALSE)</f>
        <v>10154.4853515625</v>
      </c>
      <c r="S915" s="27">
        <f t="shared" si="42"/>
        <v>-0.51657119655309336</v>
      </c>
      <c r="T915" s="19">
        <f>VLOOKUP(A915,[1]Sheet1!$A$2:$Q$1536,16,FALSE)</f>
        <v>9697.0478644736086</v>
      </c>
      <c r="U915" s="27">
        <f t="shared" si="43"/>
        <v>-0.58811219818970839</v>
      </c>
      <c r="V915" s="19">
        <f>VLOOKUP(A915,[1]Sheet1!$A$2:$Q$1536,17,FALSE)</f>
        <v>10375.912109375</v>
      </c>
      <c r="W915" s="27">
        <f t="shared" si="44"/>
        <v>-0.48420686660265372</v>
      </c>
    </row>
    <row r="916" spans="1:23" x14ac:dyDescent="0.3">
      <c r="A916" s="4" t="s">
        <v>422</v>
      </c>
      <c r="B916" s="5">
        <v>2018</v>
      </c>
      <c r="C916" s="5" t="s">
        <v>391</v>
      </c>
      <c r="D916" s="15" t="s">
        <v>413</v>
      </c>
      <c r="E916" s="6">
        <v>123820</v>
      </c>
      <c r="F916" s="5" t="s">
        <v>61</v>
      </c>
      <c r="G916" s="5" t="s">
        <v>22</v>
      </c>
      <c r="H916" s="5" t="s">
        <v>18</v>
      </c>
      <c r="I916" s="5" t="s">
        <v>17</v>
      </c>
      <c r="J916" s="7">
        <v>45596</v>
      </c>
      <c r="K916" s="5" t="s">
        <v>17</v>
      </c>
      <c r="L916" s="8">
        <v>44067</v>
      </c>
      <c r="M916" s="19">
        <v>235</v>
      </c>
      <c r="N916" s="19">
        <v>285</v>
      </c>
      <c r="O916" s="24">
        <v>2900</v>
      </c>
      <c r="P916" s="24">
        <v>10000</v>
      </c>
      <c r="Q916" t="s">
        <v>1983</v>
      </c>
      <c r="R916" s="19">
        <f>VLOOKUP(A916,[1]Sheet1!$A$2:$Q$1536,15,FALSE)</f>
        <v>3402.738037109375</v>
      </c>
      <c r="S916" s="27">
        <f t="shared" si="42"/>
        <v>-1.9388098322417429</v>
      </c>
      <c r="T916" s="19">
        <f>VLOOKUP(A916,[1]Sheet1!$A$2:$Q$1536,16,FALSE)</f>
        <v>9311.9437338134649</v>
      </c>
      <c r="U916" s="27">
        <f t="shared" si="43"/>
        <v>-7.3889650308782473E-2</v>
      </c>
      <c r="V916" s="19">
        <f>VLOOKUP(A916,[1]Sheet1!$A$2:$Q$1536,17,FALSE)</f>
        <v>3336.35888671875</v>
      </c>
      <c r="W916" s="27">
        <f t="shared" si="44"/>
        <v>-1.9972794712845845</v>
      </c>
    </row>
    <row r="917" spans="1:23" x14ac:dyDescent="0.3">
      <c r="A917" s="4" t="s">
        <v>220</v>
      </c>
      <c r="B917" s="5">
        <v>2021</v>
      </c>
      <c r="C917" s="5" t="s">
        <v>96</v>
      </c>
      <c r="D917" s="15" t="s">
        <v>221</v>
      </c>
      <c r="E917" s="6">
        <v>30002</v>
      </c>
      <c r="F917" s="5" t="s">
        <v>79</v>
      </c>
      <c r="G917" s="5" t="s">
        <v>33</v>
      </c>
      <c r="H917" s="5" t="s">
        <v>17</v>
      </c>
      <c r="I917" s="5" t="s">
        <v>18</v>
      </c>
      <c r="J917" s="7">
        <v>45468</v>
      </c>
      <c r="K917" s="5" t="s">
        <v>17</v>
      </c>
      <c r="L917" s="8">
        <v>44128</v>
      </c>
      <c r="M917" s="19">
        <v>264</v>
      </c>
      <c r="N917" s="19">
        <v>314</v>
      </c>
      <c r="O917" s="24">
        <v>24800</v>
      </c>
      <c r="P917" s="24">
        <v>32500</v>
      </c>
      <c r="Q917" t="s">
        <v>1983</v>
      </c>
      <c r="R917" s="19">
        <f>VLOOKUP(A917,[1]Sheet1!$A$2:$Q$1536,15,FALSE)</f>
        <v>14689.2646484375</v>
      </c>
      <c r="S917" s="27">
        <f t="shared" si="42"/>
        <v>-1.2125001337937655</v>
      </c>
      <c r="T917" s="19">
        <f>VLOOKUP(A917,[1]Sheet1!$A$2:$Q$1536,16,FALSE)</f>
        <v>13990.64374826415</v>
      </c>
      <c r="U917" s="27">
        <f t="shared" si="43"/>
        <v>-1.3229810282341259</v>
      </c>
      <c r="V917" s="19">
        <f>VLOOKUP(A917,[1]Sheet1!$A$2:$Q$1536,17,FALSE)</f>
        <v>14251.421875</v>
      </c>
      <c r="W917" s="27">
        <f t="shared" si="44"/>
        <v>-1.2804742070692507</v>
      </c>
    </row>
    <row r="918" spans="1:23" x14ac:dyDescent="0.3">
      <c r="A918" s="4" t="s">
        <v>866</v>
      </c>
      <c r="B918" s="5">
        <v>2019</v>
      </c>
      <c r="C918" s="5" t="s">
        <v>391</v>
      </c>
      <c r="D918" s="15" t="s">
        <v>580</v>
      </c>
      <c r="E918" s="6">
        <v>98267</v>
      </c>
      <c r="F918" s="5" t="s">
        <v>44</v>
      </c>
      <c r="G918" s="5" t="s">
        <v>28</v>
      </c>
      <c r="H918" s="5" t="s">
        <v>17</v>
      </c>
      <c r="I918" s="5" t="s">
        <v>18</v>
      </c>
      <c r="J918" s="7">
        <v>45400</v>
      </c>
      <c r="K918" s="5" t="s">
        <v>17</v>
      </c>
      <c r="L918" s="8">
        <v>44028</v>
      </c>
      <c r="M918" s="19">
        <v>235</v>
      </c>
      <c r="N918" s="19">
        <v>285</v>
      </c>
      <c r="O918" s="24">
        <v>0</v>
      </c>
      <c r="P918" s="24">
        <v>16200</v>
      </c>
      <c r="Q918" t="s">
        <v>1983</v>
      </c>
      <c r="R918" s="19">
        <f>VLOOKUP(A918,[1]Sheet1!$A$2:$Q$1536,15,FALSE)</f>
        <v>11286.9150390625</v>
      </c>
      <c r="S918" s="27">
        <f t="shared" si="42"/>
        <v>-0.43529032901673942</v>
      </c>
      <c r="T918" s="19">
        <f>VLOOKUP(A918,[1]Sheet1!$A$2:$Q$1536,16,FALSE)</f>
        <v>9719.4372531158533</v>
      </c>
      <c r="U918" s="27">
        <f t="shared" si="43"/>
        <v>-0.66676316520348033</v>
      </c>
      <c r="V918" s="19">
        <f>VLOOKUP(A918,[1]Sheet1!$A$2:$Q$1536,17,FALSE)</f>
        <v>11483.7041015625</v>
      </c>
      <c r="W918" s="27">
        <f t="shared" si="44"/>
        <v>-0.41069465537655131</v>
      </c>
    </row>
    <row r="919" spans="1:23" x14ac:dyDescent="0.3">
      <c r="A919" s="4" t="s">
        <v>1554</v>
      </c>
      <c r="B919" s="5">
        <v>2020</v>
      </c>
      <c r="C919" s="5" t="s">
        <v>636</v>
      </c>
      <c r="D919" s="15" t="s">
        <v>1547</v>
      </c>
      <c r="E919" s="6">
        <v>58738</v>
      </c>
      <c r="F919" s="5" t="s">
        <v>44</v>
      </c>
      <c r="G919" s="5" t="s">
        <v>28</v>
      </c>
      <c r="H919" s="5" t="s">
        <v>17</v>
      </c>
      <c r="I919" s="5" t="s">
        <v>18</v>
      </c>
      <c r="J919" s="7">
        <v>45680</v>
      </c>
      <c r="K919" s="5" t="s">
        <v>17</v>
      </c>
      <c r="L919" s="8">
        <v>44128</v>
      </c>
      <c r="M919" s="19">
        <v>264</v>
      </c>
      <c r="N919" s="19">
        <v>314</v>
      </c>
      <c r="O919" s="24">
        <v>0</v>
      </c>
      <c r="P919" s="24">
        <v>21900</v>
      </c>
      <c r="Q919" t="s">
        <v>1983</v>
      </c>
      <c r="R919" s="19">
        <f>VLOOKUP(A919,[1]Sheet1!$A$2:$Q$1536,15,FALSE)</f>
        <v>11602.9013671875</v>
      </c>
      <c r="S919" s="27">
        <f t="shared" si="42"/>
        <v>-0.88745894728815389</v>
      </c>
      <c r="T919" s="19">
        <f>VLOOKUP(A919,[1]Sheet1!$A$2:$Q$1536,16,FALSE)</f>
        <v>12305.51453545991</v>
      </c>
      <c r="U919" s="27">
        <f t="shared" si="43"/>
        <v>-0.77968990543974059</v>
      </c>
      <c r="V919" s="19">
        <f>VLOOKUP(A919,[1]Sheet1!$A$2:$Q$1536,17,FALSE)</f>
        <v>11414.068359375</v>
      </c>
      <c r="W919" s="27">
        <f t="shared" si="44"/>
        <v>-0.91868484667102324</v>
      </c>
    </row>
    <row r="920" spans="1:23" x14ac:dyDescent="0.3">
      <c r="A920" s="4" t="s">
        <v>1553</v>
      </c>
      <c r="B920" s="5">
        <v>2017</v>
      </c>
      <c r="C920" s="5" t="s">
        <v>636</v>
      </c>
      <c r="D920" s="15" t="s">
        <v>1551</v>
      </c>
      <c r="E920" s="6">
        <v>86042</v>
      </c>
      <c r="F920" s="5" t="s">
        <v>42</v>
      </c>
      <c r="G920" s="5" t="s">
        <v>33</v>
      </c>
      <c r="H920" s="5" t="s">
        <v>17</v>
      </c>
      <c r="I920" s="5" t="s">
        <v>18</v>
      </c>
      <c r="J920" s="7">
        <v>45510</v>
      </c>
      <c r="K920" s="5" t="s">
        <v>17</v>
      </c>
      <c r="L920" s="8">
        <v>44224</v>
      </c>
      <c r="M920" s="19">
        <v>235</v>
      </c>
      <c r="N920" s="19">
        <v>285</v>
      </c>
      <c r="O920" s="24">
        <v>7900</v>
      </c>
      <c r="P920" s="24">
        <v>10000</v>
      </c>
      <c r="Q920" t="s">
        <v>1983</v>
      </c>
      <c r="R920" s="19">
        <f>VLOOKUP(A920,[1]Sheet1!$A$2:$Q$1536,15,FALSE)</f>
        <v>4382.11083984375</v>
      </c>
      <c r="S920" s="27">
        <f t="shared" si="42"/>
        <v>-1.2820052630974901</v>
      </c>
      <c r="T920" s="19">
        <f>VLOOKUP(A920,[1]Sheet1!$A$2:$Q$1536,16,FALSE)</f>
        <v>9141.9514972491506</v>
      </c>
      <c r="U920" s="27">
        <f t="shared" si="43"/>
        <v>-9.3858352126352837E-2</v>
      </c>
      <c r="V920" s="19">
        <f>VLOOKUP(A920,[1]Sheet1!$A$2:$Q$1536,17,FALSE)</f>
        <v>4356.724609375</v>
      </c>
      <c r="W920" s="27">
        <f t="shared" si="44"/>
        <v>-1.2953022962437288</v>
      </c>
    </row>
    <row r="921" spans="1:23" x14ac:dyDescent="0.3">
      <c r="A921" s="4" t="s">
        <v>1021</v>
      </c>
      <c r="B921" s="5">
        <v>2016</v>
      </c>
      <c r="C921" s="5" t="s">
        <v>237</v>
      </c>
      <c r="D921" s="15" t="s">
        <v>990</v>
      </c>
      <c r="E921" s="6">
        <v>73291</v>
      </c>
      <c r="F921" s="5" t="s">
        <v>81</v>
      </c>
      <c r="G921" s="5" t="s">
        <v>28</v>
      </c>
      <c r="H921" s="5" t="s">
        <v>17</v>
      </c>
      <c r="I921" s="5" t="s">
        <v>18</v>
      </c>
      <c r="J921" s="7">
        <v>45701</v>
      </c>
      <c r="K921" s="5" t="s">
        <v>17</v>
      </c>
      <c r="L921" s="8">
        <v>43608</v>
      </c>
      <c r="M921" s="19">
        <v>264</v>
      </c>
      <c r="N921" s="19">
        <v>314</v>
      </c>
      <c r="O921" s="24">
        <v>0</v>
      </c>
      <c r="P921" s="24">
        <v>2000</v>
      </c>
      <c r="Q921" t="s">
        <v>1983</v>
      </c>
      <c r="R921" s="19">
        <f>VLOOKUP(A921,[1]Sheet1!$A$2:$Q$1536,15,FALSE)</f>
        <v>5303.83837890625</v>
      </c>
      <c r="S921" s="27">
        <f t="shared" si="42"/>
        <v>0.62291460313833369</v>
      </c>
      <c r="T921" s="19">
        <f>VLOOKUP(A921,[1]Sheet1!$A$2:$Q$1536,16,FALSE)</f>
        <v>9518.1824004405298</v>
      </c>
      <c r="U921" s="27">
        <f t="shared" si="43"/>
        <v>0.78987584857509829</v>
      </c>
      <c r="V921" s="19">
        <f>VLOOKUP(A921,[1]Sheet1!$A$2:$Q$1536,17,FALSE)</f>
        <v>5398.4658203125</v>
      </c>
      <c r="W921" s="27">
        <f t="shared" si="44"/>
        <v>0.62952437478168077</v>
      </c>
    </row>
    <row r="922" spans="1:23" x14ac:dyDescent="0.3">
      <c r="A922" s="4" t="s">
        <v>191</v>
      </c>
      <c r="B922" s="5">
        <v>2016</v>
      </c>
      <c r="C922" s="5" t="s">
        <v>96</v>
      </c>
      <c r="D922" s="15" t="s">
        <v>190</v>
      </c>
      <c r="E922" s="6">
        <v>104344</v>
      </c>
      <c r="F922" s="5" t="s">
        <v>125</v>
      </c>
      <c r="G922" s="5" t="s">
        <v>16</v>
      </c>
      <c r="H922" s="5" t="s">
        <v>17</v>
      </c>
      <c r="I922" s="5" t="s">
        <v>18</v>
      </c>
      <c r="J922" s="7">
        <v>45533</v>
      </c>
      <c r="K922" s="5" t="s">
        <v>17</v>
      </c>
      <c r="L922" s="8">
        <v>43605</v>
      </c>
      <c r="M922" s="19">
        <v>264</v>
      </c>
      <c r="N922" s="19">
        <v>314</v>
      </c>
      <c r="O922" s="24">
        <v>0</v>
      </c>
      <c r="P922" s="24">
        <v>2600</v>
      </c>
      <c r="Q922" t="s">
        <v>1983</v>
      </c>
      <c r="R922" s="19">
        <f>VLOOKUP(A922,[1]Sheet1!$A$2:$Q$1536,15,FALSE)</f>
        <v>9127.9208984375</v>
      </c>
      <c r="S922" s="27">
        <f t="shared" si="42"/>
        <v>0.7151596701013192</v>
      </c>
      <c r="T922" s="19">
        <f>VLOOKUP(A922,[1]Sheet1!$A$2:$Q$1536,16,FALSE)</f>
        <v>10096.364509462381</v>
      </c>
      <c r="U922" s="27">
        <f t="shared" si="43"/>
        <v>0.74248156377840135</v>
      </c>
      <c r="V922" s="19">
        <f>VLOOKUP(A922,[1]Sheet1!$A$2:$Q$1536,17,FALSE)</f>
        <v>9144.44921875</v>
      </c>
      <c r="W922" s="27">
        <f t="shared" si="44"/>
        <v>0.71567451053597664</v>
      </c>
    </row>
    <row r="923" spans="1:23" x14ac:dyDescent="0.3">
      <c r="A923" s="4" t="s">
        <v>1373</v>
      </c>
      <c r="B923" s="5">
        <v>2018</v>
      </c>
      <c r="C923" s="5" t="s">
        <v>1089</v>
      </c>
      <c r="D923" s="15" t="s">
        <v>1363</v>
      </c>
      <c r="E923" s="6">
        <v>102017</v>
      </c>
      <c r="F923" s="5" t="s">
        <v>15</v>
      </c>
      <c r="G923" s="5" t="s">
        <v>25</v>
      </c>
      <c r="H923" s="5" t="s">
        <v>18</v>
      </c>
      <c r="I923" s="5" t="s">
        <v>17</v>
      </c>
      <c r="J923" s="7">
        <v>45365</v>
      </c>
      <c r="K923" s="5" t="s">
        <v>17</v>
      </c>
      <c r="L923" s="8">
        <v>44310</v>
      </c>
      <c r="M923" s="19">
        <v>235</v>
      </c>
      <c r="N923" s="19">
        <v>285</v>
      </c>
      <c r="O923" s="24">
        <v>7200</v>
      </c>
      <c r="P923" s="24">
        <v>13800</v>
      </c>
      <c r="Q923" t="s">
        <v>1983</v>
      </c>
      <c r="R923" s="19">
        <f>VLOOKUP(A923,[1]Sheet1!$A$2:$Q$1536,15,FALSE)</f>
        <v>6935.3642578125</v>
      </c>
      <c r="S923" s="27">
        <f t="shared" si="42"/>
        <v>-0.98980175907194401</v>
      </c>
      <c r="T923" s="19">
        <f>VLOOKUP(A923,[1]Sheet1!$A$2:$Q$1536,16,FALSE)</f>
        <v>9582.5831392326709</v>
      </c>
      <c r="U923" s="27">
        <f t="shared" si="43"/>
        <v>-0.44011273364282444</v>
      </c>
      <c r="V923" s="19">
        <f>VLOOKUP(A923,[1]Sheet1!$A$2:$Q$1536,17,FALSE)</f>
        <v>7002.6953125</v>
      </c>
      <c r="W923" s="27">
        <f t="shared" si="44"/>
        <v>-0.97066977558864054</v>
      </c>
    </row>
    <row r="924" spans="1:23" x14ac:dyDescent="0.3">
      <c r="A924" s="4" t="s">
        <v>824</v>
      </c>
      <c r="B924" s="5">
        <v>2017</v>
      </c>
      <c r="C924" s="5" t="s">
        <v>559</v>
      </c>
      <c r="D924" s="15" t="s">
        <v>762</v>
      </c>
      <c r="E924" s="6">
        <v>115842</v>
      </c>
      <c r="F924" s="5" t="s">
        <v>144</v>
      </c>
      <c r="G924" s="5" t="s">
        <v>33</v>
      </c>
      <c r="H924" s="5" t="s">
        <v>17</v>
      </c>
      <c r="I924" s="5" t="s">
        <v>18</v>
      </c>
      <c r="J924" s="7">
        <v>45680</v>
      </c>
      <c r="K924" s="5" t="s">
        <v>17</v>
      </c>
      <c r="L924" s="8">
        <v>43612</v>
      </c>
      <c r="M924" s="19">
        <v>264</v>
      </c>
      <c r="N924" s="19">
        <v>314</v>
      </c>
      <c r="O924" s="24">
        <v>0</v>
      </c>
      <c r="P924" s="24">
        <v>15200</v>
      </c>
      <c r="Q924" t="s">
        <v>1983</v>
      </c>
      <c r="R924" s="19">
        <f>VLOOKUP(A924,[1]Sheet1!$A$2:$Q$1536,15,FALSE)</f>
        <v>6188.2490234375</v>
      </c>
      <c r="S924" s="27">
        <f t="shared" si="42"/>
        <v>-1.4562683147415709</v>
      </c>
      <c r="T924" s="19">
        <f>VLOOKUP(A924,[1]Sheet1!$A$2:$Q$1536,16,FALSE)</f>
        <v>10096.8340447965</v>
      </c>
      <c r="U924" s="27">
        <f t="shared" si="43"/>
        <v>-0.50542238612245638</v>
      </c>
      <c r="V924" s="19">
        <f>VLOOKUP(A924,[1]Sheet1!$A$2:$Q$1536,17,FALSE)</f>
        <v>6094.12841796875</v>
      </c>
      <c r="W924" s="27">
        <f t="shared" si="44"/>
        <v>-1.4942040858840897</v>
      </c>
    </row>
    <row r="925" spans="1:23" x14ac:dyDescent="0.3">
      <c r="A925" s="4" t="s">
        <v>467</v>
      </c>
      <c r="B925" s="5">
        <v>2016</v>
      </c>
      <c r="C925" s="5" t="s">
        <v>391</v>
      </c>
      <c r="D925" s="15" t="s">
        <v>464</v>
      </c>
      <c r="E925" s="6">
        <v>92337</v>
      </c>
      <c r="F925" s="5" t="s">
        <v>164</v>
      </c>
      <c r="G925" s="5" t="s">
        <v>28</v>
      </c>
      <c r="H925" s="5" t="s">
        <v>17</v>
      </c>
      <c r="I925" s="5" t="s">
        <v>18</v>
      </c>
      <c r="J925" s="7">
        <v>45370</v>
      </c>
      <c r="K925" s="5" t="s">
        <v>17</v>
      </c>
      <c r="L925" s="8">
        <v>44451</v>
      </c>
      <c r="M925" s="19">
        <v>264</v>
      </c>
      <c r="N925" s="19">
        <v>314</v>
      </c>
      <c r="O925" s="24">
        <v>6300</v>
      </c>
      <c r="P925" s="24">
        <v>7650</v>
      </c>
      <c r="Q925" t="s">
        <v>1983</v>
      </c>
      <c r="R925" s="19">
        <f>VLOOKUP(A925,[1]Sheet1!$A$2:$Q$1536,15,FALSE)</f>
        <v>9009.0439453125</v>
      </c>
      <c r="S925" s="27">
        <f t="shared" si="42"/>
        <v>0.15085329293122438</v>
      </c>
      <c r="T925" s="19">
        <f>VLOOKUP(A925,[1]Sheet1!$A$2:$Q$1536,16,FALSE)</f>
        <v>9519.6257259911672</v>
      </c>
      <c r="U925" s="27">
        <f t="shared" si="43"/>
        <v>0.19639697818020099</v>
      </c>
      <c r="V925" s="19">
        <f>VLOOKUP(A925,[1]Sheet1!$A$2:$Q$1536,17,FALSE)</f>
        <v>9220.84765625</v>
      </c>
      <c r="W925" s="27">
        <f t="shared" si="44"/>
        <v>0.1703582701732699</v>
      </c>
    </row>
    <row r="926" spans="1:23" x14ac:dyDescent="0.3">
      <c r="A926" s="4" t="s">
        <v>791</v>
      </c>
      <c r="B926" s="5">
        <v>2015</v>
      </c>
      <c r="C926" s="5" t="s">
        <v>391</v>
      </c>
      <c r="D926" s="15" t="s">
        <v>429</v>
      </c>
      <c r="E926" s="6">
        <v>79298</v>
      </c>
      <c r="F926" s="5" t="s">
        <v>125</v>
      </c>
      <c r="G926" s="5" t="s">
        <v>16</v>
      </c>
      <c r="H926" s="5" t="s">
        <v>17</v>
      </c>
      <c r="I926" s="5" t="s">
        <v>18</v>
      </c>
      <c r="J926" s="7">
        <v>45664</v>
      </c>
      <c r="K926" s="5" t="s">
        <v>17</v>
      </c>
      <c r="L926" s="8">
        <v>44310</v>
      </c>
      <c r="M926" s="19">
        <v>235</v>
      </c>
      <c r="N926" s="19">
        <v>285</v>
      </c>
      <c r="O926" s="24">
        <v>11800</v>
      </c>
      <c r="P926" s="24">
        <v>12800</v>
      </c>
      <c r="Q926" t="s">
        <v>1983</v>
      </c>
      <c r="R926" s="19">
        <f>VLOOKUP(A926,[1]Sheet1!$A$2:$Q$1536,15,FALSE)</f>
        <v>10171.390625</v>
      </c>
      <c r="S926" s="27">
        <f t="shared" si="42"/>
        <v>-0.25843166110828625</v>
      </c>
      <c r="T926" s="19">
        <f>VLOOKUP(A926,[1]Sheet1!$A$2:$Q$1536,16,FALSE)</f>
        <v>10660.092018694701</v>
      </c>
      <c r="U926" s="27">
        <f t="shared" si="43"/>
        <v>-0.20074010407719964</v>
      </c>
      <c r="V926" s="19">
        <f>VLOOKUP(A926,[1]Sheet1!$A$2:$Q$1536,17,FALSE)</f>
        <v>10209.0009765625</v>
      </c>
      <c r="W926" s="27">
        <f t="shared" si="44"/>
        <v>-0.25379555055248143</v>
      </c>
    </row>
    <row r="927" spans="1:23" x14ac:dyDescent="0.3">
      <c r="A927" s="4" t="s">
        <v>1097</v>
      </c>
      <c r="B927" s="5">
        <v>2019</v>
      </c>
      <c r="C927" s="5" t="s">
        <v>1086</v>
      </c>
      <c r="D927" s="15" t="s">
        <v>1093</v>
      </c>
      <c r="E927" s="6">
        <v>138660</v>
      </c>
      <c r="F927" s="5" t="s">
        <v>79</v>
      </c>
      <c r="G927" s="5" t="s">
        <v>22</v>
      </c>
      <c r="H927" s="5" t="s">
        <v>18</v>
      </c>
      <c r="I927" s="5" t="s">
        <v>17</v>
      </c>
      <c r="J927" s="7">
        <v>45666</v>
      </c>
      <c r="K927" s="5" t="s">
        <v>17</v>
      </c>
      <c r="L927" s="8">
        <v>43612</v>
      </c>
      <c r="M927" s="19">
        <v>264</v>
      </c>
      <c r="N927" s="19">
        <v>314</v>
      </c>
      <c r="O927" s="24">
        <v>1900</v>
      </c>
      <c r="P927" s="24">
        <v>10700</v>
      </c>
      <c r="Q927" t="s">
        <v>1983</v>
      </c>
      <c r="R927" s="19">
        <f>VLOOKUP(A927,[1]Sheet1!$A$2:$Q$1536,15,FALSE)</f>
        <v>2709.547607421875</v>
      </c>
      <c r="S927" s="27">
        <f t="shared" si="42"/>
        <v>-2.9489987076407238</v>
      </c>
      <c r="T927" s="19">
        <f>VLOOKUP(A927,[1]Sheet1!$A$2:$Q$1536,16,FALSE)</f>
        <v>8615.6511911724028</v>
      </c>
      <c r="U927" s="27">
        <f t="shared" si="43"/>
        <v>-0.24192585825238855</v>
      </c>
      <c r="V927" s="19">
        <f>VLOOKUP(A927,[1]Sheet1!$A$2:$Q$1536,17,FALSE)</f>
        <v>2538.443359375</v>
      </c>
      <c r="W927" s="27">
        <f t="shared" si="44"/>
        <v>-3.2151817019996414</v>
      </c>
    </row>
    <row r="928" spans="1:23" x14ac:dyDescent="0.3">
      <c r="A928" s="4" t="s">
        <v>1728</v>
      </c>
      <c r="B928" s="5">
        <v>2013</v>
      </c>
      <c r="C928" s="5" t="s">
        <v>1089</v>
      </c>
      <c r="D928" s="15" t="s">
        <v>1720</v>
      </c>
      <c r="E928" s="6">
        <v>115805</v>
      </c>
      <c r="F928" s="5" t="s">
        <v>79</v>
      </c>
      <c r="G928" s="5" t="s">
        <v>25</v>
      </c>
      <c r="H928" s="5" t="s">
        <v>18</v>
      </c>
      <c r="I928" s="5" t="s">
        <v>17</v>
      </c>
      <c r="J928" s="7">
        <v>45412</v>
      </c>
      <c r="K928" s="5" t="s">
        <v>17</v>
      </c>
      <c r="L928" s="8">
        <v>43612</v>
      </c>
      <c r="M928" s="19">
        <v>264</v>
      </c>
      <c r="N928" s="19">
        <v>314</v>
      </c>
      <c r="O928" s="24">
        <v>1500</v>
      </c>
      <c r="P928" s="24">
        <v>2700</v>
      </c>
      <c r="Q928" t="s">
        <v>1983</v>
      </c>
      <c r="R928" s="19">
        <f>VLOOKUP(A928,[1]Sheet1!$A$2:$Q$1536,15,FALSE)</f>
        <v>1456.219848632812</v>
      </c>
      <c r="S928" s="27">
        <f t="shared" si="42"/>
        <v>-0.85411564231522086</v>
      </c>
      <c r="T928" s="19">
        <f>VLOOKUP(A928,[1]Sheet1!$A$2:$Q$1536,16,FALSE)</f>
        <v>8629.297319800502</v>
      </c>
      <c r="U928" s="27">
        <f t="shared" si="43"/>
        <v>0.68711241484232222</v>
      </c>
      <c r="V928" s="19">
        <f>VLOOKUP(A928,[1]Sheet1!$A$2:$Q$1536,17,FALSE)</f>
        <v>1403.335083007812</v>
      </c>
      <c r="W928" s="27">
        <f t="shared" si="44"/>
        <v>-0.92398809998607423</v>
      </c>
    </row>
    <row r="929" spans="1:23" x14ac:dyDescent="0.3">
      <c r="A929" s="4" t="s">
        <v>296</v>
      </c>
      <c r="B929" s="5">
        <v>2018</v>
      </c>
      <c r="C929" s="5" t="s">
        <v>237</v>
      </c>
      <c r="D929" s="15" t="s">
        <v>286</v>
      </c>
      <c r="E929" s="6">
        <v>134107</v>
      </c>
      <c r="F929" s="5" t="s">
        <v>36</v>
      </c>
      <c r="G929" s="5" t="s">
        <v>28</v>
      </c>
      <c r="H929" s="5" t="s">
        <v>17</v>
      </c>
      <c r="I929" s="5" t="s">
        <v>18</v>
      </c>
      <c r="J929" s="7">
        <v>45454</v>
      </c>
      <c r="K929" s="5" t="s">
        <v>17</v>
      </c>
      <c r="L929" s="8">
        <v>44224</v>
      </c>
      <c r="M929" s="19">
        <v>235</v>
      </c>
      <c r="N929" s="19">
        <v>285</v>
      </c>
      <c r="O929" s="24">
        <v>8700</v>
      </c>
      <c r="P929" s="24">
        <v>19800</v>
      </c>
      <c r="Q929" t="s">
        <v>1983</v>
      </c>
      <c r="R929" s="19">
        <f>VLOOKUP(A929,[1]Sheet1!$A$2:$Q$1536,15,FALSE)</f>
        <v>4420.42041015625</v>
      </c>
      <c r="S929" s="27">
        <f t="shared" si="42"/>
        <v>-3.4792119669224228</v>
      </c>
      <c r="T929" s="19">
        <f>VLOOKUP(A929,[1]Sheet1!$A$2:$Q$1536,16,FALSE)</f>
        <v>9384.5286919606151</v>
      </c>
      <c r="U929" s="27">
        <f t="shared" si="43"/>
        <v>-1.1098555558748455</v>
      </c>
      <c r="V929" s="19">
        <f>VLOOKUP(A929,[1]Sheet1!$A$2:$Q$1536,17,FALSE)</f>
        <v>4366.36279296875</v>
      </c>
      <c r="W929" s="27">
        <f t="shared" si="44"/>
        <v>-3.53466670975769</v>
      </c>
    </row>
    <row r="930" spans="1:23" x14ac:dyDescent="0.3">
      <c r="A930" s="4" t="s">
        <v>992</v>
      </c>
      <c r="B930" s="5">
        <v>2017</v>
      </c>
      <c r="C930" s="5" t="s">
        <v>237</v>
      </c>
      <c r="D930" s="15" t="s">
        <v>238</v>
      </c>
      <c r="E930" s="6">
        <v>80660</v>
      </c>
      <c r="F930" s="5" t="s">
        <v>36</v>
      </c>
      <c r="G930" s="5" t="s">
        <v>28</v>
      </c>
      <c r="H930" s="5" t="s">
        <v>17</v>
      </c>
      <c r="I930" s="5" t="s">
        <v>18</v>
      </c>
      <c r="J930" s="7">
        <v>45316</v>
      </c>
      <c r="K930" s="5" t="s">
        <v>17</v>
      </c>
      <c r="L930" s="8">
        <v>43605</v>
      </c>
      <c r="M930" s="19">
        <v>264</v>
      </c>
      <c r="N930" s="19">
        <v>314</v>
      </c>
      <c r="O930" s="24">
        <v>0</v>
      </c>
      <c r="P930" s="24">
        <v>4200</v>
      </c>
      <c r="Q930" t="s">
        <v>1983</v>
      </c>
      <c r="R930" s="19">
        <f>VLOOKUP(A930,[1]Sheet1!$A$2:$Q$1536,15,FALSE)</f>
        <v>6331.3837890625</v>
      </c>
      <c r="S930" s="27">
        <f t="shared" si="42"/>
        <v>0.33663790729989818</v>
      </c>
      <c r="T930" s="19">
        <f>VLOOKUP(A930,[1]Sheet1!$A$2:$Q$1536,16,FALSE)</f>
        <v>9507.4711872615808</v>
      </c>
      <c r="U930" s="27">
        <f t="shared" si="43"/>
        <v>0.55824215322079584</v>
      </c>
      <c r="V930" s="19">
        <f>VLOOKUP(A930,[1]Sheet1!$A$2:$Q$1536,17,FALSE)</f>
        <v>6303.5380859375</v>
      </c>
      <c r="W930" s="27">
        <f t="shared" si="44"/>
        <v>0.33370752381591251</v>
      </c>
    </row>
    <row r="931" spans="1:23" x14ac:dyDescent="0.3">
      <c r="A931" s="4" t="s">
        <v>1506</v>
      </c>
      <c r="B931" s="5">
        <v>2013</v>
      </c>
      <c r="C931" s="5" t="s">
        <v>1228</v>
      </c>
      <c r="D931" s="15" t="s">
        <v>1507</v>
      </c>
      <c r="E931" s="6">
        <v>122642</v>
      </c>
      <c r="F931" s="5" t="s">
        <v>61</v>
      </c>
      <c r="G931" s="5" t="s">
        <v>25</v>
      </c>
      <c r="H931" s="5" t="s">
        <v>18</v>
      </c>
      <c r="I931" s="5" t="s">
        <v>17</v>
      </c>
      <c r="J931" s="7">
        <v>45706</v>
      </c>
      <c r="K931" s="5" t="s">
        <v>17</v>
      </c>
      <c r="L931" s="8">
        <v>43950</v>
      </c>
      <c r="M931" s="19">
        <v>264</v>
      </c>
      <c r="N931" s="19">
        <v>314</v>
      </c>
      <c r="O931" s="24">
        <v>3500</v>
      </c>
      <c r="P931" s="24">
        <v>9500</v>
      </c>
      <c r="Q931" t="s">
        <v>1983</v>
      </c>
      <c r="R931" s="19">
        <f>VLOOKUP(A931,[1]Sheet1!$A$2:$Q$1536,15,FALSE)</f>
        <v>1580.005249023438</v>
      </c>
      <c r="S931" s="27">
        <f t="shared" si="42"/>
        <v>-5.0126382528613211</v>
      </c>
      <c r="T931" s="19">
        <f>VLOOKUP(A931,[1]Sheet1!$A$2:$Q$1536,16,FALSE)</f>
        <v>9008.4884332796046</v>
      </c>
      <c r="U931" s="27">
        <f t="shared" si="43"/>
        <v>-5.4560936649996575E-2</v>
      </c>
      <c r="V931" s="19">
        <f>VLOOKUP(A931,[1]Sheet1!$A$2:$Q$1536,17,FALSE)</f>
        <v>1540.495727539062</v>
      </c>
      <c r="W931" s="27">
        <f t="shared" si="44"/>
        <v>-5.1668460549229991</v>
      </c>
    </row>
    <row r="932" spans="1:23" x14ac:dyDescent="0.3">
      <c r="A932" s="4" t="s">
        <v>924</v>
      </c>
      <c r="B932" s="5">
        <v>2018</v>
      </c>
      <c r="C932" s="5" t="s">
        <v>920</v>
      </c>
      <c r="D932" s="15" t="s">
        <v>921</v>
      </c>
      <c r="E932" s="6">
        <v>139387</v>
      </c>
      <c r="F932" s="5" t="s">
        <v>40</v>
      </c>
      <c r="G932" s="5" t="s">
        <v>28</v>
      </c>
      <c r="H932" s="5" t="s">
        <v>17</v>
      </c>
      <c r="I932" s="5" t="s">
        <v>18</v>
      </c>
      <c r="J932" s="7">
        <v>45568</v>
      </c>
      <c r="K932" s="5" t="s">
        <v>17</v>
      </c>
      <c r="L932" s="8">
        <v>44067</v>
      </c>
      <c r="M932" s="19">
        <v>235</v>
      </c>
      <c r="N932" s="19">
        <v>285</v>
      </c>
      <c r="O932" s="24">
        <v>8600</v>
      </c>
      <c r="P932" s="24">
        <v>14750</v>
      </c>
      <c r="Q932" t="s">
        <v>1983</v>
      </c>
      <c r="R932" s="19">
        <f>VLOOKUP(A932,[1]Sheet1!$A$2:$Q$1536,15,FALSE)</f>
        <v>4062.200439453125</v>
      </c>
      <c r="S932" s="27">
        <f t="shared" si="42"/>
        <v>-2.6310369761039469</v>
      </c>
      <c r="T932" s="19">
        <f>VLOOKUP(A932,[1]Sheet1!$A$2:$Q$1536,16,FALSE)</f>
        <v>9560.6747939215293</v>
      </c>
      <c r="U932" s="27">
        <f t="shared" si="43"/>
        <v>-0.54277813208098358</v>
      </c>
      <c r="V932" s="19">
        <f>VLOOKUP(A932,[1]Sheet1!$A$2:$Q$1536,17,FALSE)</f>
        <v>4161.6396484375</v>
      </c>
      <c r="W932" s="27">
        <f t="shared" si="44"/>
        <v>-2.5442761137519274</v>
      </c>
    </row>
    <row r="933" spans="1:23" x14ac:dyDescent="0.3">
      <c r="A933" s="4" t="s">
        <v>1384</v>
      </c>
      <c r="B933" s="5">
        <v>2015</v>
      </c>
      <c r="C933" s="5" t="s">
        <v>1089</v>
      </c>
      <c r="D933" s="15" t="s">
        <v>1363</v>
      </c>
      <c r="E933" s="6">
        <v>170307</v>
      </c>
      <c r="F933" s="5" t="s">
        <v>79</v>
      </c>
      <c r="G933" s="5" t="s">
        <v>22</v>
      </c>
      <c r="H933" s="5" t="s">
        <v>18</v>
      </c>
      <c r="I933" s="5" t="s">
        <v>17</v>
      </c>
      <c r="J933" s="7">
        <v>45526</v>
      </c>
      <c r="K933" s="5" t="s">
        <v>17</v>
      </c>
      <c r="L933" s="8">
        <v>44113</v>
      </c>
      <c r="M933" s="19">
        <v>264</v>
      </c>
      <c r="N933" s="19">
        <v>314</v>
      </c>
      <c r="O933" s="24">
        <v>400</v>
      </c>
      <c r="P933" s="24">
        <v>8500</v>
      </c>
      <c r="Q933" t="s">
        <v>1983</v>
      </c>
      <c r="R933" s="19">
        <f>VLOOKUP(A933,[1]Sheet1!$A$2:$Q$1536,15,FALSE)</f>
        <v>1145.3740234375</v>
      </c>
      <c r="S933" s="27">
        <f t="shared" si="42"/>
        <v>-6.4211566056734677</v>
      </c>
      <c r="T933" s="19">
        <f>VLOOKUP(A933,[1]Sheet1!$A$2:$Q$1536,16,FALSE)</f>
        <v>8538.7951740947519</v>
      </c>
      <c r="U933" s="27">
        <f t="shared" si="43"/>
        <v>4.5434014171519032E-3</v>
      </c>
      <c r="V933" s="19">
        <f>VLOOKUP(A933,[1]Sheet1!$A$2:$Q$1536,17,FALSE)</f>
        <v>1282.204956054688</v>
      </c>
      <c r="W933" s="27">
        <f t="shared" si="44"/>
        <v>-5.6292053855058279</v>
      </c>
    </row>
    <row r="934" spans="1:23" x14ac:dyDescent="0.3">
      <c r="A934" s="4" t="s">
        <v>169</v>
      </c>
      <c r="B934" s="5">
        <v>2016</v>
      </c>
      <c r="C934" s="5" t="s">
        <v>96</v>
      </c>
      <c r="D934" s="15" t="s">
        <v>156</v>
      </c>
      <c r="E934" s="6">
        <v>66775</v>
      </c>
      <c r="F934" s="5" t="s">
        <v>170</v>
      </c>
      <c r="G934" s="5" t="s">
        <v>22</v>
      </c>
      <c r="H934" s="5" t="s">
        <v>18</v>
      </c>
      <c r="I934" s="5" t="s">
        <v>17</v>
      </c>
      <c r="J934" s="7">
        <v>45449</v>
      </c>
      <c r="K934" s="5" t="s">
        <v>17</v>
      </c>
      <c r="L934" s="8">
        <v>43950</v>
      </c>
      <c r="M934" s="19">
        <v>264</v>
      </c>
      <c r="N934" s="19">
        <v>314</v>
      </c>
      <c r="O934" s="24">
        <v>0</v>
      </c>
      <c r="P934" s="24">
        <v>8600</v>
      </c>
      <c r="Q934" t="s">
        <v>1983</v>
      </c>
      <c r="R934" s="19">
        <f>VLOOKUP(A934,[1]Sheet1!$A$2:$Q$1536,15,FALSE)</f>
        <v>11412.541015625</v>
      </c>
      <c r="S934" s="27">
        <f t="shared" si="42"/>
        <v>0.24644301490564879</v>
      </c>
      <c r="T934" s="19">
        <f>VLOOKUP(A934,[1]Sheet1!$A$2:$Q$1536,16,FALSE)</f>
        <v>10618.95387546255</v>
      </c>
      <c r="U934" s="27">
        <f t="shared" si="43"/>
        <v>0.19012737969676949</v>
      </c>
      <c r="V934" s="19">
        <f>VLOOKUP(A934,[1]Sheet1!$A$2:$Q$1536,17,FALSE)</f>
        <v>11462.9462890625</v>
      </c>
      <c r="W934" s="27">
        <f t="shared" si="44"/>
        <v>0.24975658237134135</v>
      </c>
    </row>
    <row r="935" spans="1:23" x14ac:dyDescent="0.3">
      <c r="A935" s="4" t="s">
        <v>262</v>
      </c>
      <c r="B935" s="5">
        <v>2017</v>
      </c>
      <c r="C935" s="5" t="s">
        <v>237</v>
      </c>
      <c r="D935" s="15" t="s">
        <v>263</v>
      </c>
      <c r="E935" s="6">
        <v>79699</v>
      </c>
      <c r="F935" s="5" t="s">
        <v>27</v>
      </c>
      <c r="G935" s="5" t="s">
        <v>25</v>
      </c>
      <c r="H935" s="5" t="s">
        <v>18</v>
      </c>
      <c r="I935" s="5" t="s">
        <v>17</v>
      </c>
      <c r="J935" s="7">
        <v>45678</v>
      </c>
      <c r="K935" s="5" t="s">
        <v>17</v>
      </c>
      <c r="L935" s="8">
        <v>43605</v>
      </c>
      <c r="M935" s="19">
        <v>264</v>
      </c>
      <c r="N935" s="19">
        <v>314</v>
      </c>
      <c r="O935" s="24">
        <v>0</v>
      </c>
      <c r="P935" s="24">
        <v>8000</v>
      </c>
      <c r="Q935" t="s">
        <v>1983</v>
      </c>
      <c r="R935" s="19">
        <f>VLOOKUP(A935,[1]Sheet1!$A$2:$Q$1536,15,FALSE)</f>
        <v>5620.177734375</v>
      </c>
      <c r="S935" s="27">
        <f t="shared" si="42"/>
        <v>-0.42344252763914619</v>
      </c>
      <c r="T935" s="19">
        <f>VLOOKUP(A935,[1]Sheet1!$A$2:$Q$1536,16,FALSE)</f>
        <v>9436.0472504182799</v>
      </c>
      <c r="U935" s="27">
        <f t="shared" si="43"/>
        <v>0.15218737383437997</v>
      </c>
      <c r="V935" s="19">
        <f>VLOOKUP(A935,[1]Sheet1!$A$2:$Q$1536,17,FALSE)</f>
        <v>5681.70458984375</v>
      </c>
      <c r="W935" s="27">
        <f t="shared" si="44"/>
        <v>-0.40802814956277134</v>
      </c>
    </row>
    <row r="936" spans="1:23" x14ac:dyDescent="0.3">
      <c r="A936" s="4" t="s">
        <v>242</v>
      </c>
      <c r="B936" s="5">
        <v>2014</v>
      </c>
      <c r="C936" s="5" t="s">
        <v>237</v>
      </c>
      <c r="D936" s="15" t="s">
        <v>238</v>
      </c>
      <c r="E936" s="6">
        <v>103896</v>
      </c>
      <c r="F936" s="5" t="s">
        <v>79</v>
      </c>
      <c r="G936" s="5" t="s">
        <v>22</v>
      </c>
      <c r="H936" s="5" t="s">
        <v>18</v>
      </c>
      <c r="I936" s="5" t="s">
        <v>17</v>
      </c>
      <c r="J936" s="7">
        <v>45666</v>
      </c>
      <c r="K936" s="5" t="s">
        <v>17</v>
      </c>
      <c r="L936" s="8">
        <v>44067</v>
      </c>
      <c r="M936" s="19">
        <v>235</v>
      </c>
      <c r="N936" s="19">
        <v>285</v>
      </c>
      <c r="O936" s="24">
        <v>0</v>
      </c>
      <c r="P936" s="24">
        <v>2000</v>
      </c>
      <c r="Q936" t="s">
        <v>1983</v>
      </c>
      <c r="R936" s="19">
        <f>VLOOKUP(A936,[1]Sheet1!$A$2:$Q$1536,15,FALSE)</f>
        <v>2766.387939453125</v>
      </c>
      <c r="S936" s="27">
        <f t="shared" si="42"/>
        <v>0.27703559884830498</v>
      </c>
      <c r="T936" s="19">
        <f>VLOOKUP(A936,[1]Sheet1!$A$2:$Q$1536,16,FALSE)</f>
        <v>9191.0031059465873</v>
      </c>
      <c r="U936" s="27">
        <f t="shared" si="43"/>
        <v>0.78239589553549405</v>
      </c>
      <c r="V936" s="19">
        <f>VLOOKUP(A936,[1]Sheet1!$A$2:$Q$1536,17,FALSE)</f>
        <v>2608.53466796875</v>
      </c>
      <c r="W936" s="27">
        <f t="shared" si="44"/>
        <v>0.23328601894434942</v>
      </c>
    </row>
    <row r="937" spans="1:23" x14ac:dyDescent="0.3">
      <c r="A937" s="4" t="s">
        <v>1202</v>
      </c>
      <c r="B937" s="5">
        <v>2016</v>
      </c>
      <c r="C937" s="5" t="s">
        <v>684</v>
      </c>
      <c r="D937" s="15" t="s">
        <v>1187</v>
      </c>
      <c r="E937" s="6">
        <v>74669</v>
      </c>
      <c r="F937" s="5" t="s">
        <v>125</v>
      </c>
      <c r="G937" s="5" t="s">
        <v>33</v>
      </c>
      <c r="H937" s="5" t="s">
        <v>17</v>
      </c>
      <c r="I937" s="5" t="s">
        <v>18</v>
      </c>
      <c r="J937" s="7">
        <v>45561</v>
      </c>
      <c r="K937" s="5" t="s">
        <v>17</v>
      </c>
      <c r="L937" s="8">
        <v>44028</v>
      </c>
      <c r="M937" s="19">
        <v>235</v>
      </c>
      <c r="N937" s="19">
        <v>285</v>
      </c>
      <c r="O937" s="24">
        <v>8700</v>
      </c>
      <c r="P937" s="24">
        <v>9500</v>
      </c>
      <c r="Q937" t="s">
        <v>1983</v>
      </c>
      <c r="R937" s="19">
        <f>VLOOKUP(A937,[1]Sheet1!$A$2:$Q$1536,15,FALSE)</f>
        <v>9243.2744140625</v>
      </c>
      <c r="S937" s="27">
        <f t="shared" si="42"/>
        <v>-2.7774311833361102E-2</v>
      </c>
      <c r="T937" s="19">
        <f>VLOOKUP(A937,[1]Sheet1!$A$2:$Q$1536,16,FALSE)</f>
        <v>9845.5944802196154</v>
      </c>
      <c r="U937" s="27">
        <f t="shared" si="43"/>
        <v>3.5101433530899055E-2</v>
      </c>
      <c r="V937" s="19">
        <f>VLOOKUP(A937,[1]Sheet1!$A$2:$Q$1536,17,FALSE)</f>
        <v>9534.939453125</v>
      </c>
      <c r="W937" s="27">
        <f t="shared" si="44"/>
        <v>3.6643602507144264E-3</v>
      </c>
    </row>
    <row r="938" spans="1:23" x14ac:dyDescent="0.3">
      <c r="A938" s="4" t="s">
        <v>1212</v>
      </c>
      <c r="B938" s="5">
        <v>2011</v>
      </c>
      <c r="C938" s="5" t="s">
        <v>684</v>
      </c>
      <c r="D938" s="15" t="s">
        <v>1187</v>
      </c>
      <c r="E938" s="6">
        <v>140348</v>
      </c>
      <c r="F938" s="5" t="s">
        <v>21</v>
      </c>
      <c r="G938" s="5" t="s">
        <v>25</v>
      </c>
      <c r="H938" s="5" t="s">
        <v>18</v>
      </c>
      <c r="I938" s="5" t="s">
        <v>17</v>
      </c>
      <c r="J938" s="7">
        <v>45342</v>
      </c>
      <c r="K938" s="5" t="s">
        <v>17</v>
      </c>
      <c r="L938" s="8">
        <v>44310</v>
      </c>
      <c r="M938" s="19">
        <v>235</v>
      </c>
      <c r="N938" s="19">
        <v>285</v>
      </c>
      <c r="O938" s="24">
        <v>1500</v>
      </c>
      <c r="P938" s="24">
        <v>2200</v>
      </c>
      <c r="Q938" t="s">
        <v>1983</v>
      </c>
      <c r="R938" s="19">
        <f>VLOOKUP(A938,[1]Sheet1!$A$2:$Q$1536,15,FALSE)</f>
        <v>768.57647705078125</v>
      </c>
      <c r="S938" s="27">
        <f t="shared" si="42"/>
        <v>-1.8624347292568024</v>
      </c>
      <c r="T938" s="19">
        <f>VLOOKUP(A938,[1]Sheet1!$A$2:$Q$1536,16,FALSE)</f>
        <v>8794.0705847870686</v>
      </c>
      <c r="U938" s="27">
        <f t="shared" si="43"/>
        <v>0.74983143712698908</v>
      </c>
      <c r="V938" s="19">
        <f>VLOOKUP(A938,[1]Sheet1!$A$2:$Q$1536,17,FALSE)</f>
        <v>932.59674072265625</v>
      </c>
      <c r="W938" s="27">
        <f t="shared" si="44"/>
        <v>-1.3590045985955843</v>
      </c>
    </row>
    <row r="939" spans="1:23" x14ac:dyDescent="0.3">
      <c r="A939" s="4" t="s">
        <v>274</v>
      </c>
      <c r="B939" s="5">
        <v>2018</v>
      </c>
      <c r="C939" s="5" t="s">
        <v>237</v>
      </c>
      <c r="D939" s="15" t="s">
        <v>275</v>
      </c>
      <c r="E939" s="6">
        <v>90921</v>
      </c>
      <c r="F939" s="5" t="s">
        <v>199</v>
      </c>
      <c r="G939" s="5" t="s">
        <v>16</v>
      </c>
      <c r="H939" s="5" t="s">
        <v>17</v>
      </c>
      <c r="I939" s="5" t="s">
        <v>18</v>
      </c>
      <c r="J939" s="7">
        <v>45412</v>
      </c>
      <c r="K939" s="5" t="s">
        <v>17</v>
      </c>
      <c r="L939" s="8">
        <v>44053</v>
      </c>
      <c r="M939" s="19">
        <v>235</v>
      </c>
      <c r="N939" s="19">
        <v>285</v>
      </c>
      <c r="O939" s="24">
        <v>0</v>
      </c>
      <c r="P939" s="24">
        <v>5100</v>
      </c>
      <c r="Q939" t="s">
        <v>1983</v>
      </c>
      <c r="R939" s="19">
        <f>VLOOKUP(A939,[1]Sheet1!$A$2:$Q$1536,15,FALSE)</f>
        <v>12570.6591796875</v>
      </c>
      <c r="S939" s="27">
        <f t="shared" si="42"/>
        <v>0.59429335191579158</v>
      </c>
      <c r="T939" s="19">
        <f>VLOOKUP(A939,[1]Sheet1!$A$2:$Q$1536,16,FALSE)</f>
        <v>10307.955430199871</v>
      </c>
      <c r="U939" s="27">
        <f t="shared" si="43"/>
        <v>0.50523651033082595</v>
      </c>
      <c r="V939" s="19">
        <f>VLOOKUP(A939,[1]Sheet1!$A$2:$Q$1536,17,FALSE)</f>
        <v>12728.0908203125</v>
      </c>
      <c r="W939" s="27">
        <f t="shared" si="44"/>
        <v>0.59931147003908758</v>
      </c>
    </row>
    <row r="940" spans="1:23" x14ac:dyDescent="0.3">
      <c r="A940" s="4" t="s">
        <v>940</v>
      </c>
      <c r="B940" s="5">
        <v>2019</v>
      </c>
      <c r="C940" s="5" t="s">
        <v>96</v>
      </c>
      <c r="D940" s="15" t="s">
        <v>107</v>
      </c>
      <c r="E940" s="6">
        <v>96526</v>
      </c>
      <c r="F940" s="5" t="s">
        <v>40</v>
      </c>
      <c r="G940" s="5" t="s">
        <v>28</v>
      </c>
      <c r="H940" s="5" t="s">
        <v>17</v>
      </c>
      <c r="I940" s="5" t="s">
        <v>18</v>
      </c>
      <c r="J940" s="7">
        <v>45426</v>
      </c>
      <c r="K940" s="5" t="s">
        <v>17</v>
      </c>
      <c r="L940" s="8">
        <v>44113</v>
      </c>
      <c r="M940" s="19">
        <v>264</v>
      </c>
      <c r="N940" s="19">
        <v>314</v>
      </c>
      <c r="O940" s="24">
        <v>9500</v>
      </c>
      <c r="P940" s="24">
        <v>13800</v>
      </c>
      <c r="Q940" t="s">
        <v>1983</v>
      </c>
      <c r="R940" s="19">
        <f>VLOOKUP(A940,[1]Sheet1!$A$2:$Q$1536,15,FALSE)</f>
        <v>6166.6484375</v>
      </c>
      <c r="S940" s="27">
        <f t="shared" si="42"/>
        <v>-1.2378444530874879</v>
      </c>
      <c r="T940" s="19">
        <f>VLOOKUP(A940,[1]Sheet1!$A$2:$Q$1536,16,FALSE)</f>
        <v>9622.2121733218537</v>
      </c>
      <c r="U940" s="27">
        <f t="shared" si="43"/>
        <v>-0.43418163634567397</v>
      </c>
      <c r="V940" s="19">
        <f>VLOOKUP(A940,[1]Sheet1!$A$2:$Q$1536,17,FALSE)</f>
        <v>6192.2958984375</v>
      </c>
      <c r="W940" s="27">
        <f t="shared" si="44"/>
        <v>-1.2285756731170017</v>
      </c>
    </row>
    <row r="941" spans="1:23" x14ac:dyDescent="0.3">
      <c r="A941" s="4" t="s">
        <v>962</v>
      </c>
      <c r="B941" s="5">
        <v>2021</v>
      </c>
      <c r="C941" s="5" t="s">
        <v>96</v>
      </c>
      <c r="D941" s="15" t="s">
        <v>950</v>
      </c>
      <c r="E941" s="6">
        <v>67278</v>
      </c>
      <c r="F941" s="5" t="s">
        <v>158</v>
      </c>
      <c r="G941" s="5" t="s">
        <v>16</v>
      </c>
      <c r="H941" s="5" t="s">
        <v>17</v>
      </c>
      <c r="I941" s="5" t="s">
        <v>18</v>
      </c>
      <c r="J941" s="7">
        <v>45295</v>
      </c>
      <c r="K941" s="5" t="s">
        <v>17</v>
      </c>
      <c r="L941" s="8">
        <v>44028</v>
      </c>
      <c r="M941" s="19">
        <v>235</v>
      </c>
      <c r="N941" s="19">
        <v>285</v>
      </c>
      <c r="O941" s="24">
        <v>0</v>
      </c>
      <c r="P941" s="24">
        <v>19700</v>
      </c>
      <c r="Q941" t="s">
        <v>1983</v>
      </c>
      <c r="R941" s="19">
        <f>VLOOKUP(A941,[1]Sheet1!$A$2:$Q$1536,15,FALSE)</f>
        <v>19420.994140625</v>
      </c>
      <c r="S941" s="27">
        <f t="shared" si="42"/>
        <v>-1.4366198627874213E-2</v>
      </c>
      <c r="T941" s="19">
        <f>VLOOKUP(A941,[1]Sheet1!$A$2:$Q$1536,16,FALSE)</f>
        <v>13070.785982244401</v>
      </c>
      <c r="U941" s="27">
        <f t="shared" si="43"/>
        <v>-0.50717791774426169</v>
      </c>
      <c r="V941" s="19">
        <f>VLOOKUP(A941,[1]Sheet1!$A$2:$Q$1536,17,FALSE)</f>
        <v>19550.671875</v>
      </c>
      <c r="W941" s="27">
        <f t="shared" si="44"/>
        <v>-7.6380047680586422E-3</v>
      </c>
    </row>
    <row r="942" spans="1:23" x14ac:dyDescent="0.3">
      <c r="A942" s="4" t="s">
        <v>1111</v>
      </c>
      <c r="B942" s="5">
        <v>2017</v>
      </c>
      <c r="C942" s="5" t="s">
        <v>1086</v>
      </c>
      <c r="D942" s="15" t="s">
        <v>1093</v>
      </c>
      <c r="E942" s="6">
        <v>97116</v>
      </c>
      <c r="F942" s="5" t="s">
        <v>59</v>
      </c>
      <c r="G942" s="5" t="s">
        <v>16</v>
      </c>
      <c r="H942" s="5" t="s">
        <v>17</v>
      </c>
      <c r="I942" s="5" t="s">
        <v>18</v>
      </c>
      <c r="J942" s="7">
        <v>45538</v>
      </c>
      <c r="K942" s="5" t="s">
        <v>17</v>
      </c>
      <c r="L942" s="8">
        <v>44067</v>
      </c>
      <c r="M942" s="19">
        <v>235</v>
      </c>
      <c r="N942" s="19">
        <v>285</v>
      </c>
      <c r="O942" s="24">
        <v>7250</v>
      </c>
      <c r="P942" s="24">
        <v>7400</v>
      </c>
      <c r="Q942" t="s">
        <v>1983</v>
      </c>
      <c r="R942" s="19">
        <f>VLOOKUP(A942,[1]Sheet1!$A$2:$Q$1536,15,FALSE)</f>
        <v>8172.10986328125</v>
      </c>
      <c r="S942" s="27">
        <f t="shared" si="42"/>
        <v>9.4481091933244513E-2</v>
      </c>
      <c r="T942" s="19">
        <f>VLOOKUP(A942,[1]Sheet1!$A$2:$Q$1536,16,FALSE)</f>
        <v>9725.1279499166576</v>
      </c>
      <c r="U942" s="27">
        <f t="shared" si="43"/>
        <v>0.23908456134364622</v>
      </c>
      <c r="V942" s="19">
        <f>VLOOKUP(A942,[1]Sheet1!$A$2:$Q$1536,17,FALSE)</f>
        <v>8225.224609375</v>
      </c>
      <c r="W942" s="27">
        <f t="shared" si="44"/>
        <v>0.10032851971415105</v>
      </c>
    </row>
    <row r="943" spans="1:23" x14ac:dyDescent="0.3">
      <c r="A943" s="4" t="s">
        <v>1385</v>
      </c>
      <c r="B943" s="5">
        <v>2015</v>
      </c>
      <c r="C943" s="5" t="s">
        <v>1089</v>
      </c>
      <c r="D943" s="15" t="s">
        <v>1363</v>
      </c>
      <c r="E943" s="6">
        <v>102203</v>
      </c>
      <c r="F943" s="5" t="s">
        <v>112</v>
      </c>
      <c r="G943" s="5" t="s">
        <v>22</v>
      </c>
      <c r="H943" s="5" t="s">
        <v>18</v>
      </c>
      <c r="I943" s="5" t="s">
        <v>17</v>
      </c>
      <c r="J943" s="7">
        <v>45617</v>
      </c>
      <c r="K943" s="5" t="s">
        <v>17</v>
      </c>
      <c r="L943" s="8">
        <v>44113</v>
      </c>
      <c r="M943" s="19">
        <v>264</v>
      </c>
      <c r="N943" s="19">
        <v>314</v>
      </c>
      <c r="O943" s="24">
        <v>1400</v>
      </c>
      <c r="P943" s="24">
        <v>2800</v>
      </c>
      <c r="Q943" t="s">
        <v>1983</v>
      </c>
      <c r="R943" s="19">
        <f>VLOOKUP(A943,[1]Sheet1!$A$2:$Q$1536,15,FALSE)</f>
        <v>1734.433471679688</v>
      </c>
      <c r="S943" s="27">
        <f t="shared" si="42"/>
        <v>-0.61435998884891152</v>
      </c>
      <c r="T943" s="19">
        <f>VLOOKUP(A943,[1]Sheet1!$A$2:$Q$1536,16,FALSE)</f>
        <v>8566.4685684607102</v>
      </c>
      <c r="U943" s="27">
        <f t="shared" si="43"/>
        <v>0.67314419265964509</v>
      </c>
      <c r="V943" s="19">
        <f>VLOOKUP(A943,[1]Sheet1!$A$2:$Q$1536,17,FALSE)</f>
        <v>1683.583618164062</v>
      </c>
      <c r="W943" s="27">
        <f t="shared" si="44"/>
        <v>-0.66311905734351551</v>
      </c>
    </row>
    <row r="944" spans="1:23" x14ac:dyDescent="0.3">
      <c r="A944" s="4" t="s">
        <v>405</v>
      </c>
      <c r="B944" s="5">
        <v>2016</v>
      </c>
      <c r="C944" s="5" t="s">
        <v>391</v>
      </c>
      <c r="D944" s="15" t="s">
        <v>400</v>
      </c>
      <c r="E944" s="6">
        <v>136257</v>
      </c>
      <c r="F944" s="5" t="s">
        <v>27</v>
      </c>
      <c r="G944" s="5" t="s">
        <v>28</v>
      </c>
      <c r="H944" s="5" t="s">
        <v>17</v>
      </c>
      <c r="I944" s="5" t="s">
        <v>18</v>
      </c>
      <c r="J944" s="7">
        <v>45384</v>
      </c>
      <c r="K944" s="5" t="s">
        <v>17</v>
      </c>
      <c r="L944" s="8">
        <v>44113</v>
      </c>
      <c r="M944" s="19">
        <v>264</v>
      </c>
      <c r="N944" s="19">
        <v>314</v>
      </c>
      <c r="O944" s="24">
        <v>5200</v>
      </c>
      <c r="P944" s="24">
        <v>10000</v>
      </c>
      <c r="Q944" t="s">
        <v>1983</v>
      </c>
      <c r="R944" s="19">
        <f>VLOOKUP(A944,[1]Sheet1!$A$2:$Q$1536,15,FALSE)</f>
        <v>3119.693115234375</v>
      </c>
      <c r="S944" s="27">
        <f t="shared" si="42"/>
        <v>-2.2054434941587915</v>
      </c>
      <c r="T944" s="19">
        <f>VLOOKUP(A944,[1]Sheet1!$A$2:$Q$1536,16,FALSE)</f>
        <v>9318.0059879601722</v>
      </c>
      <c r="U944" s="27">
        <f t="shared" si="43"/>
        <v>-7.3190982375524835E-2</v>
      </c>
      <c r="V944" s="19">
        <f>VLOOKUP(A944,[1]Sheet1!$A$2:$Q$1536,17,FALSE)</f>
        <v>3056.29248046875</v>
      </c>
      <c r="W944" s="27">
        <f t="shared" si="44"/>
        <v>-2.2719381616468457</v>
      </c>
    </row>
    <row r="945" spans="1:23" x14ac:dyDescent="0.3">
      <c r="A945" s="4" t="s">
        <v>732</v>
      </c>
      <c r="B945" s="5">
        <v>2015</v>
      </c>
      <c r="C945" s="5" t="s">
        <v>83</v>
      </c>
      <c r="D945" s="15" t="s">
        <v>714</v>
      </c>
      <c r="E945" s="6">
        <v>105256</v>
      </c>
      <c r="F945" s="5" t="s">
        <v>59</v>
      </c>
      <c r="G945" s="5" t="s">
        <v>16</v>
      </c>
      <c r="H945" s="5" t="s">
        <v>17</v>
      </c>
      <c r="I945" s="5" t="s">
        <v>18</v>
      </c>
      <c r="J945" s="7">
        <v>45300</v>
      </c>
      <c r="K945" s="5" t="s">
        <v>17</v>
      </c>
      <c r="L945" s="8">
        <v>43605</v>
      </c>
      <c r="M945" s="19">
        <v>264</v>
      </c>
      <c r="N945" s="19">
        <v>314</v>
      </c>
      <c r="O945" s="24">
        <v>0</v>
      </c>
      <c r="P945" s="24">
        <v>3800</v>
      </c>
      <c r="Q945" t="s">
        <v>1983</v>
      </c>
      <c r="R945" s="19">
        <f>VLOOKUP(A945,[1]Sheet1!$A$2:$Q$1536,15,FALSE)</f>
        <v>8499.0615234375</v>
      </c>
      <c r="S945" s="27">
        <f t="shared" si="42"/>
        <v>0.55289181169933854</v>
      </c>
      <c r="T945" s="19">
        <f>VLOOKUP(A945,[1]Sheet1!$A$2:$Q$1536,16,FALSE)</f>
        <v>10836.65209884521</v>
      </c>
      <c r="U945" s="27">
        <f t="shared" si="43"/>
        <v>0.64933819362855238</v>
      </c>
      <c r="V945" s="19">
        <f>VLOOKUP(A945,[1]Sheet1!$A$2:$Q$1536,17,FALSE)</f>
        <v>8261.6015625</v>
      </c>
      <c r="W945" s="27">
        <f t="shared" si="44"/>
        <v>0.54004075707929666</v>
      </c>
    </row>
    <row r="946" spans="1:23" x14ac:dyDescent="0.3">
      <c r="A946" s="4" t="s">
        <v>1199</v>
      </c>
      <c r="B946" s="5">
        <v>2015</v>
      </c>
      <c r="C946" s="5" t="s">
        <v>684</v>
      </c>
      <c r="D946" s="15" t="s">
        <v>1200</v>
      </c>
      <c r="E946" s="6">
        <v>105300</v>
      </c>
      <c r="F946" s="5" t="s">
        <v>79</v>
      </c>
      <c r="G946" s="5" t="s">
        <v>22</v>
      </c>
      <c r="H946" s="5" t="s">
        <v>18</v>
      </c>
      <c r="I946" s="5" t="s">
        <v>17</v>
      </c>
      <c r="J946" s="7">
        <v>45722</v>
      </c>
      <c r="K946" s="5" t="s">
        <v>17</v>
      </c>
      <c r="L946" s="8">
        <v>44144</v>
      </c>
      <c r="M946" s="19">
        <v>235</v>
      </c>
      <c r="N946" s="19">
        <v>285</v>
      </c>
      <c r="O946" s="24">
        <v>1600</v>
      </c>
      <c r="P946" s="24">
        <v>7154.5454545454504</v>
      </c>
      <c r="Q946" t="s">
        <v>1983</v>
      </c>
      <c r="R946" s="19">
        <f>VLOOKUP(A946,[1]Sheet1!$A$2:$Q$1536,15,FALSE)</f>
        <v>1416.717407226562</v>
      </c>
      <c r="S946" s="27">
        <f t="shared" si="42"/>
        <v>-4.0500865014085985</v>
      </c>
      <c r="T946" s="19">
        <f>VLOOKUP(A946,[1]Sheet1!$A$2:$Q$1536,16,FALSE)</f>
        <v>8778.2834715789868</v>
      </c>
      <c r="U946" s="27">
        <f t="shared" si="43"/>
        <v>0.18497215569429176</v>
      </c>
      <c r="V946" s="19">
        <f>VLOOKUP(A946,[1]Sheet1!$A$2:$Q$1536,17,FALSE)</f>
        <v>1385.325439453125</v>
      </c>
      <c r="W946" s="27">
        <f t="shared" si="44"/>
        <v>-4.164523259870113</v>
      </c>
    </row>
    <row r="947" spans="1:23" x14ac:dyDescent="0.3">
      <c r="A947" s="4" t="s">
        <v>868</v>
      </c>
      <c r="B947" s="5">
        <v>2018</v>
      </c>
      <c r="C947" s="5" t="s">
        <v>391</v>
      </c>
      <c r="D947" s="15" t="s">
        <v>580</v>
      </c>
      <c r="E947" s="6">
        <v>119679</v>
      </c>
      <c r="F947" s="5" t="s">
        <v>40</v>
      </c>
      <c r="G947" s="5" t="s">
        <v>28</v>
      </c>
      <c r="H947" s="5" t="s">
        <v>17</v>
      </c>
      <c r="I947" s="5" t="s">
        <v>18</v>
      </c>
      <c r="J947" s="7">
        <v>45729</v>
      </c>
      <c r="K947" s="5" t="s">
        <v>17</v>
      </c>
      <c r="L947" s="8">
        <v>43612</v>
      </c>
      <c r="M947" s="19">
        <v>264</v>
      </c>
      <c r="N947" s="19">
        <v>314</v>
      </c>
      <c r="O947" s="24">
        <v>0</v>
      </c>
      <c r="P947" s="24">
        <v>10500</v>
      </c>
      <c r="Q947" t="s">
        <v>1983</v>
      </c>
      <c r="R947" s="19">
        <f>VLOOKUP(A947,[1]Sheet1!$A$2:$Q$1536,15,FALSE)</f>
        <v>4229.3642578125</v>
      </c>
      <c r="S947" s="27">
        <f t="shared" si="42"/>
        <v>-1.4826426289966286</v>
      </c>
      <c r="T947" s="19">
        <f>VLOOKUP(A947,[1]Sheet1!$A$2:$Q$1536,16,FALSE)</f>
        <v>9562.0899408719943</v>
      </c>
      <c r="U947" s="27">
        <f t="shared" si="43"/>
        <v>-9.8086303823500226E-2</v>
      </c>
      <c r="V947" s="19">
        <f>VLOOKUP(A947,[1]Sheet1!$A$2:$Q$1536,17,FALSE)</f>
        <v>4334.38916015625</v>
      </c>
      <c r="W947" s="27">
        <f t="shared" si="44"/>
        <v>-1.4224866785199985</v>
      </c>
    </row>
    <row r="948" spans="1:23" x14ac:dyDescent="0.3">
      <c r="A948" s="4" t="s">
        <v>207</v>
      </c>
      <c r="B948" s="5">
        <v>2013</v>
      </c>
      <c r="C948" s="5" t="s">
        <v>83</v>
      </c>
      <c r="D948" s="15" t="s">
        <v>205</v>
      </c>
      <c r="E948" s="6">
        <v>121281</v>
      </c>
      <c r="F948" s="5" t="s">
        <v>66</v>
      </c>
      <c r="G948" s="5" t="s">
        <v>25</v>
      </c>
      <c r="H948" s="5" t="s">
        <v>18</v>
      </c>
      <c r="I948" s="5" t="s">
        <v>17</v>
      </c>
      <c r="J948" s="7">
        <v>45664</v>
      </c>
      <c r="K948" s="5" t="s">
        <v>17</v>
      </c>
      <c r="L948" s="8">
        <v>43935</v>
      </c>
      <c r="M948" s="19">
        <v>222</v>
      </c>
      <c r="N948" s="19">
        <v>272</v>
      </c>
      <c r="O948" s="24">
        <v>3100</v>
      </c>
      <c r="P948" s="24">
        <v>7500</v>
      </c>
      <c r="Q948" t="s">
        <v>1983</v>
      </c>
      <c r="R948" s="19">
        <f>VLOOKUP(A948,[1]Sheet1!$A$2:$Q$1536,15,FALSE)</f>
        <v>1843.963989257812</v>
      </c>
      <c r="S948" s="27">
        <f t="shared" si="42"/>
        <v>-3.0673245484683891</v>
      </c>
      <c r="T948" s="19">
        <f>VLOOKUP(A948,[1]Sheet1!$A$2:$Q$1536,16,FALSE)</f>
        <v>8907.1483718595173</v>
      </c>
      <c r="U948" s="27">
        <f t="shared" si="43"/>
        <v>0.15797967128347626</v>
      </c>
      <c r="V948" s="19">
        <f>VLOOKUP(A948,[1]Sheet1!$A$2:$Q$1536,17,FALSE)</f>
        <v>1778.49755859375</v>
      </c>
      <c r="W948" s="27">
        <f t="shared" si="44"/>
        <v>-3.2170426176633136</v>
      </c>
    </row>
    <row r="949" spans="1:23" x14ac:dyDescent="0.3">
      <c r="A949" s="4" t="s">
        <v>533</v>
      </c>
      <c r="B949" s="5">
        <v>2013</v>
      </c>
      <c r="C949" s="5" t="s">
        <v>519</v>
      </c>
      <c r="D949" s="15" t="s">
        <v>530</v>
      </c>
      <c r="E949" s="6">
        <v>83041</v>
      </c>
      <c r="F949" s="5" t="s">
        <v>64</v>
      </c>
      <c r="G949" s="5" t="s">
        <v>25</v>
      </c>
      <c r="H949" s="5" t="s">
        <v>18</v>
      </c>
      <c r="I949" s="5" t="s">
        <v>17</v>
      </c>
      <c r="J949" s="7">
        <v>45524</v>
      </c>
      <c r="K949" s="5" t="s">
        <v>17</v>
      </c>
      <c r="L949" s="8">
        <v>44133</v>
      </c>
      <c r="M949" s="19">
        <v>222</v>
      </c>
      <c r="N949" s="19">
        <v>272</v>
      </c>
      <c r="O949" s="24">
        <v>4800</v>
      </c>
      <c r="P949" s="24">
        <v>4900</v>
      </c>
      <c r="Q949" t="s">
        <v>1983</v>
      </c>
      <c r="R949" s="19">
        <f>VLOOKUP(A949,[1]Sheet1!$A$2:$Q$1536,15,FALSE)</f>
        <v>5622.93017578125</v>
      </c>
      <c r="S949" s="27">
        <f t="shared" si="42"/>
        <v>0.12856822922948818</v>
      </c>
      <c r="T949" s="19">
        <f>VLOOKUP(A949,[1]Sheet1!$A$2:$Q$1536,16,FALSE)</f>
        <v>9279.570364645906</v>
      </c>
      <c r="U949" s="27">
        <f t="shared" si="43"/>
        <v>0.47195831192051352</v>
      </c>
      <c r="V949" s="19">
        <f>VLOOKUP(A949,[1]Sheet1!$A$2:$Q$1536,17,FALSE)</f>
        <v>5648.3291015625</v>
      </c>
      <c r="W949" s="27">
        <f t="shared" si="44"/>
        <v>0.1324868094806107</v>
      </c>
    </row>
    <row r="950" spans="1:23" x14ac:dyDescent="0.3">
      <c r="A950" s="4" t="s">
        <v>863</v>
      </c>
      <c r="B950" s="5">
        <v>2013</v>
      </c>
      <c r="C950" s="5" t="s">
        <v>391</v>
      </c>
      <c r="D950" s="15" t="s">
        <v>582</v>
      </c>
      <c r="E950" s="6">
        <v>114069</v>
      </c>
      <c r="F950" s="5" t="s">
        <v>79</v>
      </c>
      <c r="G950" s="5" t="s">
        <v>22</v>
      </c>
      <c r="H950" s="5" t="s">
        <v>18</v>
      </c>
      <c r="I950" s="5" t="s">
        <v>17</v>
      </c>
      <c r="J950" s="7">
        <v>45538</v>
      </c>
      <c r="K950" s="5" t="s">
        <v>17</v>
      </c>
      <c r="L950" s="8">
        <v>43469</v>
      </c>
      <c r="M950" s="19">
        <v>222</v>
      </c>
      <c r="N950" s="19">
        <v>272</v>
      </c>
      <c r="O950" s="24">
        <v>1700</v>
      </c>
      <c r="P950" s="24">
        <v>3600</v>
      </c>
      <c r="Q950" t="s">
        <v>1983</v>
      </c>
      <c r="R950" s="19">
        <f>VLOOKUP(A950,[1]Sheet1!$A$2:$Q$1536,15,FALSE)</f>
        <v>1674.481201171875</v>
      </c>
      <c r="S950" s="27">
        <f t="shared" si="42"/>
        <v>-1.1499196273332677</v>
      </c>
      <c r="T950" s="19">
        <f>VLOOKUP(A950,[1]Sheet1!$A$2:$Q$1536,16,FALSE)</f>
        <v>9241.3168006371725</v>
      </c>
      <c r="U950" s="27">
        <f t="shared" si="43"/>
        <v>0.61044512620195135</v>
      </c>
      <c r="V950" s="19">
        <f>VLOOKUP(A950,[1]Sheet1!$A$2:$Q$1536,17,FALSE)</f>
        <v>1626.914306640625</v>
      </c>
      <c r="W950" s="27">
        <f t="shared" si="44"/>
        <v>-1.2127778859069416</v>
      </c>
    </row>
    <row r="951" spans="1:23" x14ac:dyDescent="0.3">
      <c r="A951" s="4" t="s">
        <v>1937</v>
      </c>
      <c r="B951" s="5">
        <v>2017</v>
      </c>
      <c r="C951" s="5" t="s">
        <v>684</v>
      </c>
      <c r="D951" s="15" t="s">
        <v>1182</v>
      </c>
      <c r="E951" s="6">
        <v>77731</v>
      </c>
      <c r="F951" s="5" t="s">
        <v>81</v>
      </c>
      <c r="G951" s="5" t="s">
        <v>28</v>
      </c>
      <c r="H951" s="5" t="s">
        <v>17</v>
      </c>
      <c r="I951" s="5" t="s">
        <v>18</v>
      </c>
      <c r="J951" s="7">
        <v>45510</v>
      </c>
      <c r="K951" s="5" t="s">
        <v>17</v>
      </c>
      <c r="L951" s="8">
        <v>44310</v>
      </c>
      <c r="M951" s="19">
        <v>235</v>
      </c>
      <c r="N951" s="19">
        <v>285</v>
      </c>
      <c r="O951" s="24">
        <v>7200</v>
      </c>
      <c r="P951" s="24">
        <v>12400</v>
      </c>
      <c r="Q951" t="s">
        <v>1983</v>
      </c>
      <c r="R951" s="19">
        <f>VLOOKUP(A951,[1]Sheet1!$A$2:$Q$1536,15,FALSE)</f>
        <v>4086.025146484375</v>
      </c>
      <c r="S951" s="27">
        <f t="shared" si="42"/>
        <v>-2.0347341378133681</v>
      </c>
      <c r="T951" s="19">
        <f>VLOOKUP(A951,[1]Sheet1!$A$2:$Q$1536,16,FALSE)</f>
        <v>9123.2636061739413</v>
      </c>
      <c r="U951" s="27">
        <f t="shared" si="43"/>
        <v>-0.35916274430661072</v>
      </c>
      <c r="V951" s="19">
        <f>VLOOKUP(A951,[1]Sheet1!$A$2:$Q$1536,17,FALSE)</f>
        <v>4002.080078125</v>
      </c>
      <c r="W951" s="27">
        <f t="shared" si="44"/>
        <v>-2.0983887773203875</v>
      </c>
    </row>
    <row r="952" spans="1:23" x14ac:dyDescent="0.3">
      <c r="A952" s="4" t="s">
        <v>1460</v>
      </c>
      <c r="B952" s="5">
        <v>2017</v>
      </c>
      <c r="C952" s="5" t="s">
        <v>1086</v>
      </c>
      <c r="D952" s="15" t="s">
        <v>1439</v>
      </c>
      <c r="E952" s="6">
        <v>107038</v>
      </c>
      <c r="F952" s="5" t="s">
        <v>251</v>
      </c>
      <c r="G952" s="5" t="s">
        <v>22</v>
      </c>
      <c r="H952" s="5" t="s">
        <v>18</v>
      </c>
      <c r="I952" s="5" t="s">
        <v>17</v>
      </c>
      <c r="J952" s="7">
        <v>45664</v>
      </c>
      <c r="K952" s="5" t="s">
        <v>17</v>
      </c>
      <c r="L952" s="8">
        <v>44113</v>
      </c>
      <c r="M952" s="19">
        <v>264</v>
      </c>
      <c r="N952" s="19">
        <v>314</v>
      </c>
      <c r="O952" s="24">
        <v>1900</v>
      </c>
      <c r="P952" s="24">
        <v>10700</v>
      </c>
      <c r="Q952" t="s">
        <v>1983</v>
      </c>
      <c r="R952" s="19">
        <f>VLOOKUP(A952,[1]Sheet1!$A$2:$Q$1536,15,FALSE)</f>
        <v>2156.579345703125</v>
      </c>
      <c r="S952" s="27">
        <f t="shared" si="42"/>
        <v>-3.9615610115710362</v>
      </c>
      <c r="T952" s="19">
        <f>VLOOKUP(A952,[1]Sheet1!$A$2:$Q$1536,16,FALSE)</f>
        <v>8619.5009781879144</v>
      </c>
      <c r="U952" s="27">
        <f t="shared" si="43"/>
        <v>-0.2413711683630983</v>
      </c>
      <c r="V952" s="19">
        <f>VLOOKUP(A952,[1]Sheet1!$A$2:$Q$1536,17,FALSE)</f>
        <v>2095.49365234375</v>
      </c>
      <c r="W952" s="27">
        <f t="shared" si="44"/>
        <v>-4.1061953769377224</v>
      </c>
    </row>
    <row r="953" spans="1:23" x14ac:dyDescent="0.3">
      <c r="A953" s="4" t="s">
        <v>266</v>
      </c>
      <c r="B953" s="5">
        <v>2017</v>
      </c>
      <c r="C953" s="5" t="s">
        <v>237</v>
      </c>
      <c r="D953" s="15" t="s">
        <v>248</v>
      </c>
      <c r="E953" s="6">
        <v>103401</v>
      </c>
      <c r="F953" s="5" t="s">
        <v>81</v>
      </c>
      <c r="G953" s="5" t="s">
        <v>25</v>
      </c>
      <c r="H953" s="5" t="s">
        <v>18</v>
      </c>
      <c r="I953" s="5" t="s">
        <v>17</v>
      </c>
      <c r="J953" s="7">
        <v>45323</v>
      </c>
      <c r="K953" s="5" t="s">
        <v>17</v>
      </c>
      <c r="L953" s="8">
        <v>44905</v>
      </c>
      <c r="M953" s="19">
        <v>128</v>
      </c>
      <c r="N953" s="19">
        <v>158</v>
      </c>
      <c r="O953" s="24">
        <v>0</v>
      </c>
      <c r="P953" s="24">
        <v>12700</v>
      </c>
      <c r="Q953" t="s">
        <v>1983</v>
      </c>
      <c r="R953" s="19">
        <f>VLOOKUP(A953,[1]Sheet1!$A$2:$Q$1536,15,FALSE)</f>
        <v>4726.4072265625</v>
      </c>
      <c r="S953" s="27">
        <f t="shared" si="42"/>
        <v>-1.6870304210406912</v>
      </c>
      <c r="T953" s="19">
        <f>VLOOKUP(A953,[1]Sheet1!$A$2:$Q$1536,16,FALSE)</f>
        <v>9308.7480287517355</v>
      </c>
      <c r="U953" s="27">
        <f t="shared" si="43"/>
        <v>-0.36430806385281622</v>
      </c>
      <c r="V953" s="19">
        <f>VLOOKUP(A953,[1]Sheet1!$A$2:$Q$1536,17,FALSE)</f>
        <v>4646.1630859375</v>
      </c>
      <c r="W953" s="27">
        <f t="shared" si="44"/>
        <v>-1.733438272633816</v>
      </c>
    </row>
    <row r="954" spans="1:23" x14ac:dyDescent="0.3">
      <c r="A954" s="4" t="s">
        <v>1116</v>
      </c>
      <c r="B954" s="5">
        <v>2017</v>
      </c>
      <c r="C954" s="5" t="s">
        <v>1086</v>
      </c>
      <c r="D954" s="15" t="s">
        <v>1093</v>
      </c>
      <c r="E954" s="6">
        <v>75012</v>
      </c>
      <c r="F954" s="5" t="s">
        <v>40</v>
      </c>
      <c r="G954" s="5" t="s">
        <v>33</v>
      </c>
      <c r="H954" s="5" t="s">
        <v>17</v>
      </c>
      <c r="I954" s="5" t="s">
        <v>18</v>
      </c>
      <c r="J954" s="7">
        <v>45645</v>
      </c>
      <c r="K954" s="5" t="s">
        <v>17</v>
      </c>
      <c r="L954" s="8">
        <v>44128</v>
      </c>
      <c r="M954" s="19">
        <v>264</v>
      </c>
      <c r="N954" s="19">
        <v>314</v>
      </c>
      <c r="O954" s="24">
        <v>4500</v>
      </c>
      <c r="P954" s="24">
        <v>6400</v>
      </c>
      <c r="Q954" t="s">
        <v>1983</v>
      </c>
      <c r="R954" s="19">
        <f>VLOOKUP(A954,[1]Sheet1!$A$2:$Q$1536,15,FALSE)</f>
        <v>2827.39208984375</v>
      </c>
      <c r="S954" s="27">
        <f t="shared" si="42"/>
        <v>-1.2635700308384477</v>
      </c>
      <c r="T954" s="19">
        <f>VLOOKUP(A954,[1]Sheet1!$A$2:$Q$1536,16,FALSE)</f>
        <v>8986.3605854955385</v>
      </c>
      <c r="U954" s="27">
        <f t="shared" si="43"/>
        <v>0.28780957105928529</v>
      </c>
      <c r="V954" s="19">
        <f>VLOOKUP(A954,[1]Sheet1!$A$2:$Q$1536,17,FALSE)</f>
        <v>2664.12353515625</v>
      </c>
      <c r="W954" s="27">
        <f t="shared" si="44"/>
        <v>-1.4022910032303146</v>
      </c>
    </row>
    <row r="955" spans="1:23" x14ac:dyDescent="0.3">
      <c r="A955" s="4" t="s">
        <v>1073</v>
      </c>
      <c r="B955" s="5">
        <v>2014</v>
      </c>
      <c r="C955" s="5" t="s">
        <v>559</v>
      </c>
      <c r="D955" s="15" t="s">
        <v>1074</v>
      </c>
      <c r="E955" s="6">
        <v>100298</v>
      </c>
      <c r="F955" s="5" t="s">
        <v>42</v>
      </c>
      <c r="G955" s="5" t="s">
        <v>28</v>
      </c>
      <c r="H955" s="5" t="s">
        <v>17</v>
      </c>
      <c r="I955" s="5" t="s">
        <v>18</v>
      </c>
      <c r="J955" s="7">
        <v>45566</v>
      </c>
      <c r="K955" s="5" t="s">
        <v>17</v>
      </c>
      <c r="L955" s="8">
        <v>44483</v>
      </c>
      <c r="M955" s="19">
        <v>264</v>
      </c>
      <c r="N955" s="19">
        <v>314</v>
      </c>
      <c r="O955" s="24">
        <v>14000</v>
      </c>
      <c r="P955" s="24">
        <v>20300</v>
      </c>
      <c r="Q955" t="s">
        <v>1983</v>
      </c>
      <c r="R955" s="19">
        <f>VLOOKUP(A955,[1]Sheet1!$A$2:$Q$1536,15,FALSE)</f>
        <v>3969.107666015625</v>
      </c>
      <c r="S955" s="27">
        <f t="shared" si="42"/>
        <v>-4.1144997082878545</v>
      </c>
      <c r="T955" s="19">
        <f>VLOOKUP(A955,[1]Sheet1!$A$2:$Q$1536,16,FALSE)</f>
        <v>12377.40774878692</v>
      </c>
      <c r="U955" s="27">
        <f t="shared" si="43"/>
        <v>-0.64008493636234565</v>
      </c>
      <c r="V955" s="19">
        <f>VLOOKUP(A955,[1]Sheet1!$A$2:$Q$1536,17,FALSE)</f>
        <v>4468.59423828125</v>
      </c>
      <c r="W955" s="27">
        <f t="shared" si="44"/>
        <v>-3.5428156859925517</v>
      </c>
    </row>
    <row r="956" spans="1:23" x14ac:dyDescent="0.3">
      <c r="A956" s="4" t="s">
        <v>1197</v>
      </c>
      <c r="B956" s="5">
        <v>2014</v>
      </c>
      <c r="C956" s="5" t="s">
        <v>684</v>
      </c>
      <c r="D956" s="15" t="s">
        <v>1187</v>
      </c>
      <c r="E956" s="6">
        <v>128932</v>
      </c>
      <c r="F956" s="5" t="s">
        <v>21</v>
      </c>
      <c r="G956" s="5" t="s">
        <v>25</v>
      </c>
      <c r="H956" s="5" t="s">
        <v>18</v>
      </c>
      <c r="I956" s="5" t="s">
        <v>17</v>
      </c>
      <c r="J956" s="7">
        <v>45412</v>
      </c>
      <c r="K956" s="5" t="s">
        <v>17</v>
      </c>
      <c r="L956" s="8">
        <v>44451</v>
      </c>
      <c r="M956" s="19">
        <v>264</v>
      </c>
      <c r="N956" s="19">
        <v>314</v>
      </c>
      <c r="O956" s="24">
        <v>5300</v>
      </c>
      <c r="P956" s="24">
        <v>7300</v>
      </c>
      <c r="Q956" t="s">
        <v>1983</v>
      </c>
      <c r="R956" s="19">
        <f>VLOOKUP(A956,[1]Sheet1!$A$2:$Q$1536,15,FALSE)</f>
        <v>1157.205322265625</v>
      </c>
      <c r="S956" s="27">
        <f t="shared" si="42"/>
        <v>-5.3083014392880203</v>
      </c>
      <c r="T956" s="19">
        <f>VLOOKUP(A956,[1]Sheet1!$A$2:$Q$1536,16,FALSE)</f>
        <v>8788.0921138532412</v>
      </c>
      <c r="U956" s="27">
        <f t="shared" si="43"/>
        <v>0.16933050934997199</v>
      </c>
      <c r="V956" s="19">
        <f>VLOOKUP(A956,[1]Sheet1!$A$2:$Q$1536,17,FALSE)</f>
        <v>1281.388061523438</v>
      </c>
      <c r="W956" s="27">
        <f t="shared" si="44"/>
        <v>-4.6969470991645226</v>
      </c>
    </row>
    <row r="957" spans="1:23" x14ac:dyDescent="0.3">
      <c r="A957" s="4" t="s">
        <v>982</v>
      </c>
      <c r="B957" s="5">
        <v>2013</v>
      </c>
      <c r="C957" s="5" t="s">
        <v>83</v>
      </c>
      <c r="D957" s="15" t="s">
        <v>965</v>
      </c>
      <c r="E957" s="6">
        <v>102530</v>
      </c>
      <c r="F957" s="5" t="s">
        <v>81</v>
      </c>
      <c r="G957" s="5" t="s">
        <v>25</v>
      </c>
      <c r="H957" s="5" t="s">
        <v>18</v>
      </c>
      <c r="I957" s="5" t="s">
        <v>17</v>
      </c>
      <c r="J957" s="7">
        <v>45678</v>
      </c>
      <c r="K957" s="5" t="s">
        <v>17</v>
      </c>
      <c r="L957" s="8">
        <v>43612</v>
      </c>
      <c r="M957" s="19">
        <v>264</v>
      </c>
      <c r="N957" s="19">
        <v>314</v>
      </c>
      <c r="O957" s="24">
        <v>2300</v>
      </c>
      <c r="P957" s="24">
        <v>5100</v>
      </c>
      <c r="Q957" t="s">
        <v>1983</v>
      </c>
      <c r="R957" s="19">
        <f>VLOOKUP(A957,[1]Sheet1!$A$2:$Q$1536,15,FALSE)</f>
        <v>2467.958740234375</v>
      </c>
      <c r="S957" s="27">
        <f t="shared" si="42"/>
        <v>-1.0664851145427445</v>
      </c>
      <c r="T957" s="19">
        <f>VLOOKUP(A957,[1]Sheet1!$A$2:$Q$1536,16,FALSE)</f>
        <v>8909.5645629093469</v>
      </c>
      <c r="U957" s="27">
        <f t="shared" si="43"/>
        <v>0.42758145316872415</v>
      </c>
      <c r="V957" s="19">
        <f>VLOOKUP(A957,[1]Sheet1!$A$2:$Q$1536,17,FALSE)</f>
        <v>2338.3408203125</v>
      </c>
      <c r="W957" s="27">
        <f t="shared" si="44"/>
        <v>-1.1810336438973112</v>
      </c>
    </row>
    <row r="958" spans="1:23" x14ac:dyDescent="0.3">
      <c r="A958" s="4" t="s">
        <v>857</v>
      </c>
      <c r="B958" s="5">
        <v>2017</v>
      </c>
      <c r="C958" s="5" t="s">
        <v>391</v>
      </c>
      <c r="D958" s="15" t="s">
        <v>580</v>
      </c>
      <c r="E958" s="6">
        <v>85996</v>
      </c>
      <c r="F958" s="5" t="s">
        <v>15</v>
      </c>
      <c r="G958" s="5" t="s">
        <v>28</v>
      </c>
      <c r="H958" s="5" t="s">
        <v>17</v>
      </c>
      <c r="I958" s="5" t="s">
        <v>18</v>
      </c>
      <c r="J958" s="7">
        <v>45568</v>
      </c>
      <c r="K958" s="5" t="s">
        <v>17</v>
      </c>
      <c r="L958" s="8">
        <v>44067</v>
      </c>
      <c r="M958" s="19">
        <v>235</v>
      </c>
      <c r="N958" s="19">
        <v>285</v>
      </c>
      <c r="O958" s="24">
        <v>0</v>
      </c>
      <c r="P958" s="24">
        <v>12200</v>
      </c>
      <c r="Q958" t="s">
        <v>1983</v>
      </c>
      <c r="R958" s="19">
        <f>VLOOKUP(A958,[1]Sheet1!$A$2:$Q$1536,15,FALSE)</f>
        <v>10273.0390625</v>
      </c>
      <c r="S958" s="27">
        <f t="shared" si="42"/>
        <v>-0.18757457513561362</v>
      </c>
      <c r="T958" s="19">
        <f>VLOOKUP(A958,[1]Sheet1!$A$2:$Q$1536,16,FALSE)</f>
        <v>10378.931242430341</v>
      </c>
      <c r="U958" s="27">
        <f t="shared" si="43"/>
        <v>-0.17545821578669946</v>
      </c>
      <c r="V958" s="19">
        <f>VLOOKUP(A958,[1]Sheet1!$A$2:$Q$1536,17,FALSE)</f>
        <v>10374.080078125</v>
      </c>
      <c r="W958" s="27">
        <f t="shared" si="44"/>
        <v>-0.17600788774757703</v>
      </c>
    </row>
    <row r="959" spans="1:23" x14ac:dyDescent="0.3">
      <c r="A959" s="4" t="s">
        <v>1821</v>
      </c>
      <c r="B959" s="5">
        <v>2021</v>
      </c>
      <c r="C959" s="5" t="s">
        <v>1219</v>
      </c>
      <c r="D959" s="15" t="s">
        <v>1822</v>
      </c>
      <c r="E959" s="6">
        <v>91212</v>
      </c>
      <c r="F959" s="5" t="s">
        <v>40</v>
      </c>
      <c r="G959" s="5" t="s">
        <v>28</v>
      </c>
      <c r="H959" s="5" t="s">
        <v>17</v>
      </c>
      <c r="I959" s="5" t="s">
        <v>18</v>
      </c>
      <c r="J959" s="7">
        <v>45608</v>
      </c>
      <c r="K959" s="5" t="s">
        <v>17</v>
      </c>
      <c r="L959" s="8">
        <v>44310</v>
      </c>
      <c r="M959" s="19">
        <v>235</v>
      </c>
      <c r="N959" s="19">
        <v>285</v>
      </c>
      <c r="O959" s="24">
        <v>5900</v>
      </c>
      <c r="P959" s="24">
        <v>10600</v>
      </c>
      <c r="Q959" t="s">
        <v>1983</v>
      </c>
      <c r="R959" s="19">
        <f>VLOOKUP(A959,[1]Sheet1!$A$2:$Q$1536,15,FALSE)</f>
        <v>4965.17236328125</v>
      </c>
      <c r="S959" s="27">
        <f t="shared" si="42"/>
        <v>-1.1348704988350005</v>
      </c>
      <c r="T959" s="19">
        <f>VLOOKUP(A959,[1]Sheet1!$A$2:$Q$1536,16,FALSE)</f>
        <v>11541.12377513697</v>
      </c>
      <c r="U959" s="27">
        <f t="shared" si="43"/>
        <v>8.1545245807382455E-2</v>
      </c>
      <c r="V959" s="19">
        <f>VLOOKUP(A959,[1]Sheet1!$A$2:$Q$1536,17,FALSE)</f>
        <v>4642.0361328125</v>
      </c>
      <c r="W959" s="27">
        <f t="shared" si="44"/>
        <v>-1.2834807176689749</v>
      </c>
    </row>
    <row r="960" spans="1:23" x14ac:dyDescent="0.3">
      <c r="A960" s="4" t="s">
        <v>1943</v>
      </c>
      <c r="B960" s="5">
        <v>2014</v>
      </c>
      <c r="C960" s="5" t="s">
        <v>1805</v>
      </c>
      <c r="D960" s="15" t="s">
        <v>1944</v>
      </c>
      <c r="E960" s="6">
        <v>120574</v>
      </c>
      <c r="F960" s="5" t="s">
        <v>73</v>
      </c>
      <c r="G960" s="5" t="s">
        <v>33</v>
      </c>
      <c r="H960" s="5" t="s">
        <v>17</v>
      </c>
      <c r="I960" s="5" t="s">
        <v>18</v>
      </c>
      <c r="J960" s="7">
        <v>45664</v>
      </c>
      <c r="K960" s="5" t="s">
        <v>17</v>
      </c>
      <c r="L960" s="8">
        <v>44113</v>
      </c>
      <c r="M960" s="19">
        <v>264</v>
      </c>
      <c r="N960" s="19">
        <v>314</v>
      </c>
      <c r="O960" s="24">
        <v>1200</v>
      </c>
      <c r="P960" s="24">
        <v>1700</v>
      </c>
      <c r="Q960" t="s">
        <v>1983</v>
      </c>
      <c r="R960" s="19">
        <f>VLOOKUP(A960,[1]Sheet1!$A$2:$Q$1536,15,FALSE)</f>
        <v>2032.426025390625</v>
      </c>
      <c r="S960" s="27">
        <f t="shared" si="42"/>
        <v>0.163561192996795</v>
      </c>
      <c r="T960" s="19">
        <f>VLOOKUP(A960,[1]Sheet1!$A$2:$Q$1536,16,FALSE)</f>
        <v>8863.495240996197</v>
      </c>
      <c r="U960" s="27">
        <f t="shared" si="43"/>
        <v>0.80820207448896519</v>
      </c>
      <c r="V960" s="19">
        <f>VLOOKUP(A960,[1]Sheet1!$A$2:$Q$1536,17,FALSE)</f>
        <v>1967.080444335938</v>
      </c>
      <c r="W960" s="27">
        <f t="shared" si="44"/>
        <v>0.13577504931482404</v>
      </c>
    </row>
    <row r="961" spans="1:23" x14ac:dyDescent="0.3">
      <c r="A961" s="4" t="s">
        <v>1261</v>
      </c>
      <c r="B961" s="5">
        <v>2020</v>
      </c>
      <c r="C961" s="5" t="s">
        <v>30</v>
      </c>
      <c r="D961" s="15" t="s">
        <v>1260</v>
      </c>
      <c r="E961" s="6">
        <v>85366</v>
      </c>
      <c r="F961" s="5" t="s">
        <v>184</v>
      </c>
      <c r="G961" s="5" t="s">
        <v>28</v>
      </c>
      <c r="H961" s="5" t="s">
        <v>17</v>
      </c>
      <c r="I961" s="5" t="s">
        <v>18</v>
      </c>
      <c r="J961" s="7">
        <v>45622</v>
      </c>
      <c r="K961" s="5" t="s">
        <v>17</v>
      </c>
      <c r="L961" s="8">
        <v>43935</v>
      </c>
      <c r="M961" s="19">
        <v>222</v>
      </c>
      <c r="N961" s="19">
        <v>272</v>
      </c>
      <c r="O961" s="24">
        <v>17200</v>
      </c>
      <c r="P961" s="24">
        <v>28500</v>
      </c>
      <c r="Q961" t="s">
        <v>1983</v>
      </c>
      <c r="R961" s="19">
        <f>VLOOKUP(A961,[1]Sheet1!$A$2:$Q$1536,15,FALSE)</f>
        <v>13129.58984375</v>
      </c>
      <c r="S961" s="27">
        <f t="shared" si="42"/>
        <v>-1.1706694831420559</v>
      </c>
      <c r="T961" s="19">
        <f>VLOOKUP(A961,[1]Sheet1!$A$2:$Q$1536,16,FALSE)</f>
        <v>11434.599889281621</v>
      </c>
      <c r="U961" s="27">
        <f t="shared" si="43"/>
        <v>-1.4924352645443122</v>
      </c>
      <c r="V961" s="19">
        <f>VLOOKUP(A961,[1]Sheet1!$A$2:$Q$1536,17,FALSE)</f>
        <v>13321.9248046875</v>
      </c>
      <c r="W961" s="27">
        <f t="shared" si="44"/>
        <v>-1.1393304959934836</v>
      </c>
    </row>
    <row r="962" spans="1:23" x14ac:dyDescent="0.3">
      <c r="A962" s="4" t="s">
        <v>1451</v>
      </c>
      <c r="B962" s="5">
        <v>2011</v>
      </c>
      <c r="C962" s="5" t="s">
        <v>1086</v>
      </c>
      <c r="D962" s="15" t="s">
        <v>1439</v>
      </c>
      <c r="E962" s="6">
        <v>147208</v>
      </c>
      <c r="F962" s="5" t="s">
        <v>61</v>
      </c>
      <c r="G962" s="5" t="s">
        <v>25</v>
      </c>
      <c r="H962" s="5" t="s">
        <v>18</v>
      </c>
      <c r="I962" s="5" t="s">
        <v>17</v>
      </c>
      <c r="J962" s="7">
        <v>45622</v>
      </c>
      <c r="K962" s="5" t="s">
        <v>17</v>
      </c>
      <c r="L962" s="8">
        <v>44113</v>
      </c>
      <c r="M962" s="19">
        <v>264</v>
      </c>
      <c r="N962" s="19">
        <v>314</v>
      </c>
      <c r="O962" s="24">
        <v>2100</v>
      </c>
      <c r="P962" s="24">
        <v>3200</v>
      </c>
      <c r="Q962" t="s">
        <v>1983</v>
      </c>
      <c r="R962" s="19">
        <f>VLOOKUP(A962,[1]Sheet1!$A$2:$Q$1536,15,FALSE)</f>
        <v>318.48287963867188</v>
      </c>
      <c r="S962" s="27">
        <f t="shared" si="42"/>
        <v>-9.0476358529240049</v>
      </c>
      <c r="T962" s="19">
        <f>VLOOKUP(A962,[1]Sheet1!$A$2:$Q$1536,16,FALSE)</f>
        <v>8591.4305248377295</v>
      </c>
      <c r="U962" s="27">
        <f t="shared" si="43"/>
        <v>0.62753583460299933</v>
      </c>
      <c r="V962" s="19">
        <f>VLOOKUP(A962,[1]Sheet1!$A$2:$Q$1536,17,FALSE)</f>
        <v>820.78350830078125</v>
      </c>
      <c r="W962" s="27">
        <f t="shared" si="44"/>
        <v>-2.8987138114224145</v>
      </c>
    </row>
    <row r="963" spans="1:23" x14ac:dyDescent="0.3">
      <c r="A963" s="4" t="s">
        <v>751</v>
      </c>
      <c r="B963" s="5">
        <v>2016</v>
      </c>
      <c r="C963" s="5" t="s">
        <v>83</v>
      </c>
      <c r="D963" s="15" t="s">
        <v>744</v>
      </c>
      <c r="E963" s="6">
        <v>129116</v>
      </c>
      <c r="F963" s="5" t="s">
        <v>77</v>
      </c>
      <c r="G963" s="5" t="s">
        <v>25</v>
      </c>
      <c r="H963" s="5" t="s">
        <v>18</v>
      </c>
      <c r="I963" s="5" t="s">
        <v>17</v>
      </c>
      <c r="J963" s="7">
        <v>45722</v>
      </c>
      <c r="K963" s="5" t="s">
        <v>17</v>
      </c>
      <c r="L963" s="8">
        <v>43608</v>
      </c>
      <c r="M963" s="19">
        <v>264</v>
      </c>
      <c r="N963" s="19">
        <v>314</v>
      </c>
      <c r="O963" s="24">
        <v>2800</v>
      </c>
      <c r="P963" s="24">
        <v>3700</v>
      </c>
      <c r="Q963" t="s">
        <v>1983</v>
      </c>
      <c r="R963" s="19">
        <f>VLOOKUP(A963,[1]Sheet1!$A$2:$Q$1536,15,FALSE)</f>
        <v>5920.92919921875</v>
      </c>
      <c r="S963" s="27">
        <f t="shared" ref="S963:S1026" si="45">(R963-$P963)/R963</f>
        <v>0.37509808418445462</v>
      </c>
      <c r="T963" s="19">
        <f>VLOOKUP(A963,[1]Sheet1!$A$2:$Q$1536,16,FALSE)</f>
        <v>9016.2490365439862</v>
      </c>
      <c r="U963" s="27">
        <f t="shared" ref="U963:U1026" si="46">(T963-$P963)/T963</f>
        <v>0.58962979116887337</v>
      </c>
      <c r="V963" s="19">
        <f>VLOOKUP(A963,[1]Sheet1!$A$2:$Q$1536,17,FALSE)</f>
        <v>6037.7666015625</v>
      </c>
      <c r="W963" s="27">
        <f t="shared" ref="W963:W1026" si="47">(V963-$P963)/V963</f>
        <v>0.38719062127335541</v>
      </c>
    </row>
    <row r="964" spans="1:23" x14ac:dyDescent="0.3">
      <c r="A964" s="4" t="s">
        <v>905</v>
      </c>
      <c r="B964" s="5">
        <v>2015</v>
      </c>
      <c r="C964" s="5" t="s">
        <v>30</v>
      </c>
      <c r="D964" s="15" t="s">
        <v>31</v>
      </c>
      <c r="E964" s="6">
        <v>100211</v>
      </c>
      <c r="F964" s="5" t="s">
        <v>24</v>
      </c>
      <c r="G964" s="5" t="s">
        <v>28</v>
      </c>
      <c r="H964" s="5" t="s">
        <v>17</v>
      </c>
      <c r="I964" s="5" t="s">
        <v>18</v>
      </c>
      <c r="J964" s="7">
        <v>45454</v>
      </c>
      <c r="K964" s="5" t="s">
        <v>17</v>
      </c>
      <c r="L964" s="8">
        <v>44307</v>
      </c>
      <c r="M964" s="19">
        <v>235</v>
      </c>
      <c r="N964" s="19">
        <v>285</v>
      </c>
      <c r="O964" s="24">
        <v>8500</v>
      </c>
      <c r="P964" s="24">
        <v>8600</v>
      </c>
      <c r="Q964" t="s">
        <v>1983</v>
      </c>
      <c r="R964" s="19">
        <f>VLOOKUP(A964,[1]Sheet1!$A$2:$Q$1536,15,FALSE)</f>
        <v>5525.79052734375</v>
      </c>
      <c r="S964" s="27">
        <f t="shared" si="45"/>
        <v>-0.55633840216053643</v>
      </c>
      <c r="T964" s="19">
        <f>VLOOKUP(A964,[1]Sheet1!$A$2:$Q$1536,16,FALSE)</f>
        <v>9188.6138839878149</v>
      </c>
      <c r="U964" s="27">
        <f t="shared" si="46"/>
        <v>6.4059050844822232E-2</v>
      </c>
      <c r="V964" s="19">
        <f>VLOOKUP(A964,[1]Sheet1!$A$2:$Q$1536,17,FALSE)</f>
        <v>5562.216796875</v>
      </c>
      <c r="W964" s="27">
        <f t="shared" si="47"/>
        <v>-0.54614613454687821</v>
      </c>
    </row>
    <row r="965" spans="1:23" x14ac:dyDescent="0.3">
      <c r="A965" s="4" t="s">
        <v>203</v>
      </c>
      <c r="B965" s="5">
        <v>2019</v>
      </c>
      <c r="C965" s="5" t="s">
        <v>96</v>
      </c>
      <c r="D965" s="15" t="s">
        <v>154</v>
      </c>
      <c r="E965" s="6">
        <v>136212</v>
      </c>
      <c r="F965" s="5" t="s">
        <v>144</v>
      </c>
      <c r="G965" s="5" t="s">
        <v>22</v>
      </c>
      <c r="H965" s="5" t="s">
        <v>18</v>
      </c>
      <c r="I965" s="5" t="s">
        <v>17</v>
      </c>
      <c r="J965" s="7">
        <v>45566</v>
      </c>
      <c r="K965" s="5" t="s">
        <v>17</v>
      </c>
      <c r="L965" s="8">
        <v>44135</v>
      </c>
      <c r="M965" s="19">
        <v>235</v>
      </c>
      <c r="N965" s="19">
        <v>285</v>
      </c>
      <c r="O965" s="24">
        <v>3000</v>
      </c>
      <c r="P965" s="24">
        <v>16300</v>
      </c>
      <c r="Q965" t="s">
        <v>1983</v>
      </c>
      <c r="R965" s="19">
        <f>VLOOKUP(A965,[1]Sheet1!$A$2:$Q$1536,15,FALSE)</f>
        <v>4280.4609375</v>
      </c>
      <c r="S965" s="27">
        <f t="shared" si="45"/>
        <v>-2.8080011096935751</v>
      </c>
      <c r="T965" s="19">
        <f>VLOOKUP(A965,[1]Sheet1!$A$2:$Q$1536,16,FALSE)</f>
        <v>9318.1398745700171</v>
      </c>
      <c r="U965" s="27">
        <f t="shared" si="46"/>
        <v>-0.74927616663965979</v>
      </c>
      <c r="V965" s="19">
        <f>VLOOKUP(A965,[1]Sheet1!$A$2:$Q$1536,17,FALSE)</f>
        <v>4277.6435546875</v>
      </c>
      <c r="W965" s="27">
        <f t="shared" si="47"/>
        <v>-2.8105091720740121</v>
      </c>
    </row>
    <row r="966" spans="1:23" x14ac:dyDescent="0.3">
      <c r="A966" s="4" t="s">
        <v>411</v>
      </c>
      <c r="B966" s="5">
        <v>2015</v>
      </c>
      <c r="C966" s="5" t="s">
        <v>391</v>
      </c>
      <c r="D966" s="15" t="s">
        <v>394</v>
      </c>
      <c r="E966" s="6">
        <v>58830</v>
      </c>
      <c r="F966" s="5" t="s">
        <v>40</v>
      </c>
      <c r="G966" s="5" t="s">
        <v>25</v>
      </c>
      <c r="H966" s="5" t="s">
        <v>18</v>
      </c>
      <c r="I966" s="5" t="s">
        <v>17</v>
      </c>
      <c r="J966" s="7">
        <v>45496</v>
      </c>
      <c r="K966" s="5" t="s">
        <v>17</v>
      </c>
      <c r="L966" s="8">
        <v>44451</v>
      </c>
      <c r="M966" s="19">
        <v>264</v>
      </c>
      <c r="N966" s="19">
        <v>314</v>
      </c>
      <c r="O966" s="24">
        <v>8900</v>
      </c>
      <c r="P966" s="24">
        <v>9800</v>
      </c>
      <c r="Q966" t="s">
        <v>1983</v>
      </c>
      <c r="R966" s="19">
        <f>VLOOKUP(A966,[1]Sheet1!$A$2:$Q$1536,15,FALSE)</f>
        <v>4634.90478515625</v>
      </c>
      <c r="S966" s="27">
        <f t="shared" si="45"/>
        <v>-1.1143907921011642</v>
      </c>
      <c r="T966" s="19">
        <f>VLOOKUP(A966,[1]Sheet1!$A$2:$Q$1536,16,FALSE)</f>
        <v>11436.294312615801</v>
      </c>
      <c r="U966" s="27">
        <f t="shared" si="46"/>
        <v>0.14307906633801332</v>
      </c>
      <c r="V966" s="19">
        <f>VLOOKUP(A966,[1]Sheet1!$A$2:$Q$1536,17,FALSE)</f>
        <v>4379.19921875</v>
      </c>
      <c r="W966" s="27">
        <f t="shared" si="47"/>
        <v>-1.2378520616372679</v>
      </c>
    </row>
    <row r="967" spans="1:23" x14ac:dyDescent="0.3">
      <c r="A967" s="4" t="s">
        <v>308</v>
      </c>
      <c r="B967" s="5">
        <v>2014</v>
      </c>
      <c r="C967" s="5" t="s">
        <v>237</v>
      </c>
      <c r="D967" s="15" t="s">
        <v>306</v>
      </c>
      <c r="E967" s="6">
        <v>107554</v>
      </c>
      <c r="F967" s="5" t="s">
        <v>132</v>
      </c>
      <c r="G967" s="5" t="s">
        <v>28</v>
      </c>
      <c r="H967" s="5" t="s">
        <v>17</v>
      </c>
      <c r="I967" s="5" t="s">
        <v>18</v>
      </c>
      <c r="J967" s="7">
        <v>45449</v>
      </c>
      <c r="K967" s="5" t="s">
        <v>17</v>
      </c>
      <c r="L967" s="8">
        <v>44307</v>
      </c>
      <c r="M967" s="19">
        <v>235</v>
      </c>
      <c r="N967" s="19">
        <v>285</v>
      </c>
      <c r="O967" s="24">
        <v>0</v>
      </c>
      <c r="P967" s="24">
        <v>3200</v>
      </c>
      <c r="Q967" t="s">
        <v>1983</v>
      </c>
      <c r="R967" s="19">
        <f>VLOOKUP(A967,[1]Sheet1!$A$2:$Q$1536,15,FALSE)</f>
        <v>2616.587158203125</v>
      </c>
      <c r="S967" s="27">
        <f t="shared" si="45"/>
        <v>-0.22296709665024841</v>
      </c>
      <c r="T967" s="19">
        <f>VLOOKUP(A967,[1]Sheet1!$A$2:$Q$1536,16,FALSE)</f>
        <v>9187.9895732270325</v>
      </c>
      <c r="U967" s="27">
        <f t="shared" si="46"/>
        <v>0.65171923906786866</v>
      </c>
      <c r="V967" s="19">
        <f>VLOOKUP(A967,[1]Sheet1!$A$2:$Q$1536,17,FALSE)</f>
        <v>2505.3798828125</v>
      </c>
      <c r="W967" s="27">
        <f t="shared" si="47"/>
        <v>-0.27725141482645355</v>
      </c>
    </row>
    <row r="968" spans="1:23" x14ac:dyDescent="0.3">
      <c r="A968" s="4" t="s">
        <v>581</v>
      </c>
      <c r="B968" s="5">
        <v>2013</v>
      </c>
      <c r="C968" s="5" t="s">
        <v>391</v>
      </c>
      <c r="D968" s="15" t="s">
        <v>582</v>
      </c>
      <c r="E968" s="6">
        <v>110232</v>
      </c>
      <c r="F968" s="5" t="s">
        <v>40</v>
      </c>
      <c r="G968" s="5" t="s">
        <v>28</v>
      </c>
      <c r="H968" s="5" t="s">
        <v>17</v>
      </c>
      <c r="I968" s="5" t="s">
        <v>18</v>
      </c>
      <c r="J968" s="7">
        <v>45566</v>
      </c>
      <c r="K968" s="5" t="s">
        <v>17</v>
      </c>
      <c r="L968" s="8">
        <v>44054</v>
      </c>
      <c r="M968" s="19">
        <v>235</v>
      </c>
      <c r="N968" s="19">
        <v>285</v>
      </c>
      <c r="O968" s="24">
        <v>4100</v>
      </c>
      <c r="P968" s="24">
        <v>9000</v>
      </c>
      <c r="Q968" t="s">
        <v>1983</v>
      </c>
      <c r="R968" s="19">
        <f>VLOOKUP(A968,[1]Sheet1!$A$2:$Q$1536,15,FALSE)</f>
        <v>1776.082275390625</v>
      </c>
      <c r="S968" s="27">
        <f t="shared" si="45"/>
        <v>-4.0673328171244618</v>
      </c>
      <c r="T968" s="19">
        <f>VLOOKUP(A968,[1]Sheet1!$A$2:$Q$1536,16,FALSE)</f>
        <v>9351.5204961652526</v>
      </c>
      <c r="U968" s="27">
        <f t="shared" si="46"/>
        <v>3.7589662163431008E-2</v>
      </c>
      <c r="V968" s="19">
        <f>VLOOKUP(A968,[1]Sheet1!$A$2:$Q$1536,17,FALSE)</f>
        <v>1745.0400390625</v>
      </c>
      <c r="W968" s="27">
        <f t="shared" si="47"/>
        <v>-4.1574747848393967</v>
      </c>
    </row>
    <row r="969" spans="1:23" x14ac:dyDescent="0.3">
      <c r="A969" s="4" t="s">
        <v>321</v>
      </c>
      <c r="B969" s="5">
        <v>2019</v>
      </c>
      <c r="C969" s="5" t="s">
        <v>237</v>
      </c>
      <c r="D969" s="15" t="s">
        <v>306</v>
      </c>
      <c r="E969" s="6">
        <v>68151</v>
      </c>
      <c r="F969" s="5" t="s">
        <v>246</v>
      </c>
      <c r="G969" s="5" t="s">
        <v>16</v>
      </c>
      <c r="H969" s="5" t="s">
        <v>17</v>
      </c>
      <c r="I969" s="5" t="s">
        <v>18</v>
      </c>
      <c r="J969" s="7">
        <v>45512</v>
      </c>
      <c r="K969" s="5" t="s">
        <v>17</v>
      </c>
      <c r="L969" s="8">
        <v>43935</v>
      </c>
      <c r="M969" s="19">
        <v>222</v>
      </c>
      <c r="N969" s="19">
        <v>272</v>
      </c>
      <c r="O969" s="24">
        <v>0</v>
      </c>
      <c r="P969" s="24">
        <v>17100</v>
      </c>
      <c r="Q969" t="s">
        <v>1983</v>
      </c>
      <c r="R969" s="19">
        <f>VLOOKUP(A969,[1]Sheet1!$A$2:$Q$1536,15,FALSE)</f>
        <v>13794.06640625</v>
      </c>
      <c r="S969" s="27">
        <f t="shared" si="45"/>
        <v>-0.23966345357392968</v>
      </c>
      <c r="T969" s="19">
        <f>VLOOKUP(A969,[1]Sheet1!$A$2:$Q$1536,16,FALSE)</f>
        <v>10552.17128995305</v>
      </c>
      <c r="U969" s="27">
        <f t="shared" si="46"/>
        <v>-0.62051956228963778</v>
      </c>
      <c r="V969" s="19">
        <f>VLOOKUP(A969,[1]Sheet1!$A$2:$Q$1536,17,FALSE)</f>
        <v>13906.603515625</v>
      </c>
      <c r="W969" s="27">
        <f t="shared" si="47"/>
        <v>-0.2296316624535247</v>
      </c>
    </row>
    <row r="970" spans="1:23" x14ac:dyDescent="0.3">
      <c r="A970" s="4" t="s">
        <v>1925</v>
      </c>
      <c r="B970" s="5">
        <v>2017</v>
      </c>
      <c r="C970" s="5" t="s">
        <v>1921</v>
      </c>
      <c r="D970" s="15" t="s">
        <v>1926</v>
      </c>
      <c r="E970" s="6">
        <v>122624</v>
      </c>
      <c r="F970" s="5" t="s">
        <v>32</v>
      </c>
      <c r="G970" s="5" t="s">
        <v>25</v>
      </c>
      <c r="H970" s="5" t="s">
        <v>18</v>
      </c>
      <c r="I970" s="5" t="s">
        <v>17</v>
      </c>
      <c r="J970" s="7">
        <v>45510</v>
      </c>
      <c r="K970" s="5" t="s">
        <v>17</v>
      </c>
      <c r="L970" s="8">
        <v>44224</v>
      </c>
      <c r="M970" s="19">
        <v>235</v>
      </c>
      <c r="N970" s="19">
        <v>285</v>
      </c>
      <c r="O970" s="24">
        <v>8500</v>
      </c>
      <c r="P970" s="24">
        <v>14200</v>
      </c>
      <c r="Q970" t="s">
        <v>1983</v>
      </c>
      <c r="R970" s="19">
        <f>VLOOKUP(A970,[1]Sheet1!$A$2:$Q$1536,15,FALSE)</f>
        <v>7444.2509765625</v>
      </c>
      <c r="S970" s="27">
        <f t="shared" si="45"/>
        <v>-0.90751225942103764</v>
      </c>
      <c r="T970" s="19">
        <f>VLOOKUP(A970,[1]Sheet1!$A$2:$Q$1536,16,FALSE)</f>
        <v>11602.34785364741</v>
      </c>
      <c r="U970" s="27">
        <f t="shared" si="46"/>
        <v>-0.22389021421521765</v>
      </c>
      <c r="V970" s="19">
        <f>VLOOKUP(A970,[1]Sheet1!$A$2:$Q$1536,17,FALSE)</f>
        <v>6908.9287109375</v>
      </c>
      <c r="W970" s="27">
        <f t="shared" si="47"/>
        <v>-1.0553114084850856</v>
      </c>
    </row>
    <row r="971" spans="1:23" x14ac:dyDescent="0.3">
      <c r="A971" s="4" t="s">
        <v>330</v>
      </c>
      <c r="B971" s="5">
        <v>2013</v>
      </c>
      <c r="C971" s="5" t="s">
        <v>237</v>
      </c>
      <c r="D971" s="15" t="s">
        <v>306</v>
      </c>
      <c r="E971" s="6">
        <v>149711</v>
      </c>
      <c r="F971" s="5" t="s">
        <v>199</v>
      </c>
      <c r="G971" s="5" t="s">
        <v>22</v>
      </c>
      <c r="H971" s="5" t="s">
        <v>18</v>
      </c>
      <c r="I971" s="5" t="s">
        <v>17</v>
      </c>
      <c r="J971" s="7">
        <v>45561</v>
      </c>
      <c r="K971" s="5" t="s">
        <v>17</v>
      </c>
      <c r="L971" s="8">
        <v>43950</v>
      </c>
      <c r="M971" s="19">
        <v>264</v>
      </c>
      <c r="N971" s="19">
        <v>314</v>
      </c>
      <c r="O971" s="24"/>
      <c r="P971" s="24">
        <v>8500</v>
      </c>
      <c r="R971" s="19">
        <f>VLOOKUP(A971,[1]Sheet1!$A$2:$Q$1536,15,FALSE)</f>
        <v>4515.95556640625</v>
      </c>
      <c r="S971" s="27">
        <f t="shared" si="45"/>
        <v>-0.88221515358358826</v>
      </c>
      <c r="T971" s="19">
        <f>VLOOKUP(A971,[1]Sheet1!$A$2:$Q$1536,16,FALSE)</f>
        <v>10021.726334401899</v>
      </c>
      <c r="U971" s="27">
        <f t="shared" si="46"/>
        <v>0.15184273483683353</v>
      </c>
      <c r="V971" s="19">
        <f>VLOOKUP(A971,[1]Sheet1!$A$2:$Q$1536,17,FALSE)</f>
        <v>4386.20361328125</v>
      </c>
      <c r="W971" s="27">
        <f t="shared" si="47"/>
        <v>-0.93789453236104636</v>
      </c>
    </row>
    <row r="972" spans="1:23" x14ac:dyDescent="0.3">
      <c r="A972" s="4" t="s">
        <v>719</v>
      </c>
      <c r="B972" s="5">
        <v>2015</v>
      </c>
      <c r="C972" s="5" t="s">
        <v>46</v>
      </c>
      <c r="D972" s="15" t="s">
        <v>717</v>
      </c>
      <c r="E972" s="6">
        <v>145824</v>
      </c>
      <c r="F972" s="5" t="s">
        <v>73</v>
      </c>
      <c r="G972" s="5" t="s">
        <v>25</v>
      </c>
      <c r="H972" s="5" t="s">
        <v>18</v>
      </c>
      <c r="I972" s="5" t="s">
        <v>17</v>
      </c>
      <c r="J972" s="7">
        <v>45538</v>
      </c>
      <c r="K972" s="5" t="s">
        <v>17</v>
      </c>
      <c r="L972" s="8">
        <v>44035</v>
      </c>
      <c r="M972" s="19">
        <v>222</v>
      </c>
      <c r="N972" s="19">
        <v>272</v>
      </c>
      <c r="O972" s="24">
        <v>0</v>
      </c>
      <c r="P972" s="24">
        <v>15500</v>
      </c>
      <c r="Q972" t="s">
        <v>1983</v>
      </c>
      <c r="R972" s="19">
        <f>VLOOKUP(A972,[1]Sheet1!$A$2:$Q$1536,15,FALSE)</f>
        <v>1547.575805664062</v>
      </c>
      <c r="S972" s="27">
        <f t="shared" si="45"/>
        <v>-9.0156644626199594</v>
      </c>
      <c r="T972" s="19">
        <f>VLOOKUP(A972,[1]Sheet1!$A$2:$Q$1536,16,FALSE)</f>
        <v>8804.5100490329114</v>
      </c>
      <c r="U972" s="27">
        <f t="shared" si="46"/>
        <v>-0.76046139009206104</v>
      </c>
      <c r="V972" s="19">
        <f>VLOOKUP(A972,[1]Sheet1!$A$2:$Q$1536,17,FALSE)</f>
        <v>1524.272094726562</v>
      </c>
      <c r="W972" s="27">
        <f t="shared" si="47"/>
        <v>-9.1687881406636471</v>
      </c>
    </row>
    <row r="973" spans="1:23" x14ac:dyDescent="0.3">
      <c r="A973" s="4" t="s">
        <v>963</v>
      </c>
      <c r="B973" s="5">
        <v>2021</v>
      </c>
      <c r="C973" s="5" t="s">
        <v>96</v>
      </c>
      <c r="D973" s="15" t="s">
        <v>107</v>
      </c>
      <c r="E973" s="6">
        <v>72631</v>
      </c>
      <c r="F973" s="5" t="s">
        <v>64</v>
      </c>
      <c r="G973" s="5" t="s">
        <v>28</v>
      </c>
      <c r="H973" s="5" t="s">
        <v>17</v>
      </c>
      <c r="I973" s="5" t="s">
        <v>18</v>
      </c>
      <c r="J973" s="7">
        <v>45664</v>
      </c>
      <c r="K973" s="5" t="s">
        <v>17</v>
      </c>
      <c r="L973" s="8">
        <v>44310</v>
      </c>
      <c r="M973" s="19">
        <v>235</v>
      </c>
      <c r="N973" s="19">
        <v>285</v>
      </c>
      <c r="O973" s="24">
        <v>14300</v>
      </c>
      <c r="P973" s="24">
        <v>16000</v>
      </c>
      <c r="Q973" t="s">
        <v>1983</v>
      </c>
      <c r="R973" s="19">
        <f>VLOOKUP(A973,[1]Sheet1!$A$2:$Q$1536,15,FALSE)</f>
        <v>14668.5966796875</v>
      </c>
      <c r="S973" s="27">
        <f t="shared" si="45"/>
        <v>-9.0765555109724658E-2</v>
      </c>
      <c r="T973" s="19">
        <f>VLOOKUP(A973,[1]Sheet1!$A$2:$Q$1536,16,FALSE)</f>
        <v>11831.042132744211</v>
      </c>
      <c r="U973" s="27">
        <f t="shared" si="46"/>
        <v>-0.35237452630800487</v>
      </c>
      <c r="V973" s="19">
        <f>VLOOKUP(A973,[1]Sheet1!$A$2:$Q$1536,17,FALSE)</f>
        <v>14677.58203125</v>
      </c>
      <c r="W973" s="27">
        <f t="shared" si="47"/>
        <v>-9.0097808067735097E-2</v>
      </c>
    </row>
    <row r="974" spans="1:23" x14ac:dyDescent="0.3">
      <c r="A974" s="4" t="s">
        <v>451</v>
      </c>
      <c r="B974" s="5">
        <v>2015</v>
      </c>
      <c r="C974" s="5" t="s">
        <v>391</v>
      </c>
      <c r="D974" s="15" t="s">
        <v>413</v>
      </c>
      <c r="E974" s="6">
        <v>69099</v>
      </c>
      <c r="F974" s="5" t="s">
        <v>79</v>
      </c>
      <c r="G974" s="5" t="s">
        <v>25</v>
      </c>
      <c r="H974" s="5" t="s">
        <v>18</v>
      </c>
      <c r="I974" s="5" t="s">
        <v>17</v>
      </c>
      <c r="J974" s="7">
        <v>45323</v>
      </c>
      <c r="K974" s="5" t="s">
        <v>17</v>
      </c>
      <c r="L974" s="8">
        <v>44067</v>
      </c>
      <c r="M974" s="19">
        <v>235</v>
      </c>
      <c r="N974" s="19">
        <v>285</v>
      </c>
      <c r="O974" s="24">
        <v>3000</v>
      </c>
      <c r="P974" s="24">
        <v>7800</v>
      </c>
      <c r="Q974" t="s">
        <v>1983</v>
      </c>
      <c r="R974" s="19">
        <f>VLOOKUP(A974,[1]Sheet1!$A$2:$Q$1536,15,FALSE)</f>
        <v>4926.53125</v>
      </c>
      <c r="S974" s="27">
        <f t="shared" si="45"/>
        <v>-0.58326408667355967</v>
      </c>
      <c r="T974" s="19">
        <f>VLOOKUP(A974,[1]Sheet1!$A$2:$Q$1536,16,FALSE)</f>
        <v>9728.9952369569164</v>
      </c>
      <c r="U974" s="27">
        <f t="shared" si="46"/>
        <v>0.19827281132067623</v>
      </c>
      <c r="V974" s="19">
        <f>VLOOKUP(A974,[1]Sheet1!$A$2:$Q$1536,17,FALSE)</f>
        <v>4913.08251953125</v>
      </c>
      <c r="W974" s="27">
        <f t="shared" si="47"/>
        <v>-0.58759800369568926</v>
      </c>
    </row>
    <row r="975" spans="1:23" x14ac:dyDescent="0.3">
      <c r="A975" s="4" t="s">
        <v>1684</v>
      </c>
      <c r="B975" s="5">
        <v>2019</v>
      </c>
      <c r="C975" s="5" t="s">
        <v>1089</v>
      </c>
      <c r="D975" s="15" t="s">
        <v>1682</v>
      </c>
      <c r="E975" s="6">
        <v>94572</v>
      </c>
      <c r="F975" s="5" t="s">
        <v>32</v>
      </c>
      <c r="G975" s="5" t="s">
        <v>25</v>
      </c>
      <c r="H975" s="5" t="s">
        <v>18</v>
      </c>
      <c r="I975" s="5" t="s">
        <v>17</v>
      </c>
      <c r="J975" s="7">
        <v>45622</v>
      </c>
      <c r="K975" s="5" t="s">
        <v>17</v>
      </c>
      <c r="L975" s="8">
        <v>44128</v>
      </c>
      <c r="M975" s="19">
        <v>264</v>
      </c>
      <c r="N975" s="19">
        <v>314</v>
      </c>
      <c r="O975" s="24">
        <v>9000</v>
      </c>
      <c r="P975" s="24">
        <v>16100</v>
      </c>
      <c r="Q975" t="s">
        <v>1983</v>
      </c>
      <c r="R975" s="19">
        <f>VLOOKUP(A975,[1]Sheet1!$A$2:$Q$1536,15,FALSE)</f>
        <v>3658.391845703125</v>
      </c>
      <c r="S975" s="27">
        <f t="shared" si="45"/>
        <v>-3.4008407734972028</v>
      </c>
      <c r="T975" s="19">
        <f>VLOOKUP(A975,[1]Sheet1!$A$2:$Q$1536,16,FALSE)</f>
        <v>9087.8571745342924</v>
      </c>
      <c r="U975" s="27">
        <f t="shared" si="46"/>
        <v>-0.77159474349078827</v>
      </c>
      <c r="V975" s="19">
        <f>VLOOKUP(A975,[1]Sheet1!$A$2:$Q$1536,17,FALSE)</f>
        <v>3488.23046875</v>
      </c>
      <c r="W975" s="27">
        <f t="shared" si="47"/>
        <v>-3.6155207186666769</v>
      </c>
    </row>
    <row r="976" spans="1:23" x14ac:dyDescent="0.3">
      <c r="A976" s="4" t="s">
        <v>172</v>
      </c>
      <c r="B976" s="5">
        <v>2016</v>
      </c>
      <c r="C976" s="5" t="s">
        <v>96</v>
      </c>
      <c r="D976" s="15" t="s">
        <v>154</v>
      </c>
      <c r="E976" s="6">
        <v>118450</v>
      </c>
      <c r="F976" s="5" t="s">
        <v>81</v>
      </c>
      <c r="G976" s="5" t="s">
        <v>25</v>
      </c>
      <c r="H976" s="5" t="s">
        <v>18</v>
      </c>
      <c r="I976" s="5" t="s">
        <v>17</v>
      </c>
      <c r="J976" s="7">
        <v>45314</v>
      </c>
      <c r="K976" s="5" t="s">
        <v>17</v>
      </c>
      <c r="L976" s="8">
        <v>44113</v>
      </c>
      <c r="M976" s="19">
        <v>264</v>
      </c>
      <c r="N976" s="19">
        <v>314</v>
      </c>
      <c r="O976" s="24">
        <v>4800</v>
      </c>
      <c r="P976" s="24">
        <v>12400</v>
      </c>
      <c r="Q976" t="s">
        <v>1983</v>
      </c>
      <c r="R976" s="19">
        <f>VLOOKUP(A976,[1]Sheet1!$A$2:$Q$1536,15,FALSE)</f>
        <v>3795.771728515625</v>
      </c>
      <c r="S976" s="27">
        <f t="shared" si="45"/>
        <v>-2.2667928650306761</v>
      </c>
      <c r="T976" s="19">
        <f>VLOOKUP(A976,[1]Sheet1!$A$2:$Q$1536,16,FALSE)</f>
        <v>9276.8497161477571</v>
      </c>
      <c r="U976" s="27">
        <f t="shared" si="46"/>
        <v>-0.33666065306802678</v>
      </c>
      <c r="V976" s="19">
        <f>VLOOKUP(A976,[1]Sheet1!$A$2:$Q$1536,17,FALSE)</f>
        <v>3673.54638671875</v>
      </c>
      <c r="W976" s="27">
        <f t="shared" si="47"/>
        <v>-2.3754848025958397</v>
      </c>
    </row>
    <row r="977" spans="1:23" x14ac:dyDescent="0.3">
      <c r="A977" s="4" t="s">
        <v>553</v>
      </c>
      <c r="B977" s="5">
        <v>2014</v>
      </c>
      <c r="C977" s="5" t="s">
        <v>391</v>
      </c>
      <c r="D977" s="15" t="s">
        <v>554</v>
      </c>
      <c r="E977" s="6">
        <v>189139</v>
      </c>
      <c r="F977" s="5" t="s">
        <v>27</v>
      </c>
      <c r="G977" s="5" t="s">
        <v>25</v>
      </c>
      <c r="H977" s="5" t="s">
        <v>18</v>
      </c>
      <c r="I977" s="5" t="s">
        <v>17</v>
      </c>
      <c r="J977" s="7">
        <v>45421</v>
      </c>
      <c r="K977" s="5" t="s">
        <v>17</v>
      </c>
      <c r="L977" s="8">
        <v>44451</v>
      </c>
      <c r="M977" s="19">
        <v>264</v>
      </c>
      <c r="N977" s="19">
        <v>314</v>
      </c>
      <c r="O977" s="24">
        <v>0</v>
      </c>
      <c r="P977" s="24">
        <v>18800</v>
      </c>
      <c r="Q977" t="s">
        <v>1983</v>
      </c>
      <c r="R977" s="19">
        <f>VLOOKUP(A977,[1]Sheet1!$A$2:$Q$1536,15,FALSE)</f>
        <v>1972.926391601562</v>
      </c>
      <c r="S977" s="27">
        <f t="shared" si="45"/>
        <v>-8.5289921002773585</v>
      </c>
      <c r="T977" s="19">
        <f>VLOOKUP(A977,[1]Sheet1!$A$2:$Q$1536,16,FALSE)</f>
        <v>9294.9745531640274</v>
      </c>
      <c r="U977" s="27">
        <f t="shared" si="46"/>
        <v>-1.0225983290723957</v>
      </c>
      <c r="V977" s="19">
        <f>VLOOKUP(A977,[1]Sheet1!$A$2:$Q$1536,17,FALSE)</f>
        <v>1960.711547851562</v>
      </c>
      <c r="W977" s="27">
        <f t="shared" si="47"/>
        <v>-8.5883558295966527</v>
      </c>
    </row>
    <row r="978" spans="1:23" x14ac:dyDescent="0.3">
      <c r="A978" s="4" t="s">
        <v>1719</v>
      </c>
      <c r="B978" s="5">
        <v>2012</v>
      </c>
      <c r="C978" s="5" t="s">
        <v>1089</v>
      </c>
      <c r="D978" s="15" t="s">
        <v>1720</v>
      </c>
      <c r="E978" s="6">
        <v>86381</v>
      </c>
      <c r="F978" s="5" t="s">
        <v>21</v>
      </c>
      <c r="G978" s="5" t="s">
        <v>25</v>
      </c>
      <c r="H978" s="5" t="s">
        <v>18</v>
      </c>
      <c r="I978" s="5" t="s">
        <v>17</v>
      </c>
      <c r="J978" s="7">
        <v>45370</v>
      </c>
      <c r="K978" s="5" t="s">
        <v>17</v>
      </c>
      <c r="L978" s="8">
        <v>44113</v>
      </c>
      <c r="M978" s="19">
        <v>264</v>
      </c>
      <c r="N978" s="19">
        <v>314</v>
      </c>
      <c r="O978" s="24">
        <v>2100</v>
      </c>
      <c r="P978" s="24">
        <v>2700</v>
      </c>
      <c r="Q978" t="s">
        <v>1983</v>
      </c>
      <c r="R978" s="19">
        <f>VLOOKUP(A978,[1]Sheet1!$A$2:$Q$1536,15,FALSE)</f>
        <v>1909.953491210938</v>
      </c>
      <c r="S978" s="27">
        <f t="shared" si="45"/>
        <v>-0.41364698796312638</v>
      </c>
      <c r="T978" s="19">
        <f>VLOOKUP(A978,[1]Sheet1!$A$2:$Q$1536,16,FALSE)</f>
        <v>8843.8345295024137</v>
      </c>
      <c r="U978" s="27">
        <f t="shared" si="46"/>
        <v>0.69470256470844305</v>
      </c>
      <c r="V978" s="19">
        <f>VLOOKUP(A978,[1]Sheet1!$A$2:$Q$1536,17,FALSE)</f>
        <v>1778.49755859375</v>
      </c>
      <c r="W978" s="27">
        <f t="shared" si="47"/>
        <v>-0.51813534235879288</v>
      </c>
    </row>
    <row r="979" spans="1:23" x14ac:dyDescent="0.3">
      <c r="A979" s="4" t="s">
        <v>635</v>
      </c>
      <c r="B979" s="5">
        <v>2012</v>
      </c>
      <c r="C979" s="5" t="s">
        <v>636</v>
      </c>
      <c r="D979" s="15" t="s">
        <v>637</v>
      </c>
      <c r="E979" s="6">
        <v>153858</v>
      </c>
      <c r="F979" s="5" t="s">
        <v>79</v>
      </c>
      <c r="G979" s="5" t="s">
        <v>22</v>
      </c>
      <c r="H979" s="5" t="s">
        <v>18</v>
      </c>
      <c r="I979" s="5" t="s">
        <v>17</v>
      </c>
      <c r="J979" s="7">
        <v>45302</v>
      </c>
      <c r="K979" s="5" t="s">
        <v>17</v>
      </c>
      <c r="L979" s="8">
        <v>44451</v>
      </c>
      <c r="M979" s="19">
        <v>264</v>
      </c>
      <c r="N979" s="19">
        <v>314</v>
      </c>
      <c r="O979" s="24">
        <v>900</v>
      </c>
      <c r="P979" s="24">
        <v>5600</v>
      </c>
      <c r="Q979" t="s">
        <v>1983</v>
      </c>
      <c r="R979" s="19">
        <f>VLOOKUP(A979,[1]Sheet1!$A$2:$Q$1536,15,FALSE)</f>
        <v>1007.454162597656</v>
      </c>
      <c r="S979" s="27">
        <f t="shared" si="45"/>
        <v>-4.5585655485910728</v>
      </c>
      <c r="T979" s="19">
        <f>VLOOKUP(A979,[1]Sheet1!$A$2:$Q$1536,16,FALSE)</f>
        <v>8805.6449313983467</v>
      </c>
      <c r="U979" s="27">
        <f t="shared" si="46"/>
        <v>0.36404430980040509</v>
      </c>
      <c r="V979" s="19">
        <f>VLOOKUP(A979,[1]Sheet1!$A$2:$Q$1536,17,FALSE)</f>
        <v>1174.935546875</v>
      </c>
      <c r="W979" s="27">
        <f t="shared" si="47"/>
        <v>-3.766218891661278</v>
      </c>
    </row>
    <row r="980" spans="1:23" x14ac:dyDescent="0.3">
      <c r="A980" s="4" t="s">
        <v>1020</v>
      </c>
      <c r="B980" s="5">
        <v>2013</v>
      </c>
      <c r="C980" s="5" t="s">
        <v>237</v>
      </c>
      <c r="D980" s="15" t="s">
        <v>238</v>
      </c>
      <c r="E980" s="6">
        <v>82908</v>
      </c>
      <c r="F980" s="5" t="s">
        <v>170</v>
      </c>
      <c r="G980" s="5" t="s">
        <v>25</v>
      </c>
      <c r="H980" s="5" t="s">
        <v>18</v>
      </c>
      <c r="I980" s="5" t="s">
        <v>17</v>
      </c>
      <c r="J980" s="7">
        <v>45407</v>
      </c>
      <c r="K980" s="5" t="s">
        <v>17</v>
      </c>
      <c r="L980" s="8">
        <v>44113</v>
      </c>
      <c r="M980" s="19">
        <v>264</v>
      </c>
      <c r="N980" s="19">
        <v>314</v>
      </c>
      <c r="O980" s="24">
        <v>0</v>
      </c>
      <c r="P980" s="24">
        <v>8000</v>
      </c>
      <c r="Q980" t="s">
        <v>1983</v>
      </c>
      <c r="R980" s="19">
        <f>VLOOKUP(A980,[1]Sheet1!$A$2:$Q$1536,15,FALSE)</f>
        <v>7041.13037109375</v>
      </c>
      <c r="S980" s="27">
        <f t="shared" si="45"/>
        <v>-0.13618120647825782</v>
      </c>
      <c r="T980" s="19">
        <f>VLOOKUP(A980,[1]Sheet1!$A$2:$Q$1536,16,FALSE)</f>
        <v>9482.7796910183588</v>
      </c>
      <c r="U980" s="27">
        <f t="shared" si="46"/>
        <v>0.15636551088735909</v>
      </c>
      <c r="V980" s="19">
        <f>VLOOKUP(A980,[1]Sheet1!$A$2:$Q$1536,17,FALSE)</f>
        <v>7060.51123046875</v>
      </c>
      <c r="W980" s="27">
        <f t="shared" si="47"/>
        <v>-0.13306242832346249</v>
      </c>
    </row>
    <row r="981" spans="1:23" x14ac:dyDescent="0.3">
      <c r="A981" s="4" t="s">
        <v>1599</v>
      </c>
      <c r="B981" s="5">
        <v>2012</v>
      </c>
      <c r="C981" s="5" t="s">
        <v>920</v>
      </c>
      <c r="D981" s="15" t="s">
        <v>1600</v>
      </c>
      <c r="E981" s="6">
        <v>138350</v>
      </c>
      <c r="F981" s="5" t="s">
        <v>170</v>
      </c>
      <c r="G981" s="5" t="s">
        <v>28</v>
      </c>
      <c r="H981" s="5" t="s">
        <v>17</v>
      </c>
      <c r="I981" s="5" t="s">
        <v>18</v>
      </c>
      <c r="J981" s="7">
        <v>45496</v>
      </c>
      <c r="K981" s="5" t="s">
        <v>17</v>
      </c>
      <c r="L981" s="8">
        <v>43608</v>
      </c>
      <c r="M981" s="19">
        <v>264</v>
      </c>
      <c r="N981" s="19">
        <v>314</v>
      </c>
      <c r="O981" s="24">
        <v>6500</v>
      </c>
      <c r="P981" s="24">
        <v>10100</v>
      </c>
      <c r="Q981" t="s">
        <v>1983</v>
      </c>
      <c r="R981" s="19">
        <f>VLOOKUP(A981,[1]Sheet1!$A$2:$Q$1536,15,FALSE)</f>
        <v>5366.6806640625</v>
      </c>
      <c r="S981" s="27">
        <f t="shared" si="45"/>
        <v>-0.88198266903297451</v>
      </c>
      <c r="T981" s="19">
        <f>VLOOKUP(A981,[1]Sheet1!$A$2:$Q$1536,16,FALSE)</f>
        <v>9440.8949053498309</v>
      </c>
      <c r="U981" s="27">
        <f t="shared" si="46"/>
        <v>-6.9813836639223359E-2</v>
      </c>
      <c r="V981" s="19">
        <f>VLOOKUP(A981,[1]Sheet1!$A$2:$Q$1536,17,FALSE)</f>
        <v>5416.919921875</v>
      </c>
      <c r="W981" s="27">
        <f t="shared" si="47"/>
        <v>-0.8645282089575379</v>
      </c>
    </row>
    <row r="982" spans="1:23" x14ac:dyDescent="0.3">
      <c r="A982" s="4" t="s">
        <v>758</v>
      </c>
      <c r="B982" s="5">
        <v>2011</v>
      </c>
      <c r="C982" s="5" t="s">
        <v>391</v>
      </c>
      <c r="D982" s="15" t="s">
        <v>590</v>
      </c>
      <c r="E982" s="6">
        <v>165613</v>
      </c>
      <c r="F982" s="5" t="s">
        <v>27</v>
      </c>
      <c r="G982" s="5" t="s">
        <v>22</v>
      </c>
      <c r="H982" s="5" t="s">
        <v>18</v>
      </c>
      <c r="I982" s="5" t="s">
        <v>17</v>
      </c>
      <c r="J982" s="7">
        <v>45568</v>
      </c>
      <c r="K982" s="5" t="s">
        <v>17</v>
      </c>
      <c r="L982" s="8">
        <v>43935</v>
      </c>
      <c r="M982" s="19">
        <v>222</v>
      </c>
      <c r="N982" s="19">
        <v>272</v>
      </c>
      <c r="O982" s="24">
        <v>0</v>
      </c>
      <c r="P982" s="24">
        <v>1000</v>
      </c>
      <c r="Q982" t="s">
        <v>1983</v>
      </c>
      <c r="R982" s="19">
        <f>VLOOKUP(A982,[1]Sheet1!$A$2:$Q$1536,15,FALSE)</f>
        <v>1260.847045898438</v>
      </c>
      <c r="S982" s="27">
        <f t="shared" si="45"/>
        <v>0.20688238652497851</v>
      </c>
      <c r="T982" s="19">
        <f>VLOOKUP(A982,[1]Sheet1!$A$2:$Q$1536,16,FALSE)</f>
        <v>9312.8227798539483</v>
      </c>
      <c r="U982" s="27">
        <f t="shared" si="46"/>
        <v>0.89262117151383369</v>
      </c>
      <c r="V982" s="19">
        <f>VLOOKUP(A982,[1]Sheet1!$A$2:$Q$1536,17,FALSE)</f>
        <v>1360.102416992188</v>
      </c>
      <c r="W982" s="27">
        <f t="shared" si="47"/>
        <v>0.26476125069209128</v>
      </c>
    </row>
    <row r="983" spans="1:23" x14ac:dyDescent="0.3">
      <c r="A983" s="4" t="s">
        <v>1407</v>
      </c>
      <c r="B983" s="5">
        <v>2016</v>
      </c>
      <c r="C983" s="5" t="s">
        <v>1401</v>
      </c>
      <c r="D983" s="15" t="s">
        <v>1405</v>
      </c>
      <c r="E983" s="6">
        <v>61010</v>
      </c>
      <c r="F983" s="5" t="s">
        <v>92</v>
      </c>
      <c r="G983" s="5" t="s">
        <v>28</v>
      </c>
      <c r="H983" s="5" t="s">
        <v>17</v>
      </c>
      <c r="I983" s="5" t="s">
        <v>18</v>
      </c>
      <c r="J983" s="7">
        <v>45370</v>
      </c>
      <c r="K983" s="5" t="s">
        <v>17</v>
      </c>
      <c r="L983" s="8">
        <v>44113</v>
      </c>
      <c r="M983" s="19">
        <v>264</v>
      </c>
      <c r="N983" s="19">
        <v>314</v>
      </c>
      <c r="O983" s="24">
        <v>13100</v>
      </c>
      <c r="P983" s="24">
        <v>14200</v>
      </c>
      <c r="Q983" t="s">
        <v>1983</v>
      </c>
      <c r="R983" s="19">
        <f>VLOOKUP(A983,[1]Sheet1!$A$2:$Q$1536,15,FALSE)</f>
        <v>12473.240234375</v>
      </c>
      <c r="S983" s="27">
        <f t="shared" si="45"/>
        <v>-0.13843714489409281</v>
      </c>
      <c r="T983" s="19">
        <f>VLOOKUP(A983,[1]Sheet1!$A$2:$Q$1536,16,FALSE)</f>
        <v>12277.58100891803</v>
      </c>
      <c r="U983" s="27">
        <f t="shared" si="46"/>
        <v>-0.15657962180706345</v>
      </c>
      <c r="V983" s="19">
        <f>VLOOKUP(A983,[1]Sheet1!$A$2:$Q$1536,17,FALSE)</f>
        <v>12433.4453125</v>
      </c>
      <c r="W983" s="27">
        <f t="shared" si="47"/>
        <v>-0.14208086681524945</v>
      </c>
    </row>
    <row r="984" spans="1:23" x14ac:dyDescent="0.3">
      <c r="A984" s="4" t="s">
        <v>567</v>
      </c>
      <c r="B984" s="5">
        <v>2011</v>
      </c>
      <c r="C984" s="5" t="s">
        <v>559</v>
      </c>
      <c r="D984" s="15" t="s">
        <v>568</v>
      </c>
      <c r="E984" s="6">
        <v>159369</v>
      </c>
      <c r="F984" s="5" t="s">
        <v>42</v>
      </c>
      <c r="G984" s="5" t="s">
        <v>25</v>
      </c>
      <c r="H984" s="5" t="s">
        <v>18</v>
      </c>
      <c r="I984" s="5" t="s">
        <v>17</v>
      </c>
      <c r="J984" s="7">
        <v>45659</v>
      </c>
      <c r="K984" s="5" t="s">
        <v>17</v>
      </c>
      <c r="L984" s="8">
        <v>44113</v>
      </c>
      <c r="M984" s="19">
        <v>264</v>
      </c>
      <c r="N984" s="19">
        <v>314</v>
      </c>
      <c r="O984" s="24">
        <v>0</v>
      </c>
      <c r="P984" s="24">
        <v>500</v>
      </c>
      <c r="Q984" t="s">
        <v>1983</v>
      </c>
      <c r="R984" s="19">
        <f>VLOOKUP(A984,[1]Sheet1!$A$2:$Q$1536,15,FALSE)</f>
        <v>2071.574951171875</v>
      </c>
      <c r="S984" s="27">
        <f t="shared" si="45"/>
        <v>0.75863774578025589</v>
      </c>
      <c r="T984" s="19">
        <f>VLOOKUP(A984,[1]Sheet1!$A$2:$Q$1536,16,FALSE)</f>
        <v>10176.77073672368</v>
      </c>
      <c r="U984" s="27">
        <f t="shared" si="46"/>
        <v>0.9508685011252429</v>
      </c>
      <c r="V984" s="19">
        <f>VLOOKUP(A984,[1]Sheet1!$A$2:$Q$1536,17,FALSE)</f>
        <v>2008.268432617188</v>
      </c>
      <c r="W984" s="27">
        <f t="shared" si="47"/>
        <v>0.75102929873353785</v>
      </c>
    </row>
    <row r="985" spans="1:23" x14ac:dyDescent="0.3">
      <c r="A985" s="4" t="s">
        <v>1454</v>
      </c>
      <c r="B985" s="5">
        <v>2016</v>
      </c>
      <c r="C985" s="5" t="s">
        <v>1086</v>
      </c>
      <c r="D985" s="15" t="s">
        <v>1436</v>
      </c>
      <c r="E985" s="6">
        <v>124895</v>
      </c>
      <c r="F985" s="5" t="s">
        <v>125</v>
      </c>
      <c r="G985" s="5" t="s">
        <v>16</v>
      </c>
      <c r="H985" s="5" t="s">
        <v>17</v>
      </c>
      <c r="I985" s="5" t="s">
        <v>18</v>
      </c>
      <c r="J985" s="7">
        <v>45554</v>
      </c>
      <c r="K985" s="5" t="s">
        <v>17</v>
      </c>
      <c r="L985" s="8">
        <v>43605</v>
      </c>
      <c r="M985" s="19">
        <v>264</v>
      </c>
      <c r="N985" s="19">
        <v>314</v>
      </c>
      <c r="O985" s="24">
        <v>0</v>
      </c>
      <c r="P985" s="24">
        <v>7600</v>
      </c>
      <c r="Q985" t="s">
        <v>1983</v>
      </c>
      <c r="R985" s="19">
        <f>VLOOKUP(A985,[1]Sheet1!$A$2:$Q$1536,15,FALSE)</f>
        <v>4998.072265625</v>
      </c>
      <c r="S985" s="27">
        <f t="shared" si="45"/>
        <v>-0.52058625727966212</v>
      </c>
      <c r="T985" s="19">
        <f>VLOOKUP(A985,[1]Sheet1!$A$2:$Q$1536,16,FALSE)</f>
        <v>9569.3454282489984</v>
      </c>
      <c r="U985" s="27">
        <f t="shared" si="46"/>
        <v>0.20579729752835871</v>
      </c>
      <c r="V985" s="19">
        <f>VLOOKUP(A985,[1]Sheet1!$A$2:$Q$1536,17,FALSE)</f>
        <v>5016.734375</v>
      </c>
      <c r="W985" s="27">
        <f t="shared" si="47"/>
        <v>-0.51492971959473144</v>
      </c>
    </row>
    <row r="986" spans="1:23" x14ac:dyDescent="0.3">
      <c r="A986" s="4" t="s">
        <v>1508</v>
      </c>
      <c r="B986" s="5">
        <v>2015</v>
      </c>
      <c r="C986" s="5" t="s">
        <v>1228</v>
      </c>
      <c r="D986" s="15" t="s">
        <v>1509</v>
      </c>
      <c r="E986" s="6">
        <v>115764</v>
      </c>
      <c r="F986" s="5" t="s">
        <v>32</v>
      </c>
      <c r="G986" s="5" t="s">
        <v>25</v>
      </c>
      <c r="H986" s="5" t="s">
        <v>18</v>
      </c>
      <c r="I986" s="5" t="s">
        <v>17</v>
      </c>
      <c r="J986" s="7">
        <v>45482</v>
      </c>
      <c r="K986" s="5" t="s">
        <v>17</v>
      </c>
      <c r="L986" s="8">
        <v>44224</v>
      </c>
      <c r="M986" s="19">
        <v>235</v>
      </c>
      <c r="N986" s="19">
        <v>285</v>
      </c>
      <c r="O986" s="24">
        <v>2300</v>
      </c>
      <c r="P986" s="24">
        <v>9200</v>
      </c>
      <c r="Q986" t="s">
        <v>1983</v>
      </c>
      <c r="R986" s="19">
        <f>VLOOKUP(A986,[1]Sheet1!$A$2:$Q$1536,15,FALSE)</f>
        <v>2428.41064453125</v>
      </c>
      <c r="S986" s="27">
        <f t="shared" si="45"/>
        <v>-2.7884861115718973</v>
      </c>
      <c r="T986" s="19">
        <f>VLOOKUP(A986,[1]Sheet1!$A$2:$Q$1536,16,FALSE)</f>
        <v>9030.5390445832945</v>
      </c>
      <c r="U986" s="27">
        <f t="shared" si="46"/>
        <v>-1.876532005233416E-2</v>
      </c>
      <c r="V986" s="19">
        <f>VLOOKUP(A986,[1]Sheet1!$A$2:$Q$1536,17,FALSE)</f>
        <v>2314.35888671875</v>
      </c>
      <c r="W986" s="27">
        <f t="shared" si="47"/>
        <v>-2.9751829557617007</v>
      </c>
    </row>
    <row r="987" spans="1:23" x14ac:dyDescent="0.3">
      <c r="A987" s="4" t="s">
        <v>1487</v>
      </c>
      <c r="B987" s="5">
        <v>2020</v>
      </c>
      <c r="C987" s="5" t="s">
        <v>30</v>
      </c>
      <c r="D987" s="15" t="s">
        <v>1274</v>
      </c>
      <c r="E987" s="6">
        <v>127441</v>
      </c>
      <c r="F987" s="5" t="s">
        <v>73</v>
      </c>
      <c r="G987" s="5" t="s">
        <v>28</v>
      </c>
      <c r="H987" s="5" t="s">
        <v>17</v>
      </c>
      <c r="I987" s="5" t="s">
        <v>18</v>
      </c>
      <c r="J987" s="7">
        <v>45594</v>
      </c>
      <c r="K987" s="5" t="s">
        <v>17</v>
      </c>
      <c r="L987" s="8">
        <v>44310</v>
      </c>
      <c r="M987" s="19">
        <v>235</v>
      </c>
      <c r="N987" s="19">
        <v>285</v>
      </c>
      <c r="O987" s="24">
        <v>13600</v>
      </c>
      <c r="P987" s="24">
        <v>25250</v>
      </c>
      <c r="Q987" t="s">
        <v>1983</v>
      </c>
      <c r="R987" s="19">
        <f>VLOOKUP(A987,[1]Sheet1!$A$2:$Q$1536,15,FALSE)</f>
        <v>7170.35693359375</v>
      </c>
      <c r="S987" s="27">
        <f t="shared" si="45"/>
        <v>-2.5214425493522561</v>
      </c>
      <c r="T987" s="19">
        <f>VLOOKUP(A987,[1]Sheet1!$A$2:$Q$1536,16,FALSE)</f>
        <v>10442.613271980719</v>
      </c>
      <c r="U987" s="27">
        <f t="shared" si="46"/>
        <v>-1.4179771233844292</v>
      </c>
      <c r="V987" s="19">
        <f>VLOOKUP(A987,[1]Sheet1!$A$2:$Q$1536,17,FALSE)</f>
        <v>7047.55908203125</v>
      </c>
      <c r="W987" s="27">
        <f t="shared" si="47"/>
        <v>-2.5828007549987699</v>
      </c>
    </row>
    <row r="988" spans="1:23" x14ac:dyDescent="0.3">
      <c r="A988" s="4" t="s">
        <v>1537</v>
      </c>
      <c r="B988" s="5">
        <v>2015</v>
      </c>
      <c r="C988" s="5" t="s">
        <v>1139</v>
      </c>
      <c r="D988" s="15" t="s">
        <v>1538</v>
      </c>
      <c r="E988" s="6">
        <v>156195</v>
      </c>
      <c r="F988" s="5" t="s">
        <v>36</v>
      </c>
      <c r="G988" s="5" t="s">
        <v>25</v>
      </c>
      <c r="H988" s="5" t="s">
        <v>18</v>
      </c>
      <c r="I988" s="5" t="s">
        <v>17</v>
      </c>
      <c r="J988" s="7">
        <v>45484</v>
      </c>
      <c r="K988" s="5" t="s">
        <v>17</v>
      </c>
      <c r="L988" s="8">
        <v>44310</v>
      </c>
      <c r="M988" s="19">
        <v>235</v>
      </c>
      <c r="N988" s="19">
        <v>285</v>
      </c>
      <c r="O988" s="24">
        <v>0</v>
      </c>
      <c r="P988" s="24">
        <v>9800</v>
      </c>
      <c r="Q988" t="s">
        <v>1983</v>
      </c>
      <c r="R988" s="19">
        <f>VLOOKUP(A988,[1]Sheet1!$A$2:$Q$1536,15,FALSE)</f>
        <v>1976.491088867188</v>
      </c>
      <c r="S988" s="27">
        <f t="shared" si="45"/>
        <v>-3.958281904330164</v>
      </c>
      <c r="T988" s="19">
        <f>VLOOKUP(A988,[1]Sheet1!$A$2:$Q$1536,16,FALSE)</f>
        <v>9082.3059769682695</v>
      </c>
      <c r="U988" s="27">
        <f t="shared" si="46"/>
        <v>-7.9021123583781883E-2</v>
      </c>
      <c r="V988" s="19">
        <f>VLOOKUP(A988,[1]Sheet1!$A$2:$Q$1536,17,FALSE)</f>
        <v>1926.197143554688</v>
      </c>
      <c r="W988" s="27">
        <f t="shared" si="47"/>
        <v>-4.0877450591140709</v>
      </c>
    </row>
    <row r="989" spans="1:23" x14ac:dyDescent="0.3">
      <c r="A989" s="4" t="s">
        <v>548</v>
      </c>
      <c r="B989" s="5">
        <v>2021</v>
      </c>
      <c r="C989" s="5" t="s">
        <v>391</v>
      </c>
      <c r="D989" s="15" t="s">
        <v>547</v>
      </c>
      <c r="E989" s="6">
        <v>83974</v>
      </c>
      <c r="F989" s="5" t="s">
        <v>92</v>
      </c>
      <c r="G989" s="5" t="s">
        <v>16</v>
      </c>
      <c r="H989" s="5" t="s">
        <v>17</v>
      </c>
      <c r="I989" s="5" t="s">
        <v>18</v>
      </c>
      <c r="J989" s="7">
        <v>45608</v>
      </c>
      <c r="K989" s="5" t="s">
        <v>17</v>
      </c>
      <c r="L989" s="8">
        <v>44028</v>
      </c>
      <c r="M989" s="19">
        <v>235</v>
      </c>
      <c r="N989" s="19">
        <v>285</v>
      </c>
      <c r="O989" s="24">
        <v>22000</v>
      </c>
      <c r="P989" s="24">
        <v>30000</v>
      </c>
      <c r="Q989" t="s">
        <v>1983</v>
      </c>
      <c r="R989" s="19">
        <f>VLOOKUP(A989,[1]Sheet1!$A$2:$Q$1536,15,FALSE)</f>
        <v>17870.822265625</v>
      </c>
      <c r="S989" s="27">
        <f t="shared" si="45"/>
        <v>-0.67871402636608358</v>
      </c>
      <c r="T989" s="19">
        <f>VLOOKUP(A989,[1]Sheet1!$A$2:$Q$1536,16,FALSE)</f>
        <v>13894.93118583969</v>
      </c>
      <c r="U989" s="27">
        <f t="shared" si="46"/>
        <v>-1.1590607106117206</v>
      </c>
      <c r="V989" s="19">
        <f>VLOOKUP(A989,[1]Sheet1!$A$2:$Q$1536,17,FALSE)</f>
        <v>17716.796875</v>
      </c>
      <c r="W989" s="27">
        <f t="shared" si="47"/>
        <v>-0.69330834527615481</v>
      </c>
    </row>
    <row r="990" spans="1:23" x14ac:dyDescent="0.3">
      <c r="A990" s="4" t="s">
        <v>1319</v>
      </c>
      <c r="B990" s="5">
        <v>2020</v>
      </c>
      <c r="C990" s="5" t="s">
        <v>1089</v>
      </c>
      <c r="D990" s="15" t="s">
        <v>1317</v>
      </c>
      <c r="E990" s="6">
        <v>66910</v>
      </c>
      <c r="F990" s="5" t="s">
        <v>64</v>
      </c>
      <c r="G990" s="5" t="s">
        <v>33</v>
      </c>
      <c r="H990" s="5" t="s">
        <v>17</v>
      </c>
      <c r="I990" s="5" t="s">
        <v>18</v>
      </c>
      <c r="J990" s="7">
        <v>45384</v>
      </c>
      <c r="K990" s="5" t="s">
        <v>17</v>
      </c>
      <c r="L990" s="8">
        <v>44028</v>
      </c>
      <c r="M990" s="19">
        <v>235</v>
      </c>
      <c r="N990" s="19">
        <v>285</v>
      </c>
      <c r="O990" s="24">
        <v>14000</v>
      </c>
      <c r="P990" s="24">
        <v>17400</v>
      </c>
      <c r="Q990" t="s">
        <v>1983</v>
      </c>
      <c r="R990" s="19">
        <f>VLOOKUP(A990,[1]Sheet1!$A$2:$Q$1536,15,FALSE)</f>
        <v>11629.607421875</v>
      </c>
      <c r="S990" s="27">
        <f t="shared" si="45"/>
        <v>-0.4961812010327224</v>
      </c>
      <c r="T990" s="19">
        <f>VLOOKUP(A990,[1]Sheet1!$A$2:$Q$1536,16,FALSE)</f>
        <v>11225.9277176175</v>
      </c>
      <c r="U990" s="27">
        <f t="shared" si="46"/>
        <v>-0.5499832564121333</v>
      </c>
      <c r="V990" s="19">
        <f>VLOOKUP(A990,[1]Sheet1!$A$2:$Q$1536,17,FALSE)</f>
        <v>11519.302734375</v>
      </c>
      <c r="W990" s="27">
        <f t="shared" si="47"/>
        <v>-0.51050809247996276</v>
      </c>
    </row>
    <row r="991" spans="1:23" x14ac:dyDescent="0.3">
      <c r="A991" s="4" t="s">
        <v>851</v>
      </c>
      <c r="B991" s="5">
        <v>2015</v>
      </c>
      <c r="C991" s="5" t="s">
        <v>391</v>
      </c>
      <c r="D991" s="15" t="s">
        <v>580</v>
      </c>
      <c r="E991" s="6">
        <v>88373</v>
      </c>
      <c r="F991" s="5" t="s">
        <v>73</v>
      </c>
      <c r="G991" s="5" t="s">
        <v>28</v>
      </c>
      <c r="H991" s="5" t="s">
        <v>17</v>
      </c>
      <c r="I991" s="5" t="s">
        <v>18</v>
      </c>
      <c r="J991" s="7">
        <v>45673</v>
      </c>
      <c r="K991" s="5" t="s">
        <v>17</v>
      </c>
      <c r="L991" s="8">
        <v>44113</v>
      </c>
      <c r="M991" s="19">
        <v>264</v>
      </c>
      <c r="N991" s="19">
        <v>314</v>
      </c>
      <c r="O991" s="24">
        <v>0</v>
      </c>
      <c r="P991" s="24">
        <v>9500</v>
      </c>
      <c r="Q991" t="s">
        <v>1983</v>
      </c>
      <c r="R991" s="19">
        <f>VLOOKUP(A991,[1]Sheet1!$A$2:$Q$1536,15,FALSE)</f>
        <v>3670.673095703125</v>
      </c>
      <c r="S991" s="27">
        <f t="shared" si="45"/>
        <v>-1.5880811917358322</v>
      </c>
      <c r="T991" s="19">
        <f>VLOOKUP(A991,[1]Sheet1!$A$2:$Q$1536,16,FALSE)</f>
        <v>9515.2706121483025</v>
      </c>
      <c r="U991" s="27">
        <f t="shared" si="46"/>
        <v>1.6048531640084119E-3</v>
      </c>
      <c r="V991" s="19">
        <f>VLOOKUP(A991,[1]Sheet1!$A$2:$Q$1536,17,FALSE)</f>
        <v>3639.544921875</v>
      </c>
      <c r="W991" s="27">
        <f t="shared" si="47"/>
        <v>-1.610216442968327</v>
      </c>
    </row>
    <row r="992" spans="1:23" x14ac:dyDescent="0.3">
      <c r="A992" s="4" t="s">
        <v>747</v>
      </c>
      <c r="B992" s="5">
        <v>2018</v>
      </c>
      <c r="C992" s="5" t="s">
        <v>83</v>
      </c>
      <c r="D992" s="15" t="s">
        <v>744</v>
      </c>
      <c r="E992" s="6">
        <v>92401</v>
      </c>
      <c r="F992" s="5" t="s">
        <v>44</v>
      </c>
      <c r="G992" s="5" t="s">
        <v>28</v>
      </c>
      <c r="H992" s="5" t="s">
        <v>17</v>
      </c>
      <c r="I992" s="5" t="s">
        <v>18</v>
      </c>
      <c r="J992" s="7">
        <v>45454</v>
      </c>
      <c r="K992" s="5" t="s">
        <v>17</v>
      </c>
      <c r="L992" s="8">
        <v>43612</v>
      </c>
      <c r="M992" s="19">
        <v>264</v>
      </c>
      <c r="N992" s="19">
        <v>314</v>
      </c>
      <c r="O992" s="24">
        <v>6500</v>
      </c>
      <c r="P992" s="24">
        <v>10000</v>
      </c>
      <c r="Q992" t="s">
        <v>1983</v>
      </c>
      <c r="R992" s="19">
        <f>VLOOKUP(A992,[1]Sheet1!$A$2:$Q$1536,15,FALSE)</f>
        <v>11595.2734375</v>
      </c>
      <c r="S992" s="27">
        <f t="shared" si="45"/>
        <v>0.13757963070890281</v>
      </c>
      <c r="T992" s="19">
        <f>VLOOKUP(A992,[1]Sheet1!$A$2:$Q$1536,16,FALSE)</f>
        <v>9292.2063624947295</v>
      </c>
      <c r="U992" s="27">
        <f t="shared" si="46"/>
        <v>-7.6170675714012578E-2</v>
      </c>
      <c r="V992" s="19">
        <f>VLOOKUP(A992,[1]Sheet1!$A$2:$Q$1536,17,FALSE)</f>
        <v>11605.4619140625</v>
      </c>
      <c r="W992" s="27">
        <f t="shared" si="47"/>
        <v>0.13833675263861228</v>
      </c>
    </row>
    <row r="993" spans="1:23" x14ac:dyDescent="0.3">
      <c r="A993" s="4" t="s">
        <v>439</v>
      </c>
      <c r="B993" s="5">
        <v>2020</v>
      </c>
      <c r="C993" s="5" t="s">
        <v>391</v>
      </c>
      <c r="D993" s="15" t="s">
        <v>432</v>
      </c>
      <c r="E993" s="6">
        <v>86345</v>
      </c>
      <c r="F993" s="5" t="s">
        <v>144</v>
      </c>
      <c r="G993" s="5" t="s">
        <v>22</v>
      </c>
      <c r="H993" s="5" t="s">
        <v>18</v>
      </c>
      <c r="I993" s="5" t="s">
        <v>17</v>
      </c>
      <c r="J993" s="7">
        <v>45407</v>
      </c>
      <c r="K993" s="5" t="s">
        <v>17</v>
      </c>
      <c r="L993" s="8">
        <v>44113</v>
      </c>
      <c r="M993" s="19">
        <v>264</v>
      </c>
      <c r="N993" s="19">
        <v>314</v>
      </c>
      <c r="O993" s="24">
        <v>2200</v>
      </c>
      <c r="P993" s="24">
        <v>9200</v>
      </c>
      <c r="Q993" t="s">
        <v>1983</v>
      </c>
      <c r="R993" s="19">
        <f>VLOOKUP(A993,[1]Sheet1!$A$2:$Q$1536,15,FALSE)</f>
        <v>6284.11376953125</v>
      </c>
      <c r="S993" s="27">
        <f t="shared" si="45"/>
        <v>-0.46400914073302246</v>
      </c>
      <c r="T993" s="19">
        <f>VLOOKUP(A993,[1]Sheet1!$A$2:$Q$1536,16,FALSE)</f>
        <v>10650.586533664669</v>
      </c>
      <c r="U993" s="27">
        <f t="shared" si="46"/>
        <v>0.13619780742399634</v>
      </c>
      <c r="V993" s="19">
        <f>VLOOKUP(A993,[1]Sheet1!$A$2:$Q$1536,17,FALSE)</f>
        <v>5960.42333984375</v>
      </c>
      <c r="W993" s="27">
        <f t="shared" si="47"/>
        <v>-0.54351452496680785</v>
      </c>
    </row>
    <row r="994" spans="1:23" x14ac:dyDescent="0.3">
      <c r="A994" s="4" t="s">
        <v>761</v>
      </c>
      <c r="B994" s="5">
        <v>2011</v>
      </c>
      <c r="C994" s="5" t="s">
        <v>571</v>
      </c>
      <c r="D994" s="15" t="s">
        <v>762</v>
      </c>
      <c r="E994" s="6">
        <v>145115</v>
      </c>
      <c r="F994" s="5" t="s">
        <v>112</v>
      </c>
      <c r="G994" s="5" t="s">
        <v>22</v>
      </c>
      <c r="H994" s="5" t="s">
        <v>18</v>
      </c>
      <c r="I994" s="5" t="s">
        <v>17</v>
      </c>
      <c r="J994" s="7">
        <v>45463</v>
      </c>
      <c r="K994" s="5" t="s">
        <v>17</v>
      </c>
      <c r="L994" s="8">
        <v>44128</v>
      </c>
      <c r="M994" s="19">
        <v>264</v>
      </c>
      <c r="N994" s="19">
        <v>314</v>
      </c>
      <c r="O994" s="24">
        <v>0</v>
      </c>
      <c r="P994" s="24">
        <v>8500</v>
      </c>
      <c r="Q994" t="s">
        <v>1983</v>
      </c>
      <c r="R994" s="19">
        <f>VLOOKUP(A994,[1]Sheet1!$A$2:$Q$1536,15,FALSE)</f>
        <v>1587.074951171875</v>
      </c>
      <c r="S994" s="27">
        <f t="shared" si="45"/>
        <v>-4.3557647001634754</v>
      </c>
      <c r="T994" s="19">
        <f>VLOOKUP(A994,[1]Sheet1!$A$2:$Q$1536,16,FALSE)</f>
        <v>9189.1399532464966</v>
      </c>
      <c r="U994" s="27">
        <f t="shared" si="46"/>
        <v>7.499504379656613E-2</v>
      </c>
      <c r="V994" s="19">
        <f>VLOOKUP(A994,[1]Sheet1!$A$2:$Q$1536,17,FALSE)</f>
        <v>1547.746704101562</v>
      </c>
      <c r="W994" s="27">
        <f t="shared" si="47"/>
        <v>-4.4918546926798921</v>
      </c>
    </row>
    <row r="995" spans="1:23" x14ac:dyDescent="0.3">
      <c r="A995" s="4" t="s">
        <v>899</v>
      </c>
      <c r="B995" s="5">
        <v>2014</v>
      </c>
      <c r="C995" s="5" t="s">
        <v>391</v>
      </c>
      <c r="D995" s="15" t="s">
        <v>900</v>
      </c>
      <c r="E995" s="6">
        <v>109455</v>
      </c>
      <c r="F995" s="5" t="s">
        <v>87</v>
      </c>
      <c r="G995" s="5" t="s">
        <v>28</v>
      </c>
      <c r="H995" s="5" t="s">
        <v>17</v>
      </c>
      <c r="I995" s="5" t="s">
        <v>18</v>
      </c>
      <c r="J995" s="7">
        <v>45701</v>
      </c>
      <c r="K995" s="5" t="s">
        <v>17</v>
      </c>
      <c r="L995" s="8">
        <v>43608</v>
      </c>
      <c r="M995" s="19">
        <v>264</v>
      </c>
      <c r="N995" s="19">
        <v>314</v>
      </c>
      <c r="O995" s="24">
        <v>0</v>
      </c>
      <c r="P995" s="24">
        <v>9500</v>
      </c>
      <c r="Q995" t="s">
        <v>1983</v>
      </c>
      <c r="R995" s="19">
        <f>VLOOKUP(A995,[1]Sheet1!$A$2:$Q$1536,15,FALSE)</f>
        <v>2306.910888671875</v>
      </c>
      <c r="S995" s="27">
        <f t="shared" si="45"/>
        <v>-3.1180611035519017</v>
      </c>
      <c r="T995" s="19">
        <f>VLOOKUP(A995,[1]Sheet1!$A$2:$Q$1536,16,FALSE)</f>
        <v>9330.2606788747144</v>
      </c>
      <c r="U995" s="27">
        <f t="shared" si="46"/>
        <v>-1.8192344990918007E-2</v>
      </c>
      <c r="V995" s="19">
        <f>VLOOKUP(A995,[1]Sheet1!$A$2:$Q$1536,17,FALSE)</f>
        <v>2215.851806640625</v>
      </c>
      <c r="W995" s="27">
        <f t="shared" si="47"/>
        <v>-3.2872903194743044</v>
      </c>
    </row>
    <row r="996" spans="1:23" x14ac:dyDescent="0.3">
      <c r="A996" s="4" t="s">
        <v>1397</v>
      </c>
      <c r="B996" s="5">
        <v>2012</v>
      </c>
      <c r="C996" s="5" t="s">
        <v>920</v>
      </c>
      <c r="D996" s="15" t="s">
        <v>1180</v>
      </c>
      <c r="E996" s="6">
        <v>109137</v>
      </c>
      <c r="F996" s="5" t="s">
        <v>47</v>
      </c>
      <c r="G996" s="5" t="s">
        <v>28</v>
      </c>
      <c r="H996" s="5" t="s">
        <v>17</v>
      </c>
      <c r="I996" s="5" t="s">
        <v>18</v>
      </c>
      <c r="J996" s="7">
        <v>45398</v>
      </c>
      <c r="K996" s="5" t="s">
        <v>17</v>
      </c>
      <c r="L996" s="8">
        <v>44451</v>
      </c>
      <c r="M996" s="19">
        <v>264</v>
      </c>
      <c r="N996" s="19">
        <v>314</v>
      </c>
      <c r="O996" s="24">
        <v>16250</v>
      </c>
      <c r="P996" s="24">
        <v>27567.1829059829</v>
      </c>
      <c r="Q996" t="s">
        <v>1983</v>
      </c>
      <c r="R996" s="19">
        <f>VLOOKUP(A996,[1]Sheet1!$A$2:$Q$1536,15,FALSE)</f>
        <v>6350.24560546875</v>
      </c>
      <c r="S996" s="27">
        <f t="shared" si="45"/>
        <v>-3.34112074062811</v>
      </c>
      <c r="T996" s="19">
        <f>VLOOKUP(A996,[1]Sheet1!$A$2:$Q$1536,16,FALSE)</f>
        <v>10680.522633760629</v>
      </c>
      <c r="U996" s="27">
        <f t="shared" si="46"/>
        <v>-1.5810705946958374</v>
      </c>
      <c r="V996" s="19">
        <f>VLOOKUP(A996,[1]Sheet1!$A$2:$Q$1536,17,FALSE)</f>
        <v>5960.42333984375</v>
      </c>
      <c r="W996" s="27">
        <f t="shared" si="47"/>
        <v>-3.6250377421523154</v>
      </c>
    </row>
    <row r="997" spans="1:23" x14ac:dyDescent="0.3">
      <c r="A997" s="4" t="s">
        <v>922</v>
      </c>
      <c r="B997" s="5">
        <v>2017</v>
      </c>
      <c r="C997" s="5" t="s">
        <v>920</v>
      </c>
      <c r="D997" s="15" t="s">
        <v>921</v>
      </c>
      <c r="E997" s="6">
        <v>84237</v>
      </c>
      <c r="F997" s="5" t="s">
        <v>251</v>
      </c>
      <c r="G997" s="5" t="s">
        <v>22</v>
      </c>
      <c r="H997" s="5" t="s">
        <v>18</v>
      </c>
      <c r="I997" s="5" t="s">
        <v>17</v>
      </c>
      <c r="J997" s="7">
        <v>45566</v>
      </c>
      <c r="K997" s="5" t="s">
        <v>17</v>
      </c>
      <c r="L997" s="8">
        <v>44067</v>
      </c>
      <c r="M997" s="19">
        <v>235</v>
      </c>
      <c r="N997" s="19">
        <v>285</v>
      </c>
      <c r="O997" s="24">
        <v>5200</v>
      </c>
      <c r="P997" s="24">
        <v>12300</v>
      </c>
      <c r="Q997" t="s">
        <v>1983</v>
      </c>
      <c r="R997" s="19">
        <f>VLOOKUP(A997,[1]Sheet1!$A$2:$Q$1536,15,FALSE)</f>
        <v>5142.5595703125</v>
      </c>
      <c r="S997" s="27">
        <f t="shared" si="45"/>
        <v>-1.3918050596840361</v>
      </c>
      <c r="T997" s="19">
        <f>VLOOKUP(A997,[1]Sheet1!$A$2:$Q$1536,16,FALSE)</f>
        <v>9566.667144385965</v>
      </c>
      <c r="U997" s="27">
        <f t="shared" si="46"/>
        <v>-0.28571422151109799</v>
      </c>
      <c r="V997" s="19">
        <f>VLOOKUP(A997,[1]Sheet1!$A$2:$Q$1536,17,FALSE)</f>
        <v>5081.0556640625</v>
      </c>
      <c r="W997" s="27">
        <f t="shared" si="47"/>
        <v>-1.4207567901678282</v>
      </c>
    </row>
    <row r="998" spans="1:23" x14ac:dyDescent="0.3">
      <c r="A998" s="4" t="s">
        <v>357</v>
      </c>
      <c r="B998" s="5">
        <v>2016</v>
      </c>
      <c r="C998" s="5" t="s">
        <v>237</v>
      </c>
      <c r="D998" s="15" t="s">
        <v>339</v>
      </c>
      <c r="E998" s="6">
        <v>110885</v>
      </c>
      <c r="F998" s="5" t="s">
        <v>42</v>
      </c>
      <c r="G998" s="5" t="s">
        <v>25</v>
      </c>
      <c r="H998" s="5" t="s">
        <v>18</v>
      </c>
      <c r="I998" s="5" t="s">
        <v>17</v>
      </c>
      <c r="J998" s="7">
        <v>45687</v>
      </c>
      <c r="K998" s="5" t="s">
        <v>17</v>
      </c>
      <c r="L998" s="8">
        <v>44128</v>
      </c>
      <c r="M998" s="19">
        <v>264</v>
      </c>
      <c r="N998" s="19">
        <v>314</v>
      </c>
      <c r="O998" s="24">
        <v>0</v>
      </c>
      <c r="P998" s="24">
        <v>6900</v>
      </c>
      <c r="Q998" t="s">
        <v>1983</v>
      </c>
      <c r="R998" s="19">
        <f>VLOOKUP(A998,[1]Sheet1!$A$2:$Q$1536,15,FALSE)</f>
        <v>3243.076904296875</v>
      </c>
      <c r="S998" s="27">
        <f t="shared" si="45"/>
        <v>-1.1276091204799767</v>
      </c>
      <c r="T998" s="19">
        <f>VLOOKUP(A998,[1]Sheet1!$A$2:$Q$1536,16,FALSE)</f>
        <v>9329.2772548248558</v>
      </c>
      <c r="U998" s="27">
        <f t="shared" si="46"/>
        <v>0.26039286736477874</v>
      </c>
      <c r="V998" s="19">
        <f>VLOOKUP(A998,[1]Sheet1!$A$2:$Q$1536,17,FALSE)</f>
        <v>3148.9013671875</v>
      </c>
      <c r="W998" s="27">
        <f t="shared" si="47"/>
        <v>-1.1912404344893355</v>
      </c>
    </row>
    <row r="999" spans="1:23" x14ac:dyDescent="0.3">
      <c r="A999" s="4" t="s">
        <v>333</v>
      </c>
      <c r="B999" s="5">
        <v>2014</v>
      </c>
      <c r="C999" s="5" t="s">
        <v>237</v>
      </c>
      <c r="D999" s="15" t="s">
        <v>306</v>
      </c>
      <c r="E999" s="6">
        <v>138360</v>
      </c>
      <c r="F999" s="5" t="s">
        <v>81</v>
      </c>
      <c r="G999" s="5" t="s">
        <v>33</v>
      </c>
      <c r="H999" s="5" t="s">
        <v>17</v>
      </c>
      <c r="I999" s="5" t="s">
        <v>18</v>
      </c>
      <c r="J999" s="7">
        <v>45603</v>
      </c>
      <c r="K999" s="5" t="s">
        <v>17</v>
      </c>
      <c r="L999" s="8">
        <v>44113</v>
      </c>
      <c r="M999" s="19">
        <v>264</v>
      </c>
      <c r="N999" s="19">
        <v>314</v>
      </c>
      <c r="O999" s="24">
        <v>0</v>
      </c>
      <c r="P999" s="24">
        <v>500</v>
      </c>
      <c r="Q999" t="s">
        <v>1983</v>
      </c>
      <c r="R999" s="19">
        <f>VLOOKUP(A999,[1]Sheet1!$A$2:$Q$1536,15,FALSE)</f>
        <v>2247.35791015625</v>
      </c>
      <c r="S999" s="27">
        <f t="shared" si="45"/>
        <v>0.77751652385211889</v>
      </c>
      <c r="T999" s="19">
        <f>VLOOKUP(A999,[1]Sheet1!$A$2:$Q$1536,16,FALSE)</f>
        <v>9301.2068014746692</v>
      </c>
      <c r="U999" s="27">
        <f t="shared" si="46"/>
        <v>0.94624353477220535</v>
      </c>
      <c r="V999" s="19">
        <f>VLOOKUP(A999,[1]Sheet1!$A$2:$Q$1536,17,FALSE)</f>
        <v>2215.851806640625</v>
      </c>
      <c r="W999" s="27">
        <f t="shared" si="47"/>
        <v>0.77435314108029973</v>
      </c>
    </row>
    <row r="1000" spans="1:23" x14ac:dyDescent="0.3">
      <c r="A1000" s="4" t="s">
        <v>1462</v>
      </c>
      <c r="B1000" s="5">
        <v>2021</v>
      </c>
      <c r="C1000" s="5" t="s">
        <v>1086</v>
      </c>
      <c r="D1000" s="15" t="s">
        <v>1439</v>
      </c>
      <c r="E1000" s="6">
        <v>64984</v>
      </c>
      <c r="F1000" s="5" t="s">
        <v>184</v>
      </c>
      <c r="G1000" s="5" t="s">
        <v>28</v>
      </c>
      <c r="H1000" s="5" t="s">
        <v>17</v>
      </c>
      <c r="I1000" s="5" t="s">
        <v>18</v>
      </c>
      <c r="J1000" s="7">
        <v>45622</v>
      </c>
      <c r="K1000" s="5" t="s">
        <v>17</v>
      </c>
      <c r="L1000" s="8">
        <v>44444</v>
      </c>
      <c r="M1000" s="19">
        <v>264</v>
      </c>
      <c r="N1000" s="19">
        <v>314</v>
      </c>
      <c r="O1000" s="24">
        <v>15900</v>
      </c>
      <c r="P1000" s="24">
        <v>18400</v>
      </c>
      <c r="Q1000" t="s">
        <v>1983</v>
      </c>
      <c r="R1000" s="19">
        <f>VLOOKUP(A1000,[1]Sheet1!$A$2:$Q$1536,15,FALSE)</f>
        <v>11859.4453125</v>
      </c>
      <c r="S1000" s="27">
        <f t="shared" si="45"/>
        <v>-0.5515059528632571</v>
      </c>
      <c r="T1000" s="19">
        <f>VLOOKUP(A1000,[1]Sheet1!$A$2:$Q$1536,16,FALSE)</f>
        <v>14064.971776486531</v>
      </c>
      <c r="U1000" s="27">
        <f t="shared" si="46"/>
        <v>-0.30821449857159766</v>
      </c>
      <c r="V1000" s="19">
        <f>VLOOKUP(A1000,[1]Sheet1!$A$2:$Q$1536,17,FALSE)</f>
        <v>11422.5673828125</v>
      </c>
      <c r="W1000" s="27">
        <f t="shared" si="47"/>
        <v>-0.61084626453475077</v>
      </c>
    </row>
    <row r="1001" spans="1:23" x14ac:dyDescent="0.3">
      <c r="A1001" s="4" t="s">
        <v>494</v>
      </c>
      <c r="B1001" s="5">
        <v>2020</v>
      </c>
      <c r="C1001" s="5" t="s">
        <v>391</v>
      </c>
      <c r="D1001" s="15" t="s">
        <v>394</v>
      </c>
      <c r="E1001" s="6">
        <v>44230</v>
      </c>
      <c r="F1001" s="5" t="s">
        <v>32</v>
      </c>
      <c r="G1001" s="5" t="s">
        <v>134</v>
      </c>
      <c r="H1001" s="5" t="s">
        <v>18</v>
      </c>
      <c r="I1001" s="5" t="s">
        <v>17</v>
      </c>
      <c r="J1001" s="7">
        <v>45328</v>
      </c>
      <c r="K1001" s="5" t="s">
        <v>17</v>
      </c>
      <c r="L1001" s="8">
        <v>43605</v>
      </c>
      <c r="M1001" s="19">
        <v>264</v>
      </c>
      <c r="N1001" s="19">
        <v>314</v>
      </c>
      <c r="O1001" s="24">
        <v>2600</v>
      </c>
      <c r="P1001" s="24">
        <v>7000</v>
      </c>
      <c r="Q1001" t="s">
        <v>1983</v>
      </c>
      <c r="R1001" s="19">
        <f>VLOOKUP(A1001,[1]Sheet1!$A$2:$Q$1536,15,FALSE)</f>
        <v>3869.301513671875</v>
      </c>
      <c r="S1001" s="27">
        <f t="shared" si="45"/>
        <v>-0.80911205168841094</v>
      </c>
      <c r="T1001" s="19">
        <f>VLOOKUP(A1001,[1]Sheet1!$A$2:$Q$1536,16,FALSE)</f>
        <v>12524.573123833639</v>
      </c>
      <c r="U1001" s="27">
        <f t="shared" si="46"/>
        <v>0.44109871603692835</v>
      </c>
      <c r="V1001" s="19">
        <f>VLOOKUP(A1001,[1]Sheet1!$A$2:$Q$1536,17,FALSE)</f>
        <v>3833.94287109375</v>
      </c>
      <c r="W1001" s="27">
        <f t="shared" si="47"/>
        <v>-0.82579663687138738</v>
      </c>
    </row>
    <row r="1002" spans="1:23" x14ac:dyDescent="0.3">
      <c r="A1002" s="4" t="s">
        <v>1453</v>
      </c>
      <c r="B1002" s="5">
        <v>2017</v>
      </c>
      <c r="C1002" s="5" t="s">
        <v>1086</v>
      </c>
      <c r="D1002" s="15" t="s">
        <v>1436</v>
      </c>
      <c r="E1002" s="6">
        <v>56400</v>
      </c>
      <c r="F1002" s="5" t="s">
        <v>219</v>
      </c>
      <c r="G1002" s="5" t="s">
        <v>134</v>
      </c>
      <c r="H1002" s="5" t="s">
        <v>18</v>
      </c>
      <c r="I1002" s="5" t="s">
        <v>17</v>
      </c>
      <c r="J1002" s="7">
        <v>45435</v>
      </c>
      <c r="K1002" s="5" t="s">
        <v>17</v>
      </c>
      <c r="L1002" s="8">
        <v>44067</v>
      </c>
      <c r="M1002" s="19">
        <v>235</v>
      </c>
      <c r="N1002" s="19">
        <v>285</v>
      </c>
      <c r="O1002" s="24">
        <v>0</v>
      </c>
      <c r="P1002" s="24">
        <v>8000</v>
      </c>
      <c r="Q1002" t="s">
        <v>1983</v>
      </c>
      <c r="R1002" s="19">
        <f>VLOOKUP(A1002,[1]Sheet1!$A$2:$Q$1536,15,FALSE)</f>
        <v>4043.2421875</v>
      </c>
      <c r="S1002" s="27">
        <f t="shared" si="45"/>
        <v>-0.97861014230921584</v>
      </c>
      <c r="T1002" s="19">
        <f>VLOOKUP(A1002,[1]Sheet1!$A$2:$Q$1536,16,FALSE)</f>
        <v>10770.50551619814</v>
      </c>
      <c r="U1002" s="27">
        <f t="shared" si="46"/>
        <v>0.25723077826119489</v>
      </c>
      <c r="V1002" s="19">
        <f>VLOOKUP(A1002,[1]Sheet1!$A$2:$Q$1536,17,FALSE)</f>
        <v>3734.36181640625</v>
      </c>
      <c r="W1002" s="27">
        <f t="shared" si="47"/>
        <v>-1.1422669771454474</v>
      </c>
    </row>
    <row r="1003" spans="1:23" x14ac:dyDescent="0.3">
      <c r="A1003" s="4" t="s">
        <v>447</v>
      </c>
      <c r="B1003" s="5">
        <v>2020</v>
      </c>
      <c r="C1003" s="5" t="s">
        <v>391</v>
      </c>
      <c r="D1003" s="15" t="s">
        <v>432</v>
      </c>
      <c r="E1003" s="6">
        <v>69590</v>
      </c>
      <c r="F1003" s="5" t="s">
        <v>246</v>
      </c>
      <c r="G1003" s="5" t="s">
        <v>16</v>
      </c>
      <c r="H1003" s="5" t="s">
        <v>17</v>
      </c>
      <c r="I1003" s="5" t="s">
        <v>18</v>
      </c>
      <c r="J1003" s="7">
        <v>45538</v>
      </c>
      <c r="K1003" s="5" t="s">
        <v>17</v>
      </c>
      <c r="L1003" s="8">
        <v>44128</v>
      </c>
      <c r="M1003" s="19">
        <v>264</v>
      </c>
      <c r="N1003" s="19">
        <v>314</v>
      </c>
      <c r="O1003" s="24">
        <v>10500</v>
      </c>
      <c r="P1003" s="24">
        <v>12900</v>
      </c>
      <c r="Q1003" t="s">
        <v>1983</v>
      </c>
      <c r="R1003" s="19">
        <f>VLOOKUP(A1003,[1]Sheet1!$A$2:$Q$1536,15,FALSE)</f>
        <v>15174.8125</v>
      </c>
      <c r="S1003" s="27">
        <f t="shared" si="45"/>
        <v>0.14990712405836976</v>
      </c>
      <c r="T1003" s="19">
        <f>VLOOKUP(A1003,[1]Sheet1!$A$2:$Q$1536,16,FALSE)</f>
        <v>11922.99000614465</v>
      </c>
      <c r="U1003" s="27">
        <f t="shared" si="46"/>
        <v>-8.1943371029568682E-2</v>
      </c>
      <c r="V1003" s="19">
        <f>VLOOKUP(A1003,[1]Sheet1!$A$2:$Q$1536,17,FALSE)</f>
        <v>15255.796875</v>
      </c>
      <c r="W1003" s="27">
        <f t="shared" si="47"/>
        <v>0.15441978510217941</v>
      </c>
    </row>
    <row r="1004" spans="1:23" x14ac:dyDescent="0.3">
      <c r="A1004" s="4" t="s">
        <v>1039</v>
      </c>
      <c r="B1004" s="5">
        <v>2019</v>
      </c>
      <c r="C1004" s="5" t="s">
        <v>571</v>
      </c>
      <c r="D1004" s="15" t="s">
        <v>826</v>
      </c>
      <c r="E1004" s="6">
        <v>144238</v>
      </c>
      <c r="F1004" s="5" t="s">
        <v>24</v>
      </c>
      <c r="G1004" s="5" t="s">
        <v>28</v>
      </c>
      <c r="H1004" s="5" t="s">
        <v>17</v>
      </c>
      <c r="I1004" s="5" t="s">
        <v>18</v>
      </c>
      <c r="J1004" s="7">
        <v>45575</v>
      </c>
      <c r="K1004" s="5" t="s">
        <v>17</v>
      </c>
      <c r="L1004" s="8">
        <v>43617</v>
      </c>
      <c r="M1004" s="19">
        <v>264</v>
      </c>
      <c r="N1004" s="19">
        <v>314</v>
      </c>
      <c r="O1004" s="24">
        <v>0</v>
      </c>
      <c r="P1004" s="24">
        <v>19900</v>
      </c>
      <c r="Q1004" t="s">
        <v>1983</v>
      </c>
      <c r="R1004" s="19">
        <f>VLOOKUP(A1004,[1]Sheet1!$A$2:$Q$1536,15,FALSE)</f>
        <v>5002.4248046875</v>
      </c>
      <c r="S1004" s="27">
        <f t="shared" si="45"/>
        <v>-2.9780707910597264</v>
      </c>
      <c r="T1004" s="19">
        <f>VLOOKUP(A1004,[1]Sheet1!$A$2:$Q$1536,16,FALSE)</f>
        <v>9397.9987413738145</v>
      </c>
      <c r="U1004" s="27">
        <f t="shared" si="46"/>
        <v>-1.1174720860934044</v>
      </c>
      <c r="V1004" s="19">
        <f>VLOOKUP(A1004,[1]Sheet1!$A$2:$Q$1536,17,FALSE)</f>
        <v>4920.083984375</v>
      </c>
      <c r="W1004" s="27">
        <f t="shared" si="47"/>
        <v>-3.044646405060889</v>
      </c>
    </row>
    <row r="1005" spans="1:23" x14ac:dyDescent="0.3">
      <c r="A1005" s="4" t="s">
        <v>808</v>
      </c>
      <c r="B1005" s="5">
        <v>2014</v>
      </c>
      <c r="C1005" s="5" t="s">
        <v>571</v>
      </c>
      <c r="D1005" s="15" t="s">
        <v>809</v>
      </c>
      <c r="E1005" s="6">
        <v>115573</v>
      </c>
      <c r="F1005" s="5" t="s">
        <v>73</v>
      </c>
      <c r="G1005" s="5" t="s">
        <v>25</v>
      </c>
      <c r="H1005" s="5" t="s">
        <v>18</v>
      </c>
      <c r="I1005" s="5" t="s">
        <v>17</v>
      </c>
      <c r="J1005" s="7">
        <v>45449</v>
      </c>
      <c r="K1005" s="5" t="s">
        <v>17</v>
      </c>
      <c r="L1005" s="8">
        <v>44135</v>
      </c>
      <c r="M1005" s="19">
        <v>235</v>
      </c>
      <c r="N1005" s="19">
        <v>285</v>
      </c>
      <c r="O1005" s="24">
        <v>0</v>
      </c>
      <c r="P1005" s="24">
        <v>5000</v>
      </c>
      <c r="Q1005" t="s">
        <v>1983</v>
      </c>
      <c r="R1005" s="19">
        <f>VLOOKUP(A1005,[1]Sheet1!$A$2:$Q$1536,15,FALSE)</f>
        <v>2654.818603515625</v>
      </c>
      <c r="S1005" s="27">
        <f t="shared" si="45"/>
        <v>-0.88336784794968093</v>
      </c>
      <c r="T1005" s="19">
        <f>VLOOKUP(A1005,[1]Sheet1!$A$2:$Q$1536,16,FALSE)</f>
        <v>9203.6418091330743</v>
      </c>
      <c r="U1005" s="27">
        <f t="shared" si="46"/>
        <v>0.45673678923072203</v>
      </c>
      <c r="V1005" s="19">
        <f>VLOOKUP(A1005,[1]Sheet1!$A$2:$Q$1536,17,FALSE)</f>
        <v>2505.3798828125</v>
      </c>
      <c r="W1005" s="27">
        <f t="shared" si="47"/>
        <v>-0.99570533566633368</v>
      </c>
    </row>
    <row r="1006" spans="1:23" x14ac:dyDescent="0.3">
      <c r="A1006" s="4" t="s">
        <v>1042</v>
      </c>
      <c r="B1006" s="5">
        <v>2020</v>
      </c>
      <c r="C1006" s="5" t="s">
        <v>391</v>
      </c>
      <c r="D1006" s="15" t="s">
        <v>582</v>
      </c>
      <c r="E1006" s="6">
        <v>71917</v>
      </c>
      <c r="F1006" s="5" t="s">
        <v>115</v>
      </c>
      <c r="G1006" s="5" t="s">
        <v>28</v>
      </c>
      <c r="H1006" s="5" t="s">
        <v>17</v>
      </c>
      <c r="I1006" s="5" t="s">
        <v>18</v>
      </c>
      <c r="J1006" s="7">
        <v>45664</v>
      </c>
      <c r="K1006" s="5" t="s">
        <v>17</v>
      </c>
      <c r="L1006" s="8">
        <v>44054</v>
      </c>
      <c r="M1006" s="19">
        <v>235</v>
      </c>
      <c r="N1006" s="19">
        <v>285</v>
      </c>
      <c r="O1006" s="24">
        <v>12250</v>
      </c>
      <c r="P1006" s="24">
        <v>12500</v>
      </c>
      <c r="Q1006" t="s">
        <v>1983</v>
      </c>
      <c r="R1006" s="19">
        <f>VLOOKUP(A1006,[1]Sheet1!$A$2:$Q$1536,15,FALSE)</f>
        <v>13033.193359375</v>
      </c>
      <c r="S1006" s="27">
        <f t="shared" si="45"/>
        <v>4.0910415787813417E-2</v>
      </c>
      <c r="T1006" s="19">
        <f>VLOOKUP(A1006,[1]Sheet1!$A$2:$Q$1536,16,FALSE)</f>
        <v>11827.978521104231</v>
      </c>
      <c r="U1006" s="27">
        <f t="shared" si="46"/>
        <v>-5.6816257968063243E-2</v>
      </c>
      <c r="V1006" s="19">
        <f>VLOOKUP(A1006,[1]Sheet1!$A$2:$Q$1536,17,FALSE)</f>
        <v>13033.455078125</v>
      </c>
      <c r="W1006" s="27">
        <f t="shared" si="47"/>
        <v>4.0929674819713512E-2</v>
      </c>
    </row>
    <row r="1007" spans="1:23" x14ac:dyDescent="0.3">
      <c r="A1007" s="4" t="s">
        <v>1811</v>
      </c>
      <c r="B1007" s="5">
        <v>2021</v>
      </c>
      <c r="C1007" s="5" t="s">
        <v>237</v>
      </c>
      <c r="D1007" s="15" t="s">
        <v>1808</v>
      </c>
      <c r="E1007" s="6">
        <v>53715</v>
      </c>
      <c r="F1007" s="5" t="s">
        <v>81</v>
      </c>
      <c r="G1007" s="5" t="s">
        <v>22</v>
      </c>
      <c r="H1007" s="5" t="s">
        <v>18</v>
      </c>
      <c r="I1007" s="5" t="s">
        <v>17</v>
      </c>
      <c r="J1007" s="7">
        <v>45720</v>
      </c>
      <c r="K1007" s="5" t="s">
        <v>17</v>
      </c>
      <c r="L1007" s="8">
        <v>44028</v>
      </c>
      <c r="M1007" s="19">
        <v>235</v>
      </c>
      <c r="N1007" s="19">
        <v>285</v>
      </c>
      <c r="O1007" s="24">
        <v>3500</v>
      </c>
      <c r="P1007" s="24">
        <v>12000</v>
      </c>
      <c r="Q1007" t="s">
        <v>1983</v>
      </c>
      <c r="R1007" s="19">
        <f>VLOOKUP(A1007,[1]Sheet1!$A$2:$Q$1536,15,FALSE)</f>
        <v>12491.107421875</v>
      </c>
      <c r="S1007" s="27">
        <f t="shared" si="45"/>
        <v>3.9316563799215283E-2</v>
      </c>
      <c r="T1007" s="19">
        <f>VLOOKUP(A1007,[1]Sheet1!$A$2:$Q$1536,16,FALSE)</f>
        <v>14012.82529023626</v>
      </c>
      <c r="U1007" s="27">
        <f t="shared" si="46"/>
        <v>0.14364164603113547</v>
      </c>
      <c r="V1007" s="19">
        <f>VLOOKUP(A1007,[1]Sheet1!$A$2:$Q$1536,17,FALSE)</f>
        <v>11769.4345703125</v>
      </c>
      <c r="W1007" s="27">
        <f t="shared" si="47"/>
        <v>-1.9590187473328895E-2</v>
      </c>
    </row>
    <row r="1008" spans="1:23" x14ac:dyDescent="0.3">
      <c r="A1008" s="4" t="s">
        <v>746</v>
      </c>
      <c r="B1008" s="5">
        <v>2018</v>
      </c>
      <c r="C1008" s="5" t="s">
        <v>83</v>
      </c>
      <c r="D1008" s="15" t="s">
        <v>744</v>
      </c>
      <c r="E1008" s="6">
        <v>98169</v>
      </c>
      <c r="F1008" s="5" t="s">
        <v>36</v>
      </c>
      <c r="G1008" s="5" t="s">
        <v>16</v>
      </c>
      <c r="H1008" s="5" t="s">
        <v>17</v>
      </c>
      <c r="I1008" s="5" t="s">
        <v>18</v>
      </c>
      <c r="J1008" s="7">
        <v>45538</v>
      </c>
      <c r="K1008" s="5" t="s">
        <v>17</v>
      </c>
      <c r="L1008" s="8">
        <v>44113</v>
      </c>
      <c r="M1008" s="19">
        <v>264</v>
      </c>
      <c r="N1008" s="19">
        <v>314</v>
      </c>
      <c r="O1008" s="24">
        <v>7800</v>
      </c>
      <c r="P1008" s="24">
        <v>11000</v>
      </c>
      <c r="Q1008" t="s">
        <v>1983</v>
      </c>
      <c r="R1008" s="19">
        <f>VLOOKUP(A1008,[1]Sheet1!$A$2:$Q$1536,15,FALSE)</f>
        <v>5837.37744140625</v>
      </c>
      <c r="S1008" s="27">
        <f t="shared" si="45"/>
        <v>-0.88440787158523215</v>
      </c>
      <c r="T1008" s="19">
        <f>VLOOKUP(A1008,[1]Sheet1!$A$2:$Q$1536,16,FALSE)</f>
        <v>9292.1215173956389</v>
      </c>
      <c r="U1008" s="27">
        <f t="shared" si="46"/>
        <v>-0.1837985522904611</v>
      </c>
      <c r="V1008" s="19">
        <f>VLOOKUP(A1008,[1]Sheet1!$A$2:$Q$1536,17,FALSE)</f>
        <v>5864.43115234375</v>
      </c>
      <c r="W1008" s="27">
        <f t="shared" si="47"/>
        <v>-0.87571474781553083</v>
      </c>
    </row>
    <row r="1009" spans="1:23" x14ac:dyDescent="0.3">
      <c r="A1009" s="4" t="s">
        <v>624</v>
      </c>
      <c r="B1009" s="5">
        <v>2015</v>
      </c>
      <c r="C1009" s="5" t="s">
        <v>30</v>
      </c>
      <c r="D1009" s="15" t="s">
        <v>616</v>
      </c>
      <c r="E1009" s="6">
        <v>105737</v>
      </c>
      <c r="F1009" s="5" t="s">
        <v>92</v>
      </c>
      <c r="G1009" s="5" t="s">
        <v>25</v>
      </c>
      <c r="H1009" s="5" t="s">
        <v>18</v>
      </c>
      <c r="I1009" s="5" t="s">
        <v>17</v>
      </c>
      <c r="J1009" s="7">
        <v>45421</v>
      </c>
      <c r="K1009" s="5" t="s">
        <v>17</v>
      </c>
      <c r="L1009" s="8">
        <v>43950</v>
      </c>
      <c r="M1009" s="19">
        <v>264</v>
      </c>
      <c r="N1009" s="19">
        <v>314</v>
      </c>
      <c r="O1009" s="24">
        <v>0</v>
      </c>
      <c r="P1009" s="24">
        <v>12500</v>
      </c>
      <c r="Q1009" t="s">
        <v>1983</v>
      </c>
      <c r="R1009" s="19">
        <f>VLOOKUP(A1009,[1]Sheet1!$A$2:$Q$1536,15,FALSE)</f>
        <v>8418.458984375</v>
      </c>
      <c r="S1009" s="27">
        <f t="shared" si="45"/>
        <v>-0.48483232182998159</v>
      </c>
      <c r="T1009" s="19">
        <f>VLOOKUP(A1009,[1]Sheet1!$A$2:$Q$1536,16,FALSE)</f>
        <v>9884.8098016040349</v>
      </c>
      <c r="U1009" s="27">
        <f t="shared" si="46"/>
        <v>-0.26456656737811901</v>
      </c>
      <c r="V1009" s="19">
        <f>VLOOKUP(A1009,[1]Sheet1!$A$2:$Q$1536,17,FALSE)</f>
        <v>8503.9990234375</v>
      </c>
      <c r="W1009" s="27">
        <f t="shared" si="47"/>
        <v>-0.46989668808160684</v>
      </c>
    </row>
    <row r="1010" spans="1:23" x14ac:dyDescent="0.3">
      <c r="A1010" s="4" t="s">
        <v>1748</v>
      </c>
      <c r="B1010" s="5">
        <v>2013</v>
      </c>
      <c r="C1010" s="5" t="s">
        <v>1086</v>
      </c>
      <c r="D1010" s="15" t="s">
        <v>1749</v>
      </c>
      <c r="E1010" s="6">
        <v>112824</v>
      </c>
      <c r="F1010" s="5" t="s">
        <v>36</v>
      </c>
      <c r="G1010" s="5" t="s">
        <v>28</v>
      </c>
      <c r="H1010" s="5" t="s">
        <v>17</v>
      </c>
      <c r="I1010" s="5" t="s">
        <v>18</v>
      </c>
      <c r="J1010" s="7">
        <v>45664</v>
      </c>
      <c r="K1010" s="5" t="s">
        <v>17</v>
      </c>
      <c r="L1010" s="8">
        <v>43605</v>
      </c>
      <c r="M1010" s="19">
        <v>264</v>
      </c>
      <c r="N1010" s="19">
        <v>314</v>
      </c>
      <c r="O1010" s="24">
        <v>0</v>
      </c>
      <c r="P1010" s="24">
        <v>2300</v>
      </c>
      <c r="Q1010" t="s">
        <v>1983</v>
      </c>
      <c r="R1010" s="19">
        <f>VLOOKUP(A1010,[1]Sheet1!$A$2:$Q$1536,15,FALSE)</f>
        <v>848.24114990234375</v>
      </c>
      <c r="S1010" s="27">
        <f t="shared" si="45"/>
        <v>-1.7114930704137548</v>
      </c>
      <c r="T1010" s="19">
        <f>VLOOKUP(A1010,[1]Sheet1!$A$2:$Q$1536,16,FALSE)</f>
        <v>8707.1575817042067</v>
      </c>
      <c r="U1010" s="27">
        <f t="shared" si="46"/>
        <v>0.73584950330601084</v>
      </c>
      <c r="V1010" s="19">
        <f>VLOOKUP(A1010,[1]Sheet1!$A$2:$Q$1536,17,FALSE)</f>
        <v>1088.946655273438</v>
      </c>
      <c r="W1010" s="27">
        <f t="shared" si="47"/>
        <v>-1.1121328477036028</v>
      </c>
    </row>
    <row r="1011" spans="1:23" x14ac:dyDescent="0.3">
      <c r="A1011" s="4" t="s">
        <v>1966</v>
      </c>
      <c r="B1011" s="5">
        <v>2015</v>
      </c>
      <c r="C1011" s="5" t="s">
        <v>96</v>
      </c>
      <c r="D1011" s="15" t="s">
        <v>1951</v>
      </c>
      <c r="E1011" s="6">
        <v>137702</v>
      </c>
      <c r="F1011" s="5" t="s">
        <v>40</v>
      </c>
      <c r="G1011" s="5" t="s">
        <v>25</v>
      </c>
      <c r="H1011" s="5" t="s">
        <v>18</v>
      </c>
      <c r="I1011" s="5" t="s">
        <v>17</v>
      </c>
      <c r="J1011" s="7">
        <v>45622</v>
      </c>
      <c r="K1011" s="5" t="s">
        <v>17</v>
      </c>
      <c r="L1011" s="8">
        <v>43935</v>
      </c>
      <c r="M1011" s="19">
        <v>222</v>
      </c>
      <c r="N1011" s="19">
        <v>272</v>
      </c>
      <c r="O1011" s="24">
        <v>6300</v>
      </c>
      <c r="P1011" s="24">
        <v>10200</v>
      </c>
      <c r="Q1011" t="s">
        <v>1983</v>
      </c>
      <c r="R1011" s="19">
        <f>VLOOKUP(A1011,[1]Sheet1!$A$2:$Q$1536,15,FALSE)</f>
        <v>2408.747314453125</v>
      </c>
      <c r="S1011" s="27">
        <f t="shared" si="45"/>
        <v>-3.2345662157243664</v>
      </c>
      <c r="T1011" s="19">
        <f>VLOOKUP(A1011,[1]Sheet1!$A$2:$Q$1536,16,FALSE)</f>
        <v>9192.435941932963</v>
      </c>
      <c r="U1011" s="27">
        <f t="shared" si="46"/>
        <v>-0.10960794988745592</v>
      </c>
      <c r="V1011" s="19">
        <f>VLOOKUP(A1011,[1]Sheet1!$A$2:$Q$1536,17,FALSE)</f>
        <v>2321.60986328125</v>
      </c>
      <c r="W1011" s="27">
        <f t="shared" si="47"/>
        <v>-3.3935030434372027</v>
      </c>
    </row>
    <row r="1012" spans="1:23" x14ac:dyDescent="0.3">
      <c r="A1012" s="4" t="s">
        <v>870</v>
      </c>
      <c r="B1012" s="5">
        <v>2018</v>
      </c>
      <c r="C1012" s="5" t="s">
        <v>391</v>
      </c>
      <c r="D1012" s="15" t="s">
        <v>582</v>
      </c>
      <c r="E1012" s="6">
        <v>311035</v>
      </c>
      <c r="F1012" s="5" t="s">
        <v>27</v>
      </c>
      <c r="G1012" s="5" t="s">
        <v>25</v>
      </c>
      <c r="H1012" s="5" t="s">
        <v>18</v>
      </c>
      <c r="I1012" s="5" t="s">
        <v>17</v>
      </c>
      <c r="J1012" s="7">
        <v>45356</v>
      </c>
      <c r="K1012" s="5" t="s">
        <v>17</v>
      </c>
      <c r="L1012" s="8">
        <v>44128</v>
      </c>
      <c r="M1012" s="19">
        <v>264</v>
      </c>
      <c r="N1012" s="19">
        <v>314</v>
      </c>
      <c r="O1012" s="24">
        <v>4000</v>
      </c>
      <c r="P1012" s="24">
        <v>15200</v>
      </c>
      <c r="Q1012" t="s">
        <v>1983</v>
      </c>
      <c r="R1012" s="19">
        <f>VLOOKUP(A1012,[1]Sheet1!$A$2:$Q$1536,15,FALSE)</f>
        <v>3738.814453125</v>
      </c>
      <c r="S1012" s="27">
        <f t="shared" si="45"/>
        <v>-3.0654598377556388</v>
      </c>
      <c r="T1012" s="19">
        <f>VLOOKUP(A1012,[1]Sheet1!$A$2:$Q$1536,16,FALSE)</f>
        <v>9318.6649784820329</v>
      </c>
      <c r="U1012" s="27">
        <f t="shared" si="46"/>
        <v>-0.63113493564783241</v>
      </c>
      <c r="V1012" s="19">
        <f>VLOOKUP(A1012,[1]Sheet1!$A$2:$Q$1536,17,FALSE)</f>
        <v>3597.75048828125</v>
      </c>
      <c r="W1012" s="27">
        <f t="shared" si="47"/>
        <v>-3.2248621880561488</v>
      </c>
    </row>
    <row r="1013" spans="1:23" x14ac:dyDescent="0.3">
      <c r="A1013" s="4" t="s">
        <v>1964</v>
      </c>
      <c r="B1013" s="5">
        <v>2015</v>
      </c>
      <c r="C1013" s="5" t="s">
        <v>96</v>
      </c>
      <c r="D1013" s="15" t="s">
        <v>1959</v>
      </c>
      <c r="E1013" s="6">
        <v>101496</v>
      </c>
      <c r="F1013" s="5" t="s">
        <v>47</v>
      </c>
      <c r="G1013" s="5" t="s">
        <v>16</v>
      </c>
      <c r="H1013" s="5" t="s">
        <v>17</v>
      </c>
      <c r="I1013" s="5" t="s">
        <v>18</v>
      </c>
      <c r="J1013" s="7">
        <v>45365</v>
      </c>
      <c r="K1013" s="5" t="s">
        <v>17</v>
      </c>
      <c r="L1013" s="8">
        <v>44137</v>
      </c>
      <c r="M1013" s="19">
        <v>280</v>
      </c>
      <c r="N1013" s="19">
        <v>330</v>
      </c>
      <c r="O1013" s="24">
        <v>0</v>
      </c>
      <c r="P1013" s="24">
        <v>3200</v>
      </c>
      <c r="Q1013" t="s">
        <v>1983</v>
      </c>
      <c r="R1013" s="19">
        <f>VLOOKUP(A1013,[1]Sheet1!$A$2:$Q$1536,15,FALSE)</f>
        <v>7818.47314453125</v>
      </c>
      <c r="S1013" s="27">
        <f t="shared" si="45"/>
        <v>0.59071292554886001</v>
      </c>
      <c r="T1013" s="19">
        <f>VLOOKUP(A1013,[1]Sheet1!$A$2:$Q$1536,16,FALSE)</f>
        <v>10113.94953989426</v>
      </c>
      <c r="U1013" s="27">
        <f t="shared" si="46"/>
        <v>0.6836053030146465</v>
      </c>
      <c r="V1013" s="19">
        <f>VLOOKUP(A1013,[1]Sheet1!$A$2:$Q$1536,17,FALSE)</f>
        <v>7566.962890625</v>
      </c>
      <c r="W1013" s="27">
        <f t="shared" si="47"/>
        <v>0.57710906657615535</v>
      </c>
    </row>
    <row r="1014" spans="1:23" x14ac:dyDescent="0.3">
      <c r="A1014" s="4" t="s">
        <v>1810</v>
      </c>
      <c r="B1014" s="5">
        <v>2021</v>
      </c>
      <c r="C1014" s="5" t="s">
        <v>237</v>
      </c>
      <c r="D1014" s="15" t="s">
        <v>1808</v>
      </c>
      <c r="E1014" s="6">
        <v>62166</v>
      </c>
      <c r="F1014" s="5" t="s">
        <v>61</v>
      </c>
      <c r="G1014" s="5" t="s">
        <v>25</v>
      </c>
      <c r="H1014" s="5" t="s">
        <v>18</v>
      </c>
      <c r="I1014" s="5" t="s">
        <v>17</v>
      </c>
      <c r="J1014" s="7">
        <v>45636</v>
      </c>
      <c r="K1014" s="5" t="s">
        <v>17</v>
      </c>
      <c r="L1014" s="8">
        <v>44310</v>
      </c>
      <c r="M1014" s="19">
        <v>235</v>
      </c>
      <c r="N1014" s="19">
        <v>285</v>
      </c>
      <c r="O1014" s="24">
        <v>4600</v>
      </c>
      <c r="P1014" s="24">
        <v>13000</v>
      </c>
      <c r="Q1014" t="s">
        <v>1983</v>
      </c>
      <c r="R1014" s="19">
        <f>VLOOKUP(A1014,[1]Sheet1!$A$2:$Q$1536,15,FALSE)</f>
        <v>9809.0966796875</v>
      </c>
      <c r="S1014" s="27">
        <f t="shared" si="45"/>
        <v>-0.32530042515741175</v>
      </c>
      <c r="T1014" s="19">
        <f>VLOOKUP(A1014,[1]Sheet1!$A$2:$Q$1536,16,FALSE)</f>
        <v>13490.47136591854</v>
      </c>
      <c r="U1014" s="27">
        <f t="shared" si="46"/>
        <v>3.6356873871556138E-2</v>
      </c>
      <c r="V1014" s="19">
        <f>VLOOKUP(A1014,[1]Sheet1!$A$2:$Q$1536,17,FALSE)</f>
        <v>9964.1064453125</v>
      </c>
      <c r="W1014" s="27">
        <f t="shared" si="47"/>
        <v>-0.30468297095678876</v>
      </c>
    </row>
    <row r="1015" spans="1:23" x14ac:dyDescent="0.3">
      <c r="A1015" s="4" t="s">
        <v>1227</v>
      </c>
      <c r="B1015" s="5">
        <v>2015</v>
      </c>
      <c r="C1015" s="5" t="s">
        <v>1228</v>
      </c>
      <c r="D1015" s="15" t="s">
        <v>1229</v>
      </c>
      <c r="E1015" s="6">
        <v>128987</v>
      </c>
      <c r="F1015" s="5" t="s">
        <v>15</v>
      </c>
      <c r="G1015" s="5" t="s">
        <v>28</v>
      </c>
      <c r="H1015" s="5" t="s">
        <v>17</v>
      </c>
      <c r="I1015" s="5" t="s">
        <v>18</v>
      </c>
      <c r="J1015" s="7">
        <v>45426</v>
      </c>
      <c r="K1015" s="5" t="s">
        <v>17</v>
      </c>
      <c r="L1015" s="8">
        <v>44473</v>
      </c>
      <c r="M1015" s="19">
        <v>307</v>
      </c>
      <c r="N1015" s="19">
        <v>357</v>
      </c>
      <c r="O1015" s="24">
        <v>5100</v>
      </c>
      <c r="P1015" s="24">
        <v>8200</v>
      </c>
      <c r="Q1015" t="s">
        <v>1983</v>
      </c>
      <c r="R1015" s="19">
        <f>VLOOKUP(A1015,[1]Sheet1!$A$2:$Q$1536,15,FALSE)</f>
        <v>6460.0615234375</v>
      </c>
      <c r="S1015" s="27">
        <f t="shared" si="45"/>
        <v>-0.26933775634332524</v>
      </c>
      <c r="T1015" s="19">
        <f>VLOOKUP(A1015,[1]Sheet1!$A$2:$Q$1536,16,FALSE)</f>
        <v>9927.5740614101433</v>
      </c>
      <c r="U1015" s="27">
        <f t="shared" si="46"/>
        <v>0.17401774599954517</v>
      </c>
      <c r="V1015" s="19">
        <f>VLOOKUP(A1015,[1]Sheet1!$A$2:$Q$1536,17,FALSE)</f>
        <v>6533.8681640625</v>
      </c>
      <c r="W1015" s="27">
        <f t="shared" si="47"/>
        <v>-0.25499930425617362</v>
      </c>
    </row>
    <row r="1016" spans="1:23" x14ac:dyDescent="0.3">
      <c r="A1016" s="4" t="s">
        <v>249</v>
      </c>
      <c r="B1016" s="5">
        <v>2018</v>
      </c>
      <c r="C1016" s="5" t="s">
        <v>237</v>
      </c>
      <c r="D1016" s="15" t="s">
        <v>250</v>
      </c>
      <c r="E1016" s="6">
        <v>84189</v>
      </c>
      <c r="F1016" s="5" t="s">
        <v>251</v>
      </c>
      <c r="G1016" s="5" t="s">
        <v>22</v>
      </c>
      <c r="H1016" s="5" t="s">
        <v>18</v>
      </c>
      <c r="I1016" s="5" t="s">
        <v>17</v>
      </c>
      <c r="J1016" s="7">
        <v>45370</v>
      </c>
      <c r="K1016" s="5" t="s">
        <v>17</v>
      </c>
      <c r="L1016" s="8">
        <v>44444</v>
      </c>
      <c r="M1016" s="19">
        <v>264</v>
      </c>
      <c r="N1016" s="19">
        <v>314</v>
      </c>
      <c r="O1016" s="24">
        <v>800</v>
      </c>
      <c r="P1016" s="24">
        <v>12700</v>
      </c>
      <c r="Q1016" t="s">
        <v>1983</v>
      </c>
      <c r="R1016" s="19">
        <f>VLOOKUP(A1016,[1]Sheet1!$A$2:$Q$1536,15,FALSE)</f>
        <v>5467.51513671875</v>
      </c>
      <c r="S1016" s="27">
        <f t="shared" si="45"/>
        <v>-1.3228102131275892</v>
      </c>
      <c r="T1016" s="19">
        <f>VLOOKUP(A1016,[1]Sheet1!$A$2:$Q$1536,16,FALSE)</f>
        <v>9353.3873296940874</v>
      </c>
      <c r="U1016" s="27">
        <f t="shared" si="46"/>
        <v>-0.357796865706765</v>
      </c>
      <c r="V1016" s="19">
        <f>VLOOKUP(A1016,[1]Sheet1!$A$2:$Q$1536,17,FALSE)</f>
        <v>5436.36328125</v>
      </c>
      <c r="W1016" s="27">
        <f t="shared" si="47"/>
        <v>-1.3361205539376406</v>
      </c>
    </row>
    <row r="1017" spans="1:23" x14ac:dyDescent="0.3">
      <c r="A1017" s="4" t="s">
        <v>895</v>
      </c>
      <c r="B1017" s="5">
        <v>2015</v>
      </c>
      <c r="C1017" s="5" t="s">
        <v>391</v>
      </c>
      <c r="D1017" s="15" t="s">
        <v>590</v>
      </c>
      <c r="E1017" s="6">
        <v>115219</v>
      </c>
      <c r="F1017" s="5" t="s">
        <v>27</v>
      </c>
      <c r="G1017" s="5" t="s">
        <v>25</v>
      </c>
      <c r="H1017" s="5" t="s">
        <v>18</v>
      </c>
      <c r="I1017" s="5" t="s">
        <v>17</v>
      </c>
      <c r="J1017" s="7">
        <v>45687</v>
      </c>
      <c r="K1017" s="5" t="s">
        <v>17</v>
      </c>
      <c r="L1017" s="8">
        <v>44028</v>
      </c>
      <c r="M1017" s="19">
        <v>235</v>
      </c>
      <c r="N1017" s="19">
        <v>285</v>
      </c>
      <c r="O1017" s="24">
        <v>0</v>
      </c>
      <c r="P1017" s="24">
        <v>10600</v>
      </c>
      <c r="Q1017" t="s">
        <v>1983</v>
      </c>
      <c r="R1017" s="19">
        <f>VLOOKUP(A1017,[1]Sheet1!$A$2:$Q$1536,15,FALSE)</f>
        <v>2538.313232421875</v>
      </c>
      <c r="S1017" s="27">
        <f t="shared" si="45"/>
        <v>-3.1760015527659076</v>
      </c>
      <c r="T1017" s="19">
        <f>VLOOKUP(A1017,[1]Sheet1!$A$2:$Q$1536,16,FALSE)</f>
        <v>9331.0664918475941</v>
      </c>
      <c r="U1017" s="27">
        <f t="shared" si="46"/>
        <v>-0.13599019032401635</v>
      </c>
      <c r="V1017" s="19">
        <f>VLOOKUP(A1017,[1]Sheet1!$A$2:$Q$1536,17,FALSE)</f>
        <v>2382.8828125</v>
      </c>
      <c r="W1017" s="27">
        <f t="shared" si="47"/>
        <v>-3.4483933260985742</v>
      </c>
    </row>
    <row r="1018" spans="1:23" x14ac:dyDescent="0.3">
      <c r="A1018" s="4" t="s">
        <v>1491</v>
      </c>
      <c r="B1018" s="5">
        <v>2019</v>
      </c>
      <c r="C1018" s="5" t="s">
        <v>1219</v>
      </c>
      <c r="D1018" s="15" t="s">
        <v>1220</v>
      </c>
      <c r="E1018" s="6">
        <v>85361</v>
      </c>
      <c r="F1018" s="5" t="s">
        <v>87</v>
      </c>
      <c r="G1018" s="5" t="s">
        <v>28</v>
      </c>
      <c r="H1018" s="5" t="s">
        <v>17</v>
      </c>
      <c r="I1018" s="5" t="s">
        <v>18</v>
      </c>
      <c r="J1018" s="7">
        <v>45566</v>
      </c>
      <c r="K1018" s="5" t="s">
        <v>17</v>
      </c>
      <c r="L1018" s="8">
        <v>44224</v>
      </c>
      <c r="M1018" s="19">
        <v>235</v>
      </c>
      <c r="N1018" s="19">
        <v>285</v>
      </c>
      <c r="O1018" s="24">
        <v>7500</v>
      </c>
      <c r="P1018" s="24">
        <v>10000</v>
      </c>
      <c r="Q1018" t="s">
        <v>1983</v>
      </c>
      <c r="R1018" s="19">
        <f>VLOOKUP(A1018,[1]Sheet1!$A$2:$Q$1536,15,FALSE)</f>
        <v>4015.6318359375</v>
      </c>
      <c r="S1018" s="27">
        <f t="shared" si="45"/>
        <v>-1.4902681342711721</v>
      </c>
      <c r="T1018" s="19">
        <f>VLOOKUP(A1018,[1]Sheet1!$A$2:$Q$1536,16,FALSE)</f>
        <v>9364.729330154194</v>
      </c>
      <c r="U1018" s="27">
        <f t="shared" si="46"/>
        <v>-6.7836522279426728E-2</v>
      </c>
      <c r="V1018" s="19">
        <f>VLOOKUP(A1018,[1]Sheet1!$A$2:$Q$1536,17,FALSE)</f>
        <v>3908.7900390625</v>
      </c>
      <c r="W1018" s="27">
        <f t="shared" si="47"/>
        <v>-1.558336441728766</v>
      </c>
    </row>
    <row r="1019" spans="1:23" x14ac:dyDescent="0.3">
      <c r="A1019" s="4" t="s">
        <v>1181</v>
      </c>
      <c r="B1019" s="5">
        <v>2019</v>
      </c>
      <c r="C1019" s="5" t="s">
        <v>684</v>
      </c>
      <c r="D1019" s="15" t="s">
        <v>1182</v>
      </c>
      <c r="E1019" s="6">
        <v>96718</v>
      </c>
      <c r="F1019" s="5" t="s">
        <v>15</v>
      </c>
      <c r="G1019" s="5" t="s">
        <v>25</v>
      </c>
      <c r="H1019" s="5" t="s">
        <v>18</v>
      </c>
      <c r="I1019" s="5" t="s">
        <v>17</v>
      </c>
      <c r="J1019" s="7">
        <v>45664</v>
      </c>
      <c r="K1019" s="5" t="s">
        <v>17</v>
      </c>
      <c r="L1019" s="8">
        <v>44067</v>
      </c>
      <c r="M1019" s="19">
        <v>235</v>
      </c>
      <c r="N1019" s="19">
        <v>285</v>
      </c>
      <c r="O1019" s="24">
        <v>7700</v>
      </c>
      <c r="P1019" s="24">
        <v>15500</v>
      </c>
      <c r="Q1019" t="s">
        <v>1983</v>
      </c>
      <c r="R1019" s="19">
        <f>VLOOKUP(A1019,[1]Sheet1!$A$2:$Q$1536,15,FALSE)</f>
        <v>8765.361328125</v>
      </c>
      <c r="S1019" s="27">
        <f t="shared" si="45"/>
        <v>-0.76832413630980434</v>
      </c>
      <c r="T1019" s="19">
        <f>VLOOKUP(A1019,[1]Sheet1!$A$2:$Q$1536,16,FALSE)</f>
        <v>9989.2797633196496</v>
      </c>
      <c r="U1019" s="27">
        <f t="shared" si="46"/>
        <v>-0.55166341991096879</v>
      </c>
      <c r="V1019" s="19">
        <f>VLOOKUP(A1019,[1]Sheet1!$A$2:$Q$1536,17,FALSE)</f>
        <v>8636.41015625</v>
      </c>
      <c r="W1019" s="27">
        <f t="shared" si="47"/>
        <v>-0.79472717478372135</v>
      </c>
    </row>
    <row r="1020" spans="1:23" x14ac:dyDescent="0.3">
      <c r="A1020" s="4" t="s">
        <v>1585</v>
      </c>
      <c r="B1020" s="5">
        <v>2012</v>
      </c>
      <c r="C1020" s="5" t="s">
        <v>920</v>
      </c>
      <c r="D1020" s="15" t="s">
        <v>921</v>
      </c>
      <c r="E1020" s="6">
        <v>81719</v>
      </c>
      <c r="F1020" s="5" t="s">
        <v>79</v>
      </c>
      <c r="G1020" s="5" t="s">
        <v>22</v>
      </c>
      <c r="H1020" s="5" t="s">
        <v>18</v>
      </c>
      <c r="I1020" s="5" t="s">
        <v>17</v>
      </c>
      <c r="J1020" s="7">
        <v>45468</v>
      </c>
      <c r="K1020" s="5" t="s">
        <v>17</v>
      </c>
      <c r="L1020" s="8">
        <v>44310</v>
      </c>
      <c r="M1020" s="19">
        <v>235</v>
      </c>
      <c r="N1020" s="19">
        <v>285</v>
      </c>
      <c r="O1020" s="24">
        <v>4200</v>
      </c>
      <c r="P1020" s="24">
        <v>5000</v>
      </c>
      <c r="Q1020" t="s">
        <v>1983</v>
      </c>
      <c r="R1020" s="19">
        <f>VLOOKUP(A1020,[1]Sheet1!$A$2:$Q$1536,15,FALSE)</f>
        <v>4587.57568359375</v>
      </c>
      <c r="S1020" s="27">
        <f t="shared" si="45"/>
        <v>-8.9900275189175927E-2</v>
      </c>
      <c r="T1020" s="19">
        <f>VLOOKUP(A1020,[1]Sheet1!$A$2:$Q$1536,16,FALSE)</f>
        <v>9556.8762449767455</v>
      </c>
      <c r="U1020" s="27">
        <f t="shared" si="46"/>
        <v>0.47681649611942145</v>
      </c>
      <c r="V1020" s="19">
        <f>VLOOKUP(A1020,[1]Sheet1!$A$2:$Q$1536,17,FALSE)</f>
        <v>4584.306640625</v>
      </c>
      <c r="W1020" s="27">
        <f t="shared" si="47"/>
        <v>-9.067747687103378E-2</v>
      </c>
    </row>
    <row r="1021" spans="1:23" x14ac:dyDescent="0.3">
      <c r="A1021" s="4" t="s">
        <v>516</v>
      </c>
      <c r="B1021" s="5">
        <v>2016</v>
      </c>
      <c r="C1021" s="5" t="s">
        <v>391</v>
      </c>
      <c r="D1021" s="15" t="s">
        <v>394</v>
      </c>
      <c r="E1021" s="6">
        <v>132553</v>
      </c>
      <c r="F1021" s="5" t="s">
        <v>251</v>
      </c>
      <c r="G1021" s="5" t="s">
        <v>22</v>
      </c>
      <c r="H1021" s="5" t="s">
        <v>18</v>
      </c>
      <c r="I1021" s="5" t="s">
        <v>17</v>
      </c>
      <c r="J1021" s="7">
        <v>45664</v>
      </c>
      <c r="K1021" s="5" t="s">
        <v>17</v>
      </c>
      <c r="L1021" s="8">
        <v>44074</v>
      </c>
      <c r="M1021" s="19">
        <v>179</v>
      </c>
      <c r="N1021" s="19">
        <v>229</v>
      </c>
      <c r="O1021" s="24">
        <v>800</v>
      </c>
      <c r="P1021" s="24">
        <v>6000</v>
      </c>
      <c r="Q1021" t="s">
        <v>1983</v>
      </c>
      <c r="R1021" s="19">
        <f>VLOOKUP(A1021,[1]Sheet1!$A$2:$Q$1536,15,FALSE)</f>
        <v>900.98529052734375</v>
      </c>
      <c r="S1021" s="27">
        <f t="shared" si="45"/>
        <v>-5.6593761996804846</v>
      </c>
      <c r="T1021" s="19">
        <f>VLOOKUP(A1021,[1]Sheet1!$A$2:$Q$1536,16,FALSE)</f>
        <v>9286.1134826892012</v>
      </c>
      <c r="U1021" s="27">
        <f t="shared" si="46"/>
        <v>0.35387393109238235</v>
      </c>
      <c r="V1021" s="19">
        <f>VLOOKUP(A1021,[1]Sheet1!$A$2:$Q$1536,17,FALSE)</f>
        <v>1118.385864257812</v>
      </c>
      <c r="W1021" s="27">
        <f t="shared" si="47"/>
        <v>-4.3648746749689513</v>
      </c>
    </row>
    <row r="1022" spans="1:23" x14ac:dyDescent="0.3">
      <c r="A1022" s="4" t="s">
        <v>765</v>
      </c>
      <c r="B1022" s="5">
        <v>2014</v>
      </c>
      <c r="C1022" s="5" t="s">
        <v>237</v>
      </c>
      <c r="D1022" s="15" t="s">
        <v>766</v>
      </c>
      <c r="E1022" s="6">
        <v>157369</v>
      </c>
      <c r="F1022" s="5" t="s">
        <v>47</v>
      </c>
      <c r="G1022" s="5" t="s">
        <v>25</v>
      </c>
      <c r="H1022" s="5" t="s">
        <v>18</v>
      </c>
      <c r="I1022" s="5" t="s">
        <v>17</v>
      </c>
      <c r="J1022" s="7">
        <v>45596</v>
      </c>
      <c r="K1022" s="5" t="s">
        <v>17</v>
      </c>
      <c r="L1022" s="8">
        <v>43935</v>
      </c>
      <c r="M1022" s="19">
        <v>222</v>
      </c>
      <c r="N1022" s="19">
        <v>272</v>
      </c>
      <c r="O1022" s="24">
        <v>0</v>
      </c>
      <c r="P1022" s="24">
        <v>2300</v>
      </c>
      <c r="Q1022" t="s">
        <v>1983</v>
      </c>
      <c r="R1022" s="19">
        <f>VLOOKUP(A1022,[1]Sheet1!$A$2:$Q$1536,15,FALSE)</f>
        <v>4171.794921875</v>
      </c>
      <c r="S1022" s="27">
        <f t="shared" si="45"/>
        <v>0.44867855609588014</v>
      </c>
      <c r="T1022" s="19">
        <f>VLOOKUP(A1022,[1]Sheet1!$A$2:$Q$1536,16,FALSE)</f>
        <v>10021.726334401899</v>
      </c>
      <c r="U1022" s="27">
        <f t="shared" si="46"/>
        <v>0.77049862236761379</v>
      </c>
      <c r="V1022" s="19">
        <f>VLOOKUP(A1022,[1]Sheet1!$A$2:$Q$1536,17,FALSE)</f>
        <v>3976.552978515625</v>
      </c>
      <c r="W1022" s="27">
        <f t="shared" si="47"/>
        <v>0.42160961706624911</v>
      </c>
    </row>
    <row r="1023" spans="1:23" x14ac:dyDescent="0.3">
      <c r="A1023" s="4" t="s">
        <v>565</v>
      </c>
      <c r="B1023" s="5">
        <v>2018</v>
      </c>
      <c r="C1023" s="5" t="s">
        <v>559</v>
      </c>
      <c r="D1023" s="15" t="s">
        <v>560</v>
      </c>
      <c r="E1023" s="6">
        <v>79088</v>
      </c>
      <c r="F1023" s="5" t="s">
        <v>246</v>
      </c>
      <c r="G1023" s="5" t="s">
        <v>16</v>
      </c>
      <c r="H1023" s="5" t="s">
        <v>17</v>
      </c>
      <c r="I1023" s="5" t="s">
        <v>18</v>
      </c>
      <c r="J1023" s="7">
        <v>45468</v>
      </c>
      <c r="K1023" s="5" t="s">
        <v>17</v>
      </c>
      <c r="L1023" s="8">
        <v>44074</v>
      </c>
      <c r="M1023" s="19">
        <v>179</v>
      </c>
      <c r="N1023" s="19">
        <v>229</v>
      </c>
      <c r="O1023" s="24">
        <v>14700</v>
      </c>
      <c r="P1023" s="24">
        <v>20000</v>
      </c>
      <c r="Q1023" t="s">
        <v>1983</v>
      </c>
      <c r="R1023" s="19">
        <f>VLOOKUP(A1023,[1]Sheet1!$A$2:$Q$1536,15,FALSE)</f>
        <v>17897.9609375</v>
      </c>
      <c r="S1023" s="27">
        <f t="shared" si="45"/>
        <v>-0.1174457285855276</v>
      </c>
      <c r="T1023" s="19">
        <f>VLOOKUP(A1023,[1]Sheet1!$A$2:$Q$1536,16,FALSE)</f>
        <v>11219.367362270321</v>
      </c>
      <c r="U1023" s="27">
        <f t="shared" si="46"/>
        <v>-0.78263170767169299</v>
      </c>
      <c r="V1023" s="19">
        <f>VLOOKUP(A1023,[1]Sheet1!$A$2:$Q$1536,17,FALSE)</f>
        <v>18427.8203125</v>
      </c>
      <c r="W1023" s="27">
        <f t="shared" si="47"/>
        <v>-8.531555337738754E-2</v>
      </c>
    </row>
    <row r="1024" spans="1:23" x14ac:dyDescent="0.3">
      <c r="A1024" s="4" t="s">
        <v>607</v>
      </c>
      <c r="B1024" s="5">
        <v>2016</v>
      </c>
      <c r="C1024" s="5" t="s">
        <v>559</v>
      </c>
      <c r="D1024" s="15" t="s">
        <v>608</v>
      </c>
      <c r="E1024" s="6">
        <v>90736</v>
      </c>
      <c r="F1024" s="5" t="s">
        <v>64</v>
      </c>
      <c r="G1024" s="5" t="s">
        <v>28</v>
      </c>
      <c r="H1024" s="5" t="s">
        <v>17</v>
      </c>
      <c r="I1024" s="5" t="s">
        <v>18</v>
      </c>
      <c r="J1024" s="7">
        <v>45580</v>
      </c>
      <c r="K1024" s="5" t="s">
        <v>17</v>
      </c>
      <c r="L1024" s="8">
        <v>44662</v>
      </c>
      <c r="M1024" s="19">
        <v>235</v>
      </c>
      <c r="N1024" s="19">
        <v>285</v>
      </c>
      <c r="O1024" s="24">
        <v>14500</v>
      </c>
      <c r="P1024" s="24">
        <v>19000</v>
      </c>
      <c r="Q1024" t="s">
        <v>1983</v>
      </c>
      <c r="R1024" s="19">
        <f>VLOOKUP(A1024,[1]Sheet1!$A$2:$Q$1536,15,FALSE)</f>
        <v>12756.90234375</v>
      </c>
      <c r="S1024" s="27">
        <f t="shared" si="45"/>
        <v>-0.48938978194096516</v>
      </c>
      <c r="T1024" s="19">
        <f>VLOOKUP(A1024,[1]Sheet1!$A$2:$Q$1536,16,FALSE)</f>
        <v>10313.396910872771</v>
      </c>
      <c r="U1024" s="27">
        <f t="shared" si="46"/>
        <v>-0.84226401487268332</v>
      </c>
      <c r="V1024" s="19">
        <f>VLOOKUP(A1024,[1]Sheet1!$A$2:$Q$1536,17,FALSE)</f>
        <v>12985.4658203125</v>
      </c>
      <c r="W1024" s="27">
        <f t="shared" si="47"/>
        <v>-0.46317431064192338</v>
      </c>
    </row>
    <row r="1025" spans="1:23" x14ac:dyDescent="0.3">
      <c r="A1025" s="4" t="s">
        <v>645</v>
      </c>
      <c r="B1025" s="5">
        <v>2018</v>
      </c>
      <c r="C1025" s="5" t="s">
        <v>636</v>
      </c>
      <c r="D1025" s="15" t="s">
        <v>646</v>
      </c>
      <c r="E1025" s="6">
        <v>191606</v>
      </c>
      <c r="F1025" s="5" t="s">
        <v>36</v>
      </c>
      <c r="G1025" s="5" t="s">
        <v>25</v>
      </c>
      <c r="H1025" s="5" t="s">
        <v>18</v>
      </c>
      <c r="I1025" s="5" t="s">
        <v>17</v>
      </c>
      <c r="J1025" s="7">
        <v>45692</v>
      </c>
      <c r="K1025" s="5" t="s">
        <v>17</v>
      </c>
      <c r="L1025" s="8">
        <v>44067</v>
      </c>
      <c r="M1025" s="19">
        <v>235</v>
      </c>
      <c r="N1025" s="19">
        <v>285</v>
      </c>
      <c r="O1025" s="24">
        <v>2000</v>
      </c>
      <c r="P1025" s="24">
        <v>9200</v>
      </c>
      <c r="Q1025" t="s">
        <v>1983</v>
      </c>
      <c r="R1025" s="19">
        <f>VLOOKUP(A1025,[1]Sheet1!$A$2:$Q$1536,15,FALSE)</f>
        <v>2077.765625</v>
      </c>
      <c r="S1025" s="27">
        <f t="shared" si="45"/>
        <v>-3.4278333847206661</v>
      </c>
      <c r="T1025" s="19">
        <f>VLOOKUP(A1025,[1]Sheet1!$A$2:$Q$1536,16,FALSE)</f>
        <v>8950.3078434228373</v>
      </c>
      <c r="U1025" s="27">
        <f t="shared" si="46"/>
        <v>-2.7897605417075096E-2</v>
      </c>
      <c r="V1025" s="19">
        <f>VLOOKUP(A1025,[1]Sheet1!$A$2:$Q$1536,17,FALSE)</f>
        <v>2006.667602539062</v>
      </c>
      <c r="W1025" s="27">
        <f t="shared" si="47"/>
        <v>-3.5847154697465204</v>
      </c>
    </row>
    <row r="1026" spans="1:23" x14ac:dyDescent="0.3">
      <c r="A1026" s="4" t="s">
        <v>973</v>
      </c>
      <c r="B1026" s="5">
        <v>2016</v>
      </c>
      <c r="C1026" s="5" t="s">
        <v>83</v>
      </c>
      <c r="D1026" s="15" t="s">
        <v>965</v>
      </c>
      <c r="E1026" s="6">
        <v>118999</v>
      </c>
      <c r="F1026" s="5" t="s">
        <v>81</v>
      </c>
      <c r="G1026" s="5" t="s">
        <v>25</v>
      </c>
      <c r="H1026" s="5" t="s">
        <v>18</v>
      </c>
      <c r="I1026" s="5" t="s">
        <v>17</v>
      </c>
      <c r="J1026" s="7">
        <v>45720</v>
      </c>
      <c r="K1026" s="5" t="s">
        <v>17</v>
      </c>
      <c r="L1026" s="8">
        <v>44113</v>
      </c>
      <c r="M1026" s="19">
        <v>264</v>
      </c>
      <c r="N1026" s="19">
        <v>314</v>
      </c>
      <c r="O1026" s="24">
        <v>3600</v>
      </c>
      <c r="P1026" s="24">
        <v>7100</v>
      </c>
      <c r="Q1026" t="s">
        <v>1983</v>
      </c>
      <c r="R1026" s="19">
        <f>VLOOKUP(A1026,[1]Sheet1!$A$2:$Q$1536,15,FALSE)</f>
        <v>3167.44921875</v>
      </c>
      <c r="S1026" s="27">
        <f t="shared" si="45"/>
        <v>-1.2415513271596945</v>
      </c>
      <c r="T1026" s="19">
        <f>VLOOKUP(A1026,[1]Sheet1!$A$2:$Q$1536,16,FALSE)</f>
        <v>8927.1823769004513</v>
      </c>
      <c r="U1026" s="27">
        <f t="shared" si="46"/>
        <v>0.20467626847507683</v>
      </c>
      <c r="V1026" s="19">
        <f>VLOOKUP(A1026,[1]Sheet1!$A$2:$Q$1536,17,FALSE)</f>
        <v>3044.94580078125</v>
      </c>
      <c r="W1026" s="27">
        <f t="shared" si="47"/>
        <v>-1.3317328006883846</v>
      </c>
    </row>
    <row r="1027" spans="1:23" x14ac:dyDescent="0.3">
      <c r="A1027" s="4" t="s">
        <v>1016</v>
      </c>
      <c r="B1027" s="5">
        <v>2017</v>
      </c>
      <c r="C1027" s="5" t="s">
        <v>237</v>
      </c>
      <c r="D1027" s="15" t="s">
        <v>238</v>
      </c>
      <c r="E1027" s="6">
        <v>177147</v>
      </c>
      <c r="F1027" s="5" t="s">
        <v>42</v>
      </c>
      <c r="G1027" s="5" t="s">
        <v>25</v>
      </c>
      <c r="H1027" s="5" t="s">
        <v>18</v>
      </c>
      <c r="I1027" s="5" t="s">
        <v>17</v>
      </c>
      <c r="J1027" s="7">
        <v>45666</v>
      </c>
      <c r="K1027" s="5" t="s">
        <v>17</v>
      </c>
      <c r="L1027" s="8">
        <v>43950</v>
      </c>
      <c r="M1027" s="19">
        <v>264</v>
      </c>
      <c r="N1027" s="19">
        <v>314</v>
      </c>
      <c r="O1027" s="24">
        <v>0</v>
      </c>
      <c r="P1027" s="24">
        <v>9500</v>
      </c>
      <c r="Q1027" t="s">
        <v>1983</v>
      </c>
      <c r="R1027" s="19">
        <f>VLOOKUP(A1027,[1]Sheet1!$A$2:$Q$1536,15,FALSE)</f>
        <v>2723.431640625</v>
      </c>
      <c r="S1027" s="27">
        <f t="shared" ref="S1027:S1090" si="48">(R1027-$P1027)/R1027</f>
        <v>-2.4882461737941202</v>
      </c>
      <c r="T1027" s="19">
        <f>VLOOKUP(A1027,[1]Sheet1!$A$2:$Q$1536,16,FALSE)</f>
        <v>9329.2772548248558</v>
      </c>
      <c r="U1027" s="27">
        <f t="shared" ref="U1027:U1090" si="49">(T1027-$P1027)/T1027</f>
        <v>-1.8299675367333613E-2</v>
      </c>
      <c r="V1027" s="19">
        <f>VLOOKUP(A1027,[1]Sheet1!$A$2:$Q$1536,17,FALSE)</f>
        <v>2556.26416015625</v>
      </c>
      <c r="W1027" s="27">
        <f t="shared" ref="W1027:W1090" si="50">(V1027-$P1027)/V1027</f>
        <v>-2.71636083158922</v>
      </c>
    </row>
    <row r="1028" spans="1:23" x14ac:dyDescent="0.3">
      <c r="A1028" s="4" t="s">
        <v>1452</v>
      </c>
      <c r="B1028" s="5">
        <v>2017</v>
      </c>
      <c r="C1028" s="5" t="s">
        <v>1086</v>
      </c>
      <c r="D1028" s="15" t="s">
        <v>1436</v>
      </c>
      <c r="E1028" s="6">
        <v>40980</v>
      </c>
      <c r="F1028" s="5" t="s">
        <v>112</v>
      </c>
      <c r="G1028" s="5" t="s">
        <v>22</v>
      </c>
      <c r="H1028" s="5" t="s">
        <v>18</v>
      </c>
      <c r="I1028" s="5" t="s">
        <v>17</v>
      </c>
      <c r="J1028" s="7">
        <v>45708</v>
      </c>
      <c r="K1028" s="5" t="s">
        <v>17</v>
      </c>
      <c r="L1028" s="8">
        <v>43777</v>
      </c>
      <c r="M1028" s="19">
        <v>90</v>
      </c>
      <c r="N1028" s="19">
        <v>120</v>
      </c>
      <c r="O1028" s="24">
        <v>0</v>
      </c>
      <c r="P1028" s="24">
        <v>10000</v>
      </c>
      <c r="Q1028" t="s">
        <v>1983</v>
      </c>
      <c r="R1028" s="19">
        <f>VLOOKUP(A1028,[1]Sheet1!$A$2:$Q$1536,15,FALSE)</f>
        <v>3155.638427734375</v>
      </c>
      <c r="S1028" s="27">
        <f t="shared" si="48"/>
        <v>-2.1689308610618006</v>
      </c>
      <c r="T1028" s="19">
        <f>VLOOKUP(A1028,[1]Sheet1!$A$2:$Q$1536,16,FALSE)</f>
        <v>10882.29735471974</v>
      </c>
      <c r="U1028" s="27">
        <f t="shared" si="49"/>
        <v>8.1076387270108949E-2</v>
      </c>
      <c r="V1028" s="19">
        <f>VLOOKUP(A1028,[1]Sheet1!$A$2:$Q$1536,17,FALSE)</f>
        <v>2932.7333984375</v>
      </c>
      <c r="W1028" s="27">
        <f t="shared" si="50"/>
        <v>-2.4097882901077181</v>
      </c>
    </row>
    <row r="1029" spans="1:23" x14ac:dyDescent="0.3">
      <c r="A1029" s="4" t="s">
        <v>289</v>
      </c>
      <c r="B1029" s="5">
        <v>2014</v>
      </c>
      <c r="C1029" s="5" t="s">
        <v>237</v>
      </c>
      <c r="D1029" s="15" t="s">
        <v>290</v>
      </c>
      <c r="E1029" s="6">
        <v>126458</v>
      </c>
      <c r="F1029" s="5" t="s">
        <v>87</v>
      </c>
      <c r="G1029" s="5" t="s">
        <v>25</v>
      </c>
      <c r="H1029" s="5" t="s">
        <v>18</v>
      </c>
      <c r="I1029" s="5" t="s">
        <v>17</v>
      </c>
      <c r="J1029" s="7">
        <v>45701</v>
      </c>
      <c r="K1029" s="5" t="s">
        <v>17</v>
      </c>
      <c r="L1029" s="8">
        <v>44028</v>
      </c>
      <c r="M1029" s="19">
        <v>235</v>
      </c>
      <c r="N1029" s="19">
        <v>285</v>
      </c>
      <c r="O1029" s="24">
        <v>0</v>
      </c>
      <c r="P1029" s="24">
        <v>4300</v>
      </c>
      <c r="Q1029" t="s">
        <v>1983</v>
      </c>
      <c r="R1029" s="19">
        <f>VLOOKUP(A1029,[1]Sheet1!$A$2:$Q$1536,15,FALSE)</f>
        <v>2061.8828125</v>
      </c>
      <c r="S1029" s="27">
        <f t="shared" si="48"/>
        <v>-1.0854725467090531</v>
      </c>
      <c r="T1029" s="19">
        <f>VLOOKUP(A1029,[1]Sheet1!$A$2:$Q$1536,16,FALSE)</f>
        <v>9190.1972929737076</v>
      </c>
      <c r="U1029" s="27">
        <f t="shared" si="49"/>
        <v>0.53211015357771141</v>
      </c>
      <c r="V1029" s="19">
        <f>VLOOKUP(A1029,[1]Sheet1!$A$2:$Q$1536,17,FALSE)</f>
        <v>2013.918701171875</v>
      </c>
      <c r="W1029" s="27">
        <f t="shared" si="50"/>
        <v>-1.1351408065766915</v>
      </c>
    </row>
    <row r="1030" spans="1:23" x14ac:dyDescent="0.3">
      <c r="A1030" s="4" t="s">
        <v>1594</v>
      </c>
      <c r="B1030" s="5">
        <v>2019</v>
      </c>
      <c r="C1030" s="5" t="s">
        <v>1590</v>
      </c>
      <c r="D1030" s="15" t="s">
        <v>1595</v>
      </c>
      <c r="E1030" s="6">
        <v>60021</v>
      </c>
      <c r="F1030" s="5" t="s">
        <v>101</v>
      </c>
      <c r="G1030" s="5" t="s">
        <v>16</v>
      </c>
      <c r="H1030" s="5" t="s">
        <v>17</v>
      </c>
      <c r="I1030" s="5" t="s">
        <v>18</v>
      </c>
      <c r="J1030" s="7">
        <v>45300</v>
      </c>
      <c r="K1030" s="5" t="s">
        <v>17</v>
      </c>
      <c r="L1030" s="8">
        <v>44662</v>
      </c>
      <c r="M1030" s="19">
        <v>235</v>
      </c>
      <c r="N1030" s="19">
        <v>285</v>
      </c>
      <c r="O1030" s="24">
        <v>22300</v>
      </c>
      <c r="P1030" s="24">
        <v>24375</v>
      </c>
      <c r="Q1030" t="s">
        <v>1983</v>
      </c>
      <c r="R1030" s="19">
        <f>VLOOKUP(A1030,[1]Sheet1!$A$2:$Q$1536,15,FALSE)</f>
        <v>19236.47265625</v>
      </c>
      <c r="S1030" s="27">
        <f t="shared" si="48"/>
        <v>-0.26712419868101306</v>
      </c>
      <c r="T1030" s="19">
        <f>VLOOKUP(A1030,[1]Sheet1!$A$2:$Q$1536,16,FALSE)</f>
        <v>12697.10478062875</v>
      </c>
      <c r="U1030" s="27">
        <f t="shared" si="49"/>
        <v>-0.91972897925419583</v>
      </c>
      <c r="V1030" s="19">
        <f>VLOOKUP(A1030,[1]Sheet1!$A$2:$Q$1536,17,FALSE)</f>
        <v>19493.86328125</v>
      </c>
      <c r="W1030" s="27">
        <f t="shared" si="50"/>
        <v>-0.25039350324390947</v>
      </c>
    </row>
    <row r="1031" spans="1:23" x14ac:dyDescent="0.3">
      <c r="A1031" s="4" t="s">
        <v>1341</v>
      </c>
      <c r="B1031" s="5">
        <v>2019</v>
      </c>
      <c r="C1031" s="5" t="s">
        <v>1089</v>
      </c>
      <c r="D1031" s="15" t="s">
        <v>1328</v>
      </c>
      <c r="E1031" s="6">
        <v>204867</v>
      </c>
      <c r="F1031" s="5" t="s">
        <v>112</v>
      </c>
      <c r="G1031" s="5" t="s">
        <v>22</v>
      </c>
      <c r="H1031" s="5" t="s">
        <v>18</v>
      </c>
      <c r="I1031" s="5" t="s">
        <v>17</v>
      </c>
      <c r="J1031" s="7">
        <v>45344</v>
      </c>
      <c r="K1031" s="5" t="s">
        <v>17</v>
      </c>
      <c r="L1031" s="8">
        <v>44310</v>
      </c>
      <c r="M1031" s="19">
        <v>235</v>
      </c>
      <c r="N1031" s="19">
        <v>285</v>
      </c>
      <c r="O1031" s="24">
        <v>2700</v>
      </c>
      <c r="P1031" s="24">
        <v>11400</v>
      </c>
      <c r="Q1031" t="s">
        <v>1983</v>
      </c>
      <c r="R1031" s="19">
        <f>VLOOKUP(A1031,[1]Sheet1!$A$2:$Q$1536,15,FALSE)</f>
        <v>3623.200439453125</v>
      </c>
      <c r="S1031" s="27">
        <f t="shared" si="48"/>
        <v>-2.1463895499308014</v>
      </c>
      <c r="T1031" s="19">
        <f>VLOOKUP(A1031,[1]Sheet1!$A$2:$Q$1536,16,FALSE)</f>
        <v>8628.4559358120696</v>
      </c>
      <c r="U1031" s="27">
        <f t="shared" si="49"/>
        <v>-0.3212097372699958</v>
      </c>
      <c r="V1031" s="19">
        <f>VLOOKUP(A1031,[1]Sheet1!$A$2:$Q$1536,17,FALSE)</f>
        <v>3515.23095703125</v>
      </c>
      <c r="W1031" s="27">
        <f t="shared" si="50"/>
        <v>-2.243030156296685</v>
      </c>
    </row>
    <row r="1032" spans="1:23" x14ac:dyDescent="0.3">
      <c r="A1032" s="4" t="s">
        <v>252</v>
      </c>
      <c r="B1032" s="5">
        <v>2016</v>
      </c>
      <c r="C1032" s="5" t="s">
        <v>237</v>
      </c>
      <c r="D1032" s="15" t="s">
        <v>250</v>
      </c>
      <c r="E1032" s="6">
        <v>78653</v>
      </c>
      <c r="F1032" s="5" t="s">
        <v>144</v>
      </c>
      <c r="G1032" s="5" t="s">
        <v>25</v>
      </c>
      <c r="H1032" s="5" t="s">
        <v>18</v>
      </c>
      <c r="I1032" s="5" t="s">
        <v>17</v>
      </c>
      <c r="J1032" s="7">
        <v>45398</v>
      </c>
      <c r="K1032" s="5" t="s">
        <v>17</v>
      </c>
      <c r="L1032" s="8">
        <v>43612</v>
      </c>
      <c r="M1032" s="19">
        <v>264</v>
      </c>
      <c r="N1032" s="19">
        <v>314</v>
      </c>
      <c r="O1032" s="24">
        <v>1750</v>
      </c>
      <c r="P1032" s="24">
        <v>4600</v>
      </c>
      <c r="Q1032" t="s">
        <v>1983</v>
      </c>
      <c r="R1032" s="19">
        <f>VLOOKUP(A1032,[1]Sheet1!$A$2:$Q$1536,15,FALSE)</f>
        <v>4789.2275390625</v>
      </c>
      <c r="S1032" s="27">
        <f t="shared" si="48"/>
        <v>3.9511077207983657E-2</v>
      </c>
      <c r="T1032" s="19">
        <f>VLOOKUP(A1032,[1]Sheet1!$A$2:$Q$1536,16,FALSE)</f>
        <v>9319.2527220695501</v>
      </c>
      <c r="U1032" s="27">
        <f t="shared" si="49"/>
        <v>0.506398191229815</v>
      </c>
      <c r="V1032" s="19">
        <f>VLOOKUP(A1032,[1]Sheet1!$A$2:$Q$1536,17,FALSE)</f>
        <v>4702.52783203125</v>
      </c>
      <c r="W1032" s="27">
        <f t="shared" si="50"/>
        <v>2.1802706053727545E-2</v>
      </c>
    </row>
    <row r="1033" spans="1:23" x14ac:dyDescent="0.3">
      <c r="A1033" s="4" t="s">
        <v>1762</v>
      </c>
      <c r="B1033" s="5">
        <v>2020</v>
      </c>
      <c r="C1033" s="5" t="s">
        <v>1086</v>
      </c>
      <c r="D1033" s="15" t="s">
        <v>1758</v>
      </c>
      <c r="E1033" s="6">
        <v>95468</v>
      </c>
      <c r="F1033" s="5" t="s">
        <v>92</v>
      </c>
      <c r="G1033" s="5" t="s">
        <v>33</v>
      </c>
      <c r="H1033" s="5" t="s">
        <v>17</v>
      </c>
      <c r="I1033" s="5" t="s">
        <v>18</v>
      </c>
      <c r="J1033" s="7">
        <v>45666</v>
      </c>
      <c r="K1033" s="5" t="s">
        <v>17</v>
      </c>
      <c r="L1033" s="8">
        <v>43612</v>
      </c>
      <c r="M1033" s="19">
        <v>264</v>
      </c>
      <c r="N1033" s="19">
        <v>314</v>
      </c>
      <c r="O1033" s="24">
        <v>6400</v>
      </c>
      <c r="P1033" s="24">
        <v>11100</v>
      </c>
      <c r="Q1033" t="s">
        <v>1983</v>
      </c>
      <c r="R1033" s="19">
        <f>VLOOKUP(A1033,[1]Sheet1!$A$2:$Q$1536,15,FALSE)</f>
        <v>7419.75634765625</v>
      </c>
      <c r="S1033" s="27">
        <f t="shared" si="48"/>
        <v>-0.49600599802798973</v>
      </c>
      <c r="T1033" s="19">
        <f>VLOOKUP(A1033,[1]Sheet1!$A$2:$Q$1536,16,FALSE)</f>
        <v>11153.95981633826</v>
      </c>
      <c r="U1033" s="27">
        <f t="shared" si="49"/>
        <v>4.8377273386999049E-3</v>
      </c>
      <c r="V1033" s="19">
        <f>VLOOKUP(A1033,[1]Sheet1!$A$2:$Q$1536,17,FALSE)</f>
        <v>7056.85595703125</v>
      </c>
      <c r="W1033" s="27">
        <f t="shared" si="50"/>
        <v>-0.57293843994934834</v>
      </c>
    </row>
    <row r="1034" spans="1:23" x14ac:dyDescent="0.3">
      <c r="A1034" s="4" t="s">
        <v>201</v>
      </c>
      <c r="B1034" s="5">
        <v>2019</v>
      </c>
      <c r="C1034" s="5" t="s">
        <v>96</v>
      </c>
      <c r="D1034" s="15" t="s">
        <v>154</v>
      </c>
      <c r="E1034" s="6">
        <v>70454</v>
      </c>
      <c r="F1034" s="5" t="s">
        <v>36</v>
      </c>
      <c r="G1034" s="5" t="s">
        <v>28</v>
      </c>
      <c r="H1034" s="5" t="s">
        <v>17</v>
      </c>
      <c r="I1034" s="5" t="s">
        <v>18</v>
      </c>
      <c r="J1034" s="7">
        <v>45510</v>
      </c>
      <c r="K1034" s="5" t="s">
        <v>17</v>
      </c>
      <c r="L1034" s="8">
        <v>44310</v>
      </c>
      <c r="M1034" s="19">
        <v>235</v>
      </c>
      <c r="N1034" s="19">
        <v>285</v>
      </c>
      <c r="O1034" s="24">
        <v>13250</v>
      </c>
      <c r="P1034" s="24">
        <v>14400</v>
      </c>
      <c r="Q1034" t="s">
        <v>1983</v>
      </c>
      <c r="R1034" s="19">
        <f>VLOOKUP(A1034,[1]Sheet1!$A$2:$Q$1536,15,FALSE)</f>
        <v>8048.044921875</v>
      </c>
      <c r="S1034" s="27">
        <f t="shared" si="48"/>
        <v>-0.78925442635888621</v>
      </c>
      <c r="T1034" s="19">
        <f>VLOOKUP(A1034,[1]Sheet1!$A$2:$Q$1536,16,FALSE)</f>
        <v>9824.439623911363</v>
      </c>
      <c r="U1034" s="27">
        <f t="shared" si="49"/>
        <v>-0.46573245408850994</v>
      </c>
      <c r="V1034" s="19">
        <f>VLOOKUP(A1034,[1]Sheet1!$A$2:$Q$1536,17,FALSE)</f>
        <v>8049.71630859375</v>
      </c>
      <c r="W1034" s="27">
        <f t="shared" si="50"/>
        <v>-0.78888291810070221</v>
      </c>
    </row>
    <row r="1035" spans="1:23" x14ac:dyDescent="0.3">
      <c r="A1035" s="4" t="s">
        <v>373</v>
      </c>
      <c r="B1035" s="5">
        <v>2019</v>
      </c>
      <c r="C1035" s="5" t="s">
        <v>237</v>
      </c>
      <c r="D1035" s="15" t="s">
        <v>374</v>
      </c>
      <c r="E1035" s="6">
        <v>27441</v>
      </c>
      <c r="F1035" s="5" t="s">
        <v>115</v>
      </c>
      <c r="G1035" s="5" t="s">
        <v>16</v>
      </c>
      <c r="H1035" s="5" t="s">
        <v>17</v>
      </c>
      <c r="I1035" s="5" t="s">
        <v>18</v>
      </c>
      <c r="J1035" s="7">
        <v>45566</v>
      </c>
      <c r="K1035" s="5" t="s">
        <v>17</v>
      </c>
      <c r="L1035" s="8">
        <v>44128</v>
      </c>
      <c r="M1035" s="19">
        <v>264</v>
      </c>
      <c r="N1035" s="19">
        <v>314</v>
      </c>
      <c r="O1035" s="24">
        <v>19600</v>
      </c>
      <c r="P1035" s="24">
        <v>28500</v>
      </c>
      <c r="Q1035" t="s">
        <v>1983</v>
      </c>
      <c r="R1035" s="19">
        <f>VLOOKUP(A1035,[1]Sheet1!$A$2:$Q$1536,15,FALSE)</f>
        <v>17490.779296875</v>
      </c>
      <c r="S1035" s="27">
        <f t="shared" si="48"/>
        <v>-0.62942997085852936</v>
      </c>
      <c r="T1035" s="19">
        <f>VLOOKUP(A1035,[1]Sheet1!$A$2:$Q$1536,16,FALSE)</f>
        <v>12838.837564255349</v>
      </c>
      <c r="U1035" s="27">
        <f t="shared" si="49"/>
        <v>-1.2198271344554545</v>
      </c>
      <c r="V1035" s="19">
        <f>VLOOKUP(A1035,[1]Sheet1!$A$2:$Q$1536,17,FALSE)</f>
        <v>17555.337890625</v>
      </c>
      <c r="W1035" s="27">
        <f t="shared" si="50"/>
        <v>-0.62343784993279616</v>
      </c>
    </row>
    <row r="1036" spans="1:23" x14ac:dyDescent="0.3">
      <c r="A1036" s="4" t="s">
        <v>1579</v>
      </c>
      <c r="B1036" s="5">
        <v>2020</v>
      </c>
      <c r="C1036" s="5" t="s">
        <v>636</v>
      </c>
      <c r="D1036" s="15" t="s">
        <v>1580</v>
      </c>
      <c r="E1036" s="6">
        <v>105230</v>
      </c>
      <c r="F1036" s="5" t="s">
        <v>251</v>
      </c>
      <c r="G1036" s="5" t="s">
        <v>22</v>
      </c>
      <c r="H1036" s="5" t="s">
        <v>18</v>
      </c>
      <c r="I1036" s="5" t="s">
        <v>17</v>
      </c>
      <c r="J1036" s="7">
        <v>45678</v>
      </c>
      <c r="K1036" s="5" t="s">
        <v>17</v>
      </c>
      <c r="L1036" s="8">
        <v>44128</v>
      </c>
      <c r="M1036" s="19">
        <v>264</v>
      </c>
      <c r="N1036" s="19">
        <v>314</v>
      </c>
      <c r="O1036" s="24">
        <v>6000</v>
      </c>
      <c r="P1036" s="24">
        <v>14967.1052631579</v>
      </c>
      <c r="Q1036" t="s">
        <v>1983</v>
      </c>
      <c r="R1036" s="19">
        <f>VLOOKUP(A1036,[1]Sheet1!$A$2:$Q$1536,15,FALSE)</f>
        <v>4191.1748046875</v>
      </c>
      <c r="S1036" s="27">
        <f t="shared" si="48"/>
        <v>-2.5711002190646806</v>
      </c>
      <c r="T1036" s="19">
        <f>VLOOKUP(A1036,[1]Sheet1!$A$2:$Q$1536,16,FALSE)</f>
        <v>10539.41551899413</v>
      </c>
      <c r="U1036" s="27">
        <f t="shared" si="49"/>
        <v>-0.42010771244232564</v>
      </c>
      <c r="V1036" s="19">
        <f>VLOOKUP(A1036,[1]Sheet1!$A$2:$Q$1536,17,FALSE)</f>
        <v>4079.727294921875</v>
      </c>
      <c r="W1036" s="27">
        <f t="shared" si="50"/>
        <v>-2.6686533636176568</v>
      </c>
    </row>
    <row r="1037" spans="1:23" x14ac:dyDescent="0.3">
      <c r="A1037" s="4" t="s">
        <v>1727</v>
      </c>
      <c r="B1037" s="5">
        <v>2013</v>
      </c>
      <c r="C1037" s="5" t="s">
        <v>1089</v>
      </c>
      <c r="D1037" s="15" t="s">
        <v>1720</v>
      </c>
      <c r="E1037" s="6">
        <v>136008</v>
      </c>
      <c r="F1037" s="5" t="s">
        <v>144</v>
      </c>
      <c r="G1037" s="5" t="s">
        <v>22</v>
      </c>
      <c r="H1037" s="5" t="s">
        <v>18</v>
      </c>
      <c r="I1037" s="5" t="s">
        <v>17</v>
      </c>
      <c r="J1037" s="7">
        <v>45398</v>
      </c>
      <c r="K1037" s="5" t="s">
        <v>17</v>
      </c>
      <c r="L1037" s="8">
        <v>44035</v>
      </c>
      <c r="M1037" s="19">
        <v>222</v>
      </c>
      <c r="N1037" s="19">
        <v>272</v>
      </c>
      <c r="O1037" s="24">
        <v>700</v>
      </c>
      <c r="P1037" s="24">
        <v>2700</v>
      </c>
      <c r="Q1037" t="s">
        <v>1983</v>
      </c>
      <c r="R1037" s="19">
        <f>VLOOKUP(A1037,[1]Sheet1!$A$2:$Q$1536,15,FALSE)</f>
        <v>993.3095703125</v>
      </c>
      <c r="S1037" s="27">
        <f t="shared" si="48"/>
        <v>-1.7181858311810758</v>
      </c>
      <c r="T1037" s="19">
        <f>VLOOKUP(A1037,[1]Sheet1!$A$2:$Q$1536,16,FALSE)</f>
        <v>8594.7938024844843</v>
      </c>
      <c r="U1037" s="27">
        <f t="shared" si="49"/>
        <v>0.68585633791243306</v>
      </c>
      <c r="V1037" s="19">
        <f>VLOOKUP(A1037,[1]Sheet1!$A$2:$Q$1536,17,FALSE)</f>
        <v>1180.456665039062</v>
      </c>
      <c r="W1037" s="27">
        <f t="shared" si="50"/>
        <v>-1.2872504175412955</v>
      </c>
    </row>
    <row r="1038" spans="1:23" x14ac:dyDescent="0.3">
      <c r="A1038" s="4" t="s">
        <v>236</v>
      </c>
      <c r="B1038" s="5">
        <v>2016</v>
      </c>
      <c r="C1038" s="5" t="s">
        <v>237</v>
      </c>
      <c r="D1038" s="15" t="s">
        <v>238</v>
      </c>
      <c r="E1038" s="6">
        <v>98524</v>
      </c>
      <c r="F1038" s="5" t="s">
        <v>59</v>
      </c>
      <c r="G1038" s="5" t="s">
        <v>25</v>
      </c>
      <c r="H1038" s="5" t="s">
        <v>18</v>
      </c>
      <c r="I1038" s="5" t="s">
        <v>17</v>
      </c>
      <c r="J1038" s="7">
        <v>45330</v>
      </c>
      <c r="K1038" s="5" t="s">
        <v>17</v>
      </c>
      <c r="L1038" s="8">
        <v>44310</v>
      </c>
      <c r="M1038" s="19">
        <v>235</v>
      </c>
      <c r="N1038" s="19">
        <v>285</v>
      </c>
      <c r="O1038" s="24">
        <v>0</v>
      </c>
      <c r="P1038" s="24">
        <v>9500</v>
      </c>
      <c r="Q1038" t="s">
        <v>1983</v>
      </c>
      <c r="R1038" s="19">
        <f>VLOOKUP(A1038,[1]Sheet1!$A$2:$Q$1536,15,FALSE)</f>
        <v>9273.3603515625</v>
      </c>
      <c r="S1038" s="27">
        <f t="shared" si="48"/>
        <v>-2.4439862126064443E-2</v>
      </c>
      <c r="T1038" s="19">
        <f>VLOOKUP(A1038,[1]Sheet1!$A$2:$Q$1536,16,FALSE)</f>
        <v>10154.541029245731</v>
      </c>
      <c r="U1038" s="27">
        <f t="shared" si="49"/>
        <v>6.4457962931127127E-2</v>
      </c>
      <c r="V1038" s="19">
        <f>VLOOKUP(A1038,[1]Sheet1!$A$2:$Q$1536,17,FALSE)</f>
        <v>9481.7255859375</v>
      </c>
      <c r="W1038" s="27">
        <f t="shared" si="50"/>
        <v>-1.9273299882885324E-3</v>
      </c>
    </row>
    <row r="1039" spans="1:23" x14ac:dyDescent="0.3">
      <c r="A1039" s="4" t="s">
        <v>324</v>
      </c>
      <c r="B1039" s="5">
        <v>2014</v>
      </c>
      <c r="C1039" s="5" t="s">
        <v>237</v>
      </c>
      <c r="D1039" s="15" t="s">
        <v>310</v>
      </c>
      <c r="E1039" s="6">
        <v>147178</v>
      </c>
      <c r="F1039" s="5" t="s">
        <v>61</v>
      </c>
      <c r="G1039" s="5" t="s">
        <v>25</v>
      </c>
      <c r="H1039" s="5" t="s">
        <v>18</v>
      </c>
      <c r="I1039" s="5" t="s">
        <v>17</v>
      </c>
      <c r="J1039" s="7">
        <v>45426</v>
      </c>
      <c r="K1039" s="5" t="s">
        <v>17</v>
      </c>
      <c r="L1039" s="8">
        <v>44081</v>
      </c>
      <c r="M1039" s="19">
        <v>325</v>
      </c>
      <c r="N1039" s="19">
        <v>375</v>
      </c>
      <c r="O1039" s="24">
        <v>1500</v>
      </c>
      <c r="P1039" s="24">
        <v>4500</v>
      </c>
      <c r="Q1039" t="s">
        <v>1983</v>
      </c>
      <c r="R1039" s="19">
        <f>VLOOKUP(A1039,[1]Sheet1!$A$2:$Q$1536,15,FALSE)</f>
        <v>1047.282470703125</v>
      </c>
      <c r="S1039" s="27">
        <f t="shared" si="48"/>
        <v>-3.2968350238678088</v>
      </c>
      <c r="T1039" s="19">
        <f>VLOOKUP(A1039,[1]Sheet1!$A$2:$Q$1536,16,FALSE)</f>
        <v>9140.7394673329618</v>
      </c>
      <c r="U1039" s="27">
        <f t="shared" si="49"/>
        <v>0.50769847274588309</v>
      </c>
      <c r="V1039" s="19">
        <f>VLOOKUP(A1039,[1]Sheet1!$A$2:$Q$1536,17,FALSE)</f>
        <v>1169.860107421875</v>
      </c>
      <c r="W1039" s="27">
        <f t="shared" si="50"/>
        <v>-2.8466137715534647</v>
      </c>
    </row>
    <row r="1040" spans="1:23" x14ac:dyDescent="0.3">
      <c r="A1040" s="4" t="s">
        <v>206</v>
      </c>
      <c r="B1040" s="5">
        <v>2016</v>
      </c>
      <c r="C1040" s="5" t="s">
        <v>83</v>
      </c>
      <c r="D1040" s="15" t="s">
        <v>205</v>
      </c>
      <c r="E1040" s="6">
        <v>201228</v>
      </c>
      <c r="F1040" s="5" t="s">
        <v>92</v>
      </c>
      <c r="G1040" s="5" t="s">
        <v>25</v>
      </c>
      <c r="H1040" s="5" t="s">
        <v>18</v>
      </c>
      <c r="I1040" s="5" t="s">
        <v>17</v>
      </c>
      <c r="J1040" s="7">
        <v>45510</v>
      </c>
      <c r="K1040" s="5" t="s">
        <v>17</v>
      </c>
      <c r="L1040" s="8">
        <v>44451</v>
      </c>
      <c r="M1040" s="19">
        <v>264</v>
      </c>
      <c r="N1040" s="19">
        <v>314</v>
      </c>
      <c r="O1040" s="24">
        <v>2750</v>
      </c>
      <c r="P1040" s="24">
        <v>11200</v>
      </c>
      <c r="Q1040" t="s">
        <v>1983</v>
      </c>
      <c r="R1040" s="19">
        <f>VLOOKUP(A1040,[1]Sheet1!$A$2:$Q$1536,15,FALSE)</f>
        <v>5340.60595703125</v>
      </c>
      <c r="S1040" s="27">
        <f t="shared" si="48"/>
        <v>-1.0971403039489334</v>
      </c>
      <c r="T1040" s="19">
        <f>VLOOKUP(A1040,[1]Sheet1!$A$2:$Q$1536,16,FALSE)</f>
        <v>9884.1147565746069</v>
      </c>
      <c r="U1040" s="27">
        <f t="shared" si="49"/>
        <v>-0.13313131988376672</v>
      </c>
      <c r="V1040" s="19">
        <f>VLOOKUP(A1040,[1]Sheet1!$A$2:$Q$1536,17,FALSE)</f>
        <v>5427.90234375</v>
      </c>
      <c r="W1040" s="27">
        <f t="shared" si="50"/>
        <v>-1.0634122153830432</v>
      </c>
    </row>
    <row r="1041" spans="1:23" x14ac:dyDescent="0.3">
      <c r="A1041" s="4" t="s">
        <v>910</v>
      </c>
      <c r="B1041" s="5">
        <v>2016</v>
      </c>
      <c r="C1041" s="5" t="s">
        <v>30</v>
      </c>
      <c r="D1041" s="15" t="s">
        <v>911</v>
      </c>
      <c r="E1041" s="6">
        <v>106000</v>
      </c>
      <c r="F1041" s="5" t="s">
        <v>73</v>
      </c>
      <c r="G1041" s="5" t="s">
        <v>25</v>
      </c>
      <c r="H1041" s="5" t="s">
        <v>18</v>
      </c>
      <c r="I1041" s="5" t="s">
        <v>17</v>
      </c>
      <c r="J1041" s="7">
        <v>45666</v>
      </c>
      <c r="K1041" s="5" t="s">
        <v>17</v>
      </c>
      <c r="L1041" s="8">
        <v>44307</v>
      </c>
      <c r="M1041" s="19">
        <v>235</v>
      </c>
      <c r="N1041" s="19">
        <v>285</v>
      </c>
      <c r="O1041" s="24">
        <v>0</v>
      </c>
      <c r="P1041" s="24">
        <v>8600</v>
      </c>
      <c r="Q1041" t="s">
        <v>1983</v>
      </c>
      <c r="R1041" s="19">
        <f>VLOOKUP(A1041,[1]Sheet1!$A$2:$Q$1536,15,FALSE)</f>
        <v>4365.8671875</v>
      </c>
      <c r="S1041" s="27">
        <f t="shared" si="48"/>
        <v>-0.96982629811159371</v>
      </c>
      <c r="T1041" s="19">
        <f>VLOOKUP(A1041,[1]Sheet1!$A$2:$Q$1536,16,FALSE)</f>
        <v>9110.9952061169242</v>
      </c>
      <c r="U1041" s="27">
        <f t="shared" si="49"/>
        <v>5.6085553175777458E-2</v>
      </c>
      <c r="V1041" s="19">
        <f>VLOOKUP(A1041,[1]Sheet1!$A$2:$Q$1536,17,FALSE)</f>
        <v>4356.724609375</v>
      </c>
      <c r="W1041" s="27">
        <f t="shared" si="50"/>
        <v>-0.97395997476960683</v>
      </c>
    </row>
    <row r="1042" spans="1:23" x14ac:dyDescent="0.3">
      <c r="A1042" s="4" t="s">
        <v>491</v>
      </c>
      <c r="B1042" s="5">
        <v>2017</v>
      </c>
      <c r="C1042" s="5" t="s">
        <v>391</v>
      </c>
      <c r="D1042" s="15" t="s">
        <v>394</v>
      </c>
      <c r="E1042" s="6">
        <v>77710</v>
      </c>
      <c r="F1042" s="5" t="s">
        <v>112</v>
      </c>
      <c r="G1042" s="5" t="s">
        <v>22</v>
      </c>
      <c r="H1042" s="5" t="s">
        <v>18</v>
      </c>
      <c r="I1042" s="5" t="s">
        <v>17</v>
      </c>
      <c r="J1042" s="7">
        <v>45496</v>
      </c>
      <c r="K1042" s="5" t="s">
        <v>17</v>
      </c>
      <c r="L1042" s="8">
        <v>44128</v>
      </c>
      <c r="M1042" s="19">
        <v>264</v>
      </c>
      <c r="N1042" s="19">
        <v>314</v>
      </c>
      <c r="O1042" s="24">
        <v>3100</v>
      </c>
      <c r="P1042" s="24">
        <v>8300</v>
      </c>
      <c r="Q1042" t="s">
        <v>1983</v>
      </c>
      <c r="R1042" s="19">
        <f>VLOOKUP(A1042,[1]Sheet1!$A$2:$Q$1536,15,FALSE)</f>
        <v>3588.253173828125</v>
      </c>
      <c r="S1042" s="27">
        <f t="shared" si="48"/>
        <v>-1.3131032282053698</v>
      </c>
      <c r="T1042" s="19">
        <f>VLOOKUP(A1042,[1]Sheet1!$A$2:$Q$1536,16,FALSE)</f>
        <v>9480.5581416397727</v>
      </c>
      <c r="U1042" s="27">
        <f t="shared" si="49"/>
        <v>0.1245241180953911</v>
      </c>
      <c r="V1042" s="19">
        <f>VLOOKUP(A1042,[1]Sheet1!$A$2:$Q$1536,17,FALSE)</f>
        <v>3595.61181640625</v>
      </c>
      <c r="W1042" s="27">
        <f t="shared" si="50"/>
        <v>-1.3083693189927554</v>
      </c>
    </row>
    <row r="1043" spans="1:23" x14ac:dyDescent="0.3">
      <c r="A1043" s="4" t="s">
        <v>661</v>
      </c>
      <c r="B1043" s="5">
        <v>2018</v>
      </c>
      <c r="C1043" s="5" t="s">
        <v>636</v>
      </c>
      <c r="D1043" s="15" t="s">
        <v>641</v>
      </c>
      <c r="E1043" s="6">
        <v>87768</v>
      </c>
      <c r="F1043" s="5" t="s">
        <v>199</v>
      </c>
      <c r="G1043" s="5" t="s">
        <v>33</v>
      </c>
      <c r="H1043" s="5" t="s">
        <v>17</v>
      </c>
      <c r="I1043" s="5" t="s">
        <v>18</v>
      </c>
      <c r="J1043" s="7">
        <v>45722</v>
      </c>
      <c r="K1043" s="5" t="s">
        <v>17</v>
      </c>
      <c r="L1043" s="8">
        <v>43935</v>
      </c>
      <c r="M1043" s="19">
        <v>222</v>
      </c>
      <c r="N1043" s="19">
        <v>272</v>
      </c>
      <c r="O1043" s="24">
        <v>0</v>
      </c>
      <c r="P1043" s="24">
        <v>9200</v>
      </c>
      <c r="Q1043" t="s">
        <v>1983</v>
      </c>
      <c r="R1043" s="19">
        <f>VLOOKUP(A1043,[1]Sheet1!$A$2:$Q$1536,15,FALSE)</f>
        <v>9548.529296875</v>
      </c>
      <c r="S1043" s="27">
        <f t="shared" si="48"/>
        <v>3.6500835473067574E-2</v>
      </c>
      <c r="T1043" s="19">
        <f>VLOOKUP(A1043,[1]Sheet1!$A$2:$Q$1536,16,FALSE)</f>
        <v>9927.7532445303732</v>
      </c>
      <c r="U1043" s="27">
        <f t="shared" si="49"/>
        <v>7.3304928779462139E-2</v>
      </c>
      <c r="V1043" s="19">
        <f>VLOOKUP(A1043,[1]Sheet1!$A$2:$Q$1536,17,FALSE)</f>
        <v>9579.330078125</v>
      </c>
      <c r="W1043" s="27">
        <f t="shared" si="50"/>
        <v>3.959881067165897E-2</v>
      </c>
    </row>
    <row r="1044" spans="1:23" x14ac:dyDescent="0.3">
      <c r="A1044" s="4" t="s">
        <v>1198</v>
      </c>
      <c r="B1044" s="5">
        <v>2017</v>
      </c>
      <c r="C1044" s="5" t="s">
        <v>684</v>
      </c>
      <c r="D1044" s="15" t="s">
        <v>1196</v>
      </c>
      <c r="E1044" s="6">
        <v>45469</v>
      </c>
      <c r="F1044" s="5" t="s">
        <v>164</v>
      </c>
      <c r="G1044" s="5" t="s">
        <v>25</v>
      </c>
      <c r="H1044" s="5" t="s">
        <v>18</v>
      </c>
      <c r="I1044" s="5" t="s">
        <v>17</v>
      </c>
      <c r="J1044" s="7">
        <v>45594</v>
      </c>
      <c r="K1044" s="5" t="s">
        <v>17</v>
      </c>
      <c r="L1044" s="8">
        <v>43612</v>
      </c>
      <c r="M1044" s="19">
        <v>264</v>
      </c>
      <c r="N1044" s="19">
        <v>314</v>
      </c>
      <c r="O1044" s="24">
        <v>0</v>
      </c>
      <c r="P1044" s="24">
        <v>15000</v>
      </c>
      <c r="Q1044" t="s">
        <v>1983</v>
      </c>
      <c r="R1044" s="19">
        <f>VLOOKUP(A1044,[1]Sheet1!$A$2:$Q$1536,15,FALSE)</f>
        <v>12852.3310546875</v>
      </c>
      <c r="S1044" s="27">
        <f t="shared" si="48"/>
        <v>-0.16710345665498574</v>
      </c>
      <c r="T1044" s="19">
        <f>VLOOKUP(A1044,[1]Sheet1!$A$2:$Q$1536,16,FALSE)</f>
        <v>11195.859661829691</v>
      </c>
      <c r="U1044" s="27">
        <f t="shared" si="49"/>
        <v>-0.33978099521378025</v>
      </c>
      <c r="V1044" s="19">
        <f>VLOOKUP(A1044,[1]Sheet1!$A$2:$Q$1536,17,FALSE)</f>
        <v>12989.7431640625</v>
      </c>
      <c r="W1044" s="27">
        <f t="shared" si="50"/>
        <v>-0.1547572427374152</v>
      </c>
    </row>
    <row r="1045" spans="1:23" x14ac:dyDescent="0.3">
      <c r="A1045" s="4" t="s">
        <v>666</v>
      </c>
      <c r="B1045" s="5">
        <v>2017</v>
      </c>
      <c r="C1045" s="5" t="s">
        <v>636</v>
      </c>
      <c r="D1045" s="15" t="s">
        <v>646</v>
      </c>
      <c r="E1045" s="6">
        <v>151885</v>
      </c>
      <c r="F1045" s="5" t="s">
        <v>112</v>
      </c>
      <c r="G1045" s="5" t="s">
        <v>22</v>
      </c>
      <c r="H1045" s="5" t="s">
        <v>18</v>
      </c>
      <c r="I1045" s="5" t="s">
        <v>17</v>
      </c>
      <c r="J1045" s="7">
        <v>45524</v>
      </c>
      <c r="K1045" s="5" t="s">
        <v>17</v>
      </c>
      <c r="L1045" s="8">
        <v>44135</v>
      </c>
      <c r="M1045" s="19">
        <v>235</v>
      </c>
      <c r="N1045" s="19">
        <v>285</v>
      </c>
      <c r="O1045" s="24">
        <v>1200</v>
      </c>
      <c r="P1045" s="24">
        <v>9700</v>
      </c>
      <c r="Q1045" t="s">
        <v>1983</v>
      </c>
      <c r="R1045" s="19">
        <f>VLOOKUP(A1045,[1]Sheet1!$A$2:$Q$1536,15,FALSE)</f>
        <v>1809.679565429688</v>
      </c>
      <c r="S1045" s="27">
        <f t="shared" si="48"/>
        <v>-4.3600649448107376</v>
      </c>
      <c r="T1045" s="19">
        <f>VLOOKUP(A1045,[1]Sheet1!$A$2:$Q$1536,16,FALSE)</f>
        <v>8808.2556549457058</v>
      </c>
      <c r="U1045" s="27">
        <f t="shared" si="49"/>
        <v>-0.10123960747592435</v>
      </c>
      <c r="V1045" s="19">
        <f>VLOOKUP(A1045,[1]Sheet1!$A$2:$Q$1536,17,FALSE)</f>
        <v>1752.955688476562</v>
      </c>
      <c r="W1045" s="27">
        <f t="shared" si="50"/>
        <v>-4.5335112369154986</v>
      </c>
    </row>
    <row r="1046" spans="1:23" x14ac:dyDescent="0.3">
      <c r="A1046" s="4" t="s">
        <v>999</v>
      </c>
      <c r="B1046" s="5">
        <v>2014</v>
      </c>
      <c r="C1046" s="5" t="s">
        <v>237</v>
      </c>
      <c r="D1046" s="15" t="s">
        <v>238</v>
      </c>
      <c r="E1046" s="6">
        <v>147055</v>
      </c>
      <c r="F1046" s="5" t="s">
        <v>1000</v>
      </c>
      <c r="G1046" s="5" t="s">
        <v>25</v>
      </c>
      <c r="H1046" s="5" t="s">
        <v>18</v>
      </c>
      <c r="I1046" s="5" t="s">
        <v>17</v>
      </c>
      <c r="J1046" s="7">
        <v>45554</v>
      </c>
      <c r="K1046" s="5" t="s">
        <v>17</v>
      </c>
      <c r="L1046" s="8">
        <v>44028</v>
      </c>
      <c r="M1046" s="19">
        <v>235</v>
      </c>
      <c r="N1046" s="19">
        <v>285</v>
      </c>
      <c r="O1046" s="24">
        <v>0</v>
      </c>
      <c r="P1046" s="24">
        <v>5841.3765822784799</v>
      </c>
      <c r="Q1046" t="s">
        <v>1983</v>
      </c>
      <c r="R1046" s="19">
        <f>VLOOKUP(A1046,[1]Sheet1!$A$2:$Q$1536,15,FALSE)</f>
        <v>4700.08740234375</v>
      </c>
      <c r="S1046" s="27">
        <f t="shared" si="48"/>
        <v>-0.24282296949746371</v>
      </c>
      <c r="T1046" s="19">
        <f>VLOOKUP(A1046,[1]Sheet1!$A$2:$Q$1536,16,FALSE)</f>
        <v>9301.2068014746692</v>
      </c>
      <c r="U1046" s="27">
        <f t="shared" si="49"/>
        <v>0.37197648574458608</v>
      </c>
      <c r="V1046" s="19">
        <f>VLOOKUP(A1046,[1]Sheet1!$A$2:$Q$1536,17,FALSE)</f>
        <v>4646.1630859375</v>
      </c>
      <c r="W1046" s="27">
        <f t="shared" si="50"/>
        <v>-0.25724742636747339</v>
      </c>
    </row>
    <row r="1047" spans="1:23" x14ac:dyDescent="0.3">
      <c r="A1047" s="4" t="s">
        <v>1034</v>
      </c>
      <c r="B1047" s="5">
        <v>2018</v>
      </c>
      <c r="C1047" s="5" t="s">
        <v>559</v>
      </c>
      <c r="D1047" s="15" t="s">
        <v>809</v>
      </c>
      <c r="E1047" s="6">
        <v>62994</v>
      </c>
      <c r="F1047" s="5" t="s">
        <v>40</v>
      </c>
      <c r="G1047" s="5" t="s">
        <v>28</v>
      </c>
      <c r="H1047" s="5" t="s">
        <v>17</v>
      </c>
      <c r="I1047" s="5" t="s">
        <v>18</v>
      </c>
      <c r="J1047" s="7">
        <v>45575</v>
      </c>
      <c r="K1047" s="5" t="s">
        <v>17</v>
      </c>
      <c r="L1047" s="8">
        <v>43612</v>
      </c>
      <c r="M1047" s="19">
        <v>264</v>
      </c>
      <c r="N1047" s="19">
        <v>314</v>
      </c>
      <c r="O1047" s="24">
        <v>0</v>
      </c>
      <c r="P1047" s="24">
        <v>11000</v>
      </c>
      <c r="Q1047" t="s">
        <v>1983</v>
      </c>
      <c r="R1047" s="19">
        <f>VLOOKUP(A1047,[1]Sheet1!$A$2:$Q$1536,15,FALSE)</f>
        <v>10550.685546875</v>
      </c>
      <c r="S1047" s="27">
        <f t="shared" si="48"/>
        <v>-4.2586280401284649E-2</v>
      </c>
      <c r="T1047" s="19">
        <f>VLOOKUP(A1047,[1]Sheet1!$A$2:$Q$1536,16,FALSE)</f>
        <v>12497.627382878591</v>
      </c>
      <c r="U1047" s="27">
        <f t="shared" si="49"/>
        <v>0.11983293604434866</v>
      </c>
      <c r="V1047" s="19">
        <f>VLOOKUP(A1047,[1]Sheet1!$A$2:$Q$1536,17,FALSE)</f>
        <v>10445.6982421875</v>
      </c>
      <c r="W1047" s="27">
        <f t="shared" si="50"/>
        <v>-5.3065074728448229E-2</v>
      </c>
    </row>
    <row r="1048" spans="1:23" x14ac:dyDescent="0.3">
      <c r="A1048" s="4" t="s">
        <v>545</v>
      </c>
      <c r="B1048" s="5">
        <v>2016</v>
      </c>
      <c r="C1048" s="5" t="s">
        <v>391</v>
      </c>
      <c r="D1048" s="15" t="s">
        <v>543</v>
      </c>
      <c r="E1048" s="6">
        <v>128349</v>
      </c>
      <c r="F1048" s="5" t="s">
        <v>77</v>
      </c>
      <c r="G1048" s="5" t="s">
        <v>28</v>
      </c>
      <c r="H1048" s="5" t="s">
        <v>17</v>
      </c>
      <c r="I1048" s="5" t="s">
        <v>18</v>
      </c>
      <c r="J1048" s="7">
        <v>45720</v>
      </c>
      <c r="K1048" s="5" t="s">
        <v>17</v>
      </c>
      <c r="L1048" s="8">
        <v>43612</v>
      </c>
      <c r="M1048" s="19">
        <v>264</v>
      </c>
      <c r="N1048" s="19">
        <v>314</v>
      </c>
      <c r="O1048" s="24">
        <v>14500</v>
      </c>
      <c r="P1048" s="24">
        <v>17100</v>
      </c>
      <c r="Q1048" t="s">
        <v>1983</v>
      </c>
      <c r="R1048" s="19">
        <f>VLOOKUP(A1048,[1]Sheet1!$A$2:$Q$1536,15,FALSE)</f>
        <v>5735.1416015625</v>
      </c>
      <c r="S1048" s="27">
        <f t="shared" si="48"/>
        <v>-1.9816177503518349</v>
      </c>
      <c r="T1048" s="19">
        <f>VLOOKUP(A1048,[1]Sheet1!$A$2:$Q$1536,16,FALSE)</f>
        <v>9597.0651520954016</v>
      </c>
      <c r="U1048" s="27">
        <f t="shared" si="49"/>
        <v>-0.78179471838496628</v>
      </c>
      <c r="V1048" s="19">
        <f>VLOOKUP(A1048,[1]Sheet1!$A$2:$Q$1536,17,FALSE)</f>
        <v>5812.43994140625</v>
      </c>
      <c r="W1048" s="27">
        <f t="shared" si="50"/>
        <v>-1.9419658822079562</v>
      </c>
    </row>
    <row r="1049" spans="1:23" x14ac:dyDescent="0.3">
      <c r="A1049" s="4" t="s">
        <v>443</v>
      </c>
      <c r="B1049" s="5">
        <v>2016</v>
      </c>
      <c r="C1049" s="5" t="s">
        <v>391</v>
      </c>
      <c r="D1049" s="15" t="s">
        <v>432</v>
      </c>
      <c r="E1049" s="6">
        <v>89065</v>
      </c>
      <c r="F1049" s="5" t="s">
        <v>24</v>
      </c>
      <c r="G1049" s="5" t="s">
        <v>28</v>
      </c>
      <c r="H1049" s="5" t="s">
        <v>17</v>
      </c>
      <c r="I1049" s="5" t="s">
        <v>18</v>
      </c>
      <c r="J1049" s="7">
        <v>45449</v>
      </c>
      <c r="K1049" s="5" t="s">
        <v>17</v>
      </c>
      <c r="L1049" s="8">
        <v>44067</v>
      </c>
      <c r="M1049" s="19">
        <v>235</v>
      </c>
      <c r="N1049" s="19">
        <v>285</v>
      </c>
      <c r="O1049" s="24">
        <v>4400</v>
      </c>
      <c r="P1049" s="24">
        <v>8500</v>
      </c>
      <c r="Q1049" t="s">
        <v>1983</v>
      </c>
      <c r="R1049" s="19">
        <f>VLOOKUP(A1049,[1]Sheet1!$A$2:$Q$1536,15,FALSE)</f>
        <v>4607.40087890625</v>
      </c>
      <c r="S1049" s="27">
        <f t="shared" si="48"/>
        <v>-0.84485791955177414</v>
      </c>
      <c r="T1049" s="19">
        <f>VLOOKUP(A1049,[1]Sheet1!$A$2:$Q$1536,16,FALSE)</f>
        <v>9472.5089224206658</v>
      </c>
      <c r="U1049" s="27">
        <f t="shared" si="49"/>
        <v>0.1026664562034685</v>
      </c>
      <c r="V1049" s="19">
        <f>VLOOKUP(A1049,[1]Sheet1!$A$2:$Q$1536,17,FALSE)</f>
        <v>4599.1796875</v>
      </c>
      <c r="W1049" s="27">
        <f t="shared" si="50"/>
        <v>-0.84815566634674999</v>
      </c>
    </row>
    <row r="1050" spans="1:23" x14ac:dyDescent="0.3">
      <c r="A1050" s="4" t="s">
        <v>194</v>
      </c>
      <c r="B1050" s="5">
        <v>2018</v>
      </c>
      <c r="C1050" s="5" t="s">
        <v>96</v>
      </c>
      <c r="D1050" s="15" t="s">
        <v>190</v>
      </c>
      <c r="E1050" s="6">
        <v>113797</v>
      </c>
      <c r="F1050" s="5" t="s">
        <v>40</v>
      </c>
      <c r="G1050" s="5" t="s">
        <v>33</v>
      </c>
      <c r="H1050" s="5" t="s">
        <v>17</v>
      </c>
      <c r="I1050" s="5" t="s">
        <v>18</v>
      </c>
      <c r="J1050" s="7">
        <v>45666</v>
      </c>
      <c r="K1050" s="5" t="s">
        <v>17</v>
      </c>
      <c r="L1050" s="8">
        <v>43612</v>
      </c>
      <c r="M1050" s="19">
        <v>264</v>
      </c>
      <c r="N1050" s="19">
        <v>314</v>
      </c>
      <c r="O1050" s="24">
        <v>0</v>
      </c>
      <c r="P1050" s="24">
        <v>12900</v>
      </c>
      <c r="Q1050" t="s">
        <v>1983</v>
      </c>
      <c r="R1050" s="19">
        <f>VLOOKUP(A1050,[1]Sheet1!$A$2:$Q$1536,15,FALSE)</f>
        <v>4415.15185546875</v>
      </c>
      <c r="S1050" s="27">
        <f t="shared" si="48"/>
        <v>-1.9217568097961664</v>
      </c>
      <c r="T1050" s="19">
        <f>VLOOKUP(A1050,[1]Sheet1!$A$2:$Q$1536,16,FALSE)</f>
        <v>9351.7248166103782</v>
      </c>
      <c r="U1050" s="27">
        <f t="shared" si="49"/>
        <v>-0.37942467865256624</v>
      </c>
      <c r="V1050" s="19">
        <f>VLOOKUP(A1050,[1]Sheet1!$A$2:$Q$1536,17,FALSE)</f>
        <v>4356.724609375</v>
      </c>
      <c r="W1050" s="27">
        <f t="shared" si="50"/>
        <v>-1.9609399621544101</v>
      </c>
    </row>
    <row r="1051" spans="1:23" x14ac:dyDescent="0.3">
      <c r="A1051" s="4" t="s">
        <v>148</v>
      </c>
      <c r="B1051" s="5">
        <v>2015</v>
      </c>
      <c r="C1051" s="5" t="s">
        <v>96</v>
      </c>
      <c r="D1051" s="15" t="s">
        <v>140</v>
      </c>
      <c r="E1051" s="6">
        <v>87889</v>
      </c>
      <c r="F1051" s="5" t="s">
        <v>24</v>
      </c>
      <c r="G1051" s="5" t="s">
        <v>28</v>
      </c>
      <c r="H1051" s="5" t="s">
        <v>17</v>
      </c>
      <c r="I1051" s="5" t="s">
        <v>18</v>
      </c>
      <c r="J1051" s="7">
        <v>45330</v>
      </c>
      <c r="K1051" s="5" t="s">
        <v>17</v>
      </c>
      <c r="L1051" s="8">
        <v>44113</v>
      </c>
      <c r="M1051" s="19">
        <v>264</v>
      </c>
      <c r="N1051" s="19">
        <v>314</v>
      </c>
      <c r="O1051" s="24">
        <v>0</v>
      </c>
      <c r="P1051" s="24">
        <v>4300</v>
      </c>
      <c r="Q1051" t="s">
        <v>1983</v>
      </c>
      <c r="R1051" s="19">
        <f>VLOOKUP(A1051,[1]Sheet1!$A$2:$Q$1536,15,FALSE)</f>
        <v>4301.03076171875</v>
      </c>
      <c r="S1051" s="27">
        <f t="shared" si="48"/>
        <v>2.3965457953109215E-4</v>
      </c>
      <c r="T1051" s="19">
        <f>VLOOKUP(A1051,[1]Sheet1!$A$2:$Q$1536,16,FALSE)</f>
        <v>9485.3516778635185</v>
      </c>
      <c r="U1051" s="27">
        <f t="shared" si="49"/>
        <v>0.54666941764161003</v>
      </c>
      <c r="V1051" s="19">
        <f>VLOOKUP(A1051,[1]Sheet1!$A$2:$Q$1536,17,FALSE)</f>
        <v>4420.03955078125</v>
      </c>
      <c r="W1051" s="27">
        <f t="shared" si="50"/>
        <v>2.7158026393685277E-2</v>
      </c>
    </row>
    <row r="1052" spans="1:23" x14ac:dyDescent="0.3">
      <c r="A1052" s="4" t="s">
        <v>1701</v>
      </c>
      <c r="B1052" s="5">
        <v>2019</v>
      </c>
      <c r="C1052" s="5" t="s">
        <v>1089</v>
      </c>
      <c r="D1052" s="15" t="s">
        <v>1328</v>
      </c>
      <c r="E1052" s="6">
        <v>75024</v>
      </c>
      <c r="F1052" s="5" t="s">
        <v>40</v>
      </c>
      <c r="G1052" s="5" t="s">
        <v>28</v>
      </c>
      <c r="H1052" s="5" t="s">
        <v>17</v>
      </c>
      <c r="I1052" s="5" t="s">
        <v>18</v>
      </c>
      <c r="J1052" s="7">
        <v>45538</v>
      </c>
      <c r="K1052" s="5" t="s">
        <v>17</v>
      </c>
      <c r="L1052" s="8">
        <v>44307</v>
      </c>
      <c r="M1052" s="19">
        <v>235</v>
      </c>
      <c r="N1052" s="19">
        <v>285</v>
      </c>
      <c r="O1052" s="24">
        <v>8500</v>
      </c>
      <c r="P1052" s="24">
        <v>9000</v>
      </c>
      <c r="Q1052" t="s">
        <v>1983</v>
      </c>
      <c r="R1052" s="19">
        <f>VLOOKUP(A1052,[1]Sheet1!$A$2:$Q$1536,15,FALSE)</f>
        <v>5198.12890625</v>
      </c>
      <c r="S1052" s="27">
        <f t="shared" si="48"/>
        <v>-0.73139223022707234</v>
      </c>
      <c r="T1052" s="19">
        <f>VLOOKUP(A1052,[1]Sheet1!$A$2:$Q$1536,16,FALSE)</f>
        <v>9082.1268313388355</v>
      </c>
      <c r="U1052" s="27">
        <f t="shared" si="49"/>
        <v>9.0426871220789587E-3</v>
      </c>
      <c r="V1052" s="19">
        <f>VLOOKUP(A1052,[1]Sheet1!$A$2:$Q$1536,17,FALSE)</f>
        <v>5088.087890625</v>
      </c>
      <c r="W1052" s="27">
        <f t="shared" si="50"/>
        <v>-0.76883736945323811</v>
      </c>
    </row>
    <row r="1053" spans="1:23" x14ac:dyDescent="0.3">
      <c r="A1053" s="4" t="s">
        <v>441</v>
      </c>
      <c r="B1053" s="5">
        <v>2018</v>
      </c>
      <c r="C1053" s="5" t="s">
        <v>391</v>
      </c>
      <c r="D1053" s="15" t="s">
        <v>432</v>
      </c>
      <c r="E1053" s="6">
        <v>143837</v>
      </c>
      <c r="F1053" s="5" t="s">
        <v>40</v>
      </c>
      <c r="G1053" s="5" t="s">
        <v>25</v>
      </c>
      <c r="H1053" s="5" t="s">
        <v>18</v>
      </c>
      <c r="I1053" s="5" t="s">
        <v>17</v>
      </c>
      <c r="J1053" s="7">
        <v>45720</v>
      </c>
      <c r="K1053" s="5" t="s">
        <v>17</v>
      </c>
      <c r="L1053" s="8">
        <v>43612</v>
      </c>
      <c r="M1053" s="19">
        <v>264</v>
      </c>
      <c r="N1053" s="19">
        <v>314</v>
      </c>
      <c r="O1053" s="24">
        <v>2200</v>
      </c>
      <c r="P1053" s="24">
        <v>7900</v>
      </c>
      <c r="Q1053" t="s">
        <v>1983</v>
      </c>
      <c r="R1053" s="19">
        <f>VLOOKUP(A1053,[1]Sheet1!$A$2:$Q$1536,15,FALSE)</f>
        <v>3468.115234375</v>
      </c>
      <c r="S1053" s="27">
        <f t="shared" si="48"/>
        <v>-1.2778943218775958</v>
      </c>
      <c r="T1053" s="19">
        <f>VLOOKUP(A1053,[1]Sheet1!$A$2:$Q$1536,16,FALSE)</f>
        <v>9450.0687752866725</v>
      </c>
      <c r="U1053" s="27">
        <f t="shared" si="49"/>
        <v>0.16402724807044067</v>
      </c>
      <c r="V1053" s="19">
        <f>VLOOKUP(A1053,[1]Sheet1!$A$2:$Q$1536,17,FALSE)</f>
        <v>3523.06982421875</v>
      </c>
      <c r="W1053" s="27">
        <f t="shared" si="50"/>
        <v>-1.242362596872983</v>
      </c>
    </row>
    <row r="1054" spans="1:23" x14ac:dyDescent="0.3">
      <c r="A1054" s="4" t="s">
        <v>342</v>
      </c>
      <c r="B1054" s="5">
        <v>2018</v>
      </c>
      <c r="C1054" s="5" t="s">
        <v>237</v>
      </c>
      <c r="D1054" s="15" t="s">
        <v>339</v>
      </c>
      <c r="E1054" s="6">
        <v>118216</v>
      </c>
      <c r="F1054" s="5" t="s">
        <v>112</v>
      </c>
      <c r="G1054" s="5" t="s">
        <v>22</v>
      </c>
      <c r="H1054" s="5" t="s">
        <v>18</v>
      </c>
      <c r="I1054" s="5" t="s">
        <v>17</v>
      </c>
      <c r="J1054" s="7">
        <v>45638</v>
      </c>
      <c r="K1054" s="5" t="s">
        <v>17</v>
      </c>
      <c r="L1054" s="8">
        <v>43608</v>
      </c>
      <c r="M1054" s="19">
        <v>264</v>
      </c>
      <c r="N1054" s="19">
        <v>314</v>
      </c>
      <c r="O1054" s="24">
        <v>0</v>
      </c>
      <c r="P1054" s="24">
        <v>6800</v>
      </c>
      <c r="Q1054" t="s">
        <v>1983</v>
      </c>
      <c r="R1054" s="19">
        <f>VLOOKUP(A1054,[1]Sheet1!$A$2:$Q$1536,15,FALSE)</f>
        <v>3577.865478515625</v>
      </c>
      <c r="S1054" s="27">
        <f t="shared" si="48"/>
        <v>-0.90057452993486087</v>
      </c>
      <c r="T1054" s="19">
        <f>VLOOKUP(A1054,[1]Sheet1!$A$2:$Q$1536,16,FALSE)</f>
        <v>9293.6796064764876</v>
      </c>
      <c r="U1054" s="27">
        <f t="shared" si="49"/>
        <v>0.26831994560461464</v>
      </c>
      <c r="V1054" s="19">
        <f>VLOOKUP(A1054,[1]Sheet1!$A$2:$Q$1536,17,FALSE)</f>
        <v>3484.11572265625</v>
      </c>
      <c r="W1054" s="27">
        <f t="shared" si="50"/>
        <v>-0.95171473662067618</v>
      </c>
    </row>
    <row r="1055" spans="1:23" x14ac:dyDescent="0.3">
      <c r="A1055" s="4" t="s">
        <v>846</v>
      </c>
      <c r="B1055" s="5">
        <v>2013</v>
      </c>
      <c r="C1055" s="5" t="s">
        <v>391</v>
      </c>
      <c r="D1055" s="15" t="s">
        <v>580</v>
      </c>
      <c r="E1055" s="6">
        <v>104784</v>
      </c>
      <c r="F1055" s="5" t="s">
        <v>79</v>
      </c>
      <c r="G1055" s="5" t="s">
        <v>22</v>
      </c>
      <c r="H1055" s="5" t="s">
        <v>18</v>
      </c>
      <c r="I1055" s="5" t="s">
        <v>17</v>
      </c>
      <c r="J1055" s="7">
        <v>45386</v>
      </c>
      <c r="K1055" s="5" t="s">
        <v>17</v>
      </c>
      <c r="L1055" s="8">
        <v>43950</v>
      </c>
      <c r="M1055" s="19">
        <v>264</v>
      </c>
      <c r="N1055" s="19">
        <v>314</v>
      </c>
      <c r="O1055" s="24">
        <v>0</v>
      </c>
      <c r="P1055" s="24">
        <v>8300</v>
      </c>
      <c r="Q1055" t="s">
        <v>1983</v>
      </c>
      <c r="R1055" s="19">
        <f>VLOOKUP(A1055,[1]Sheet1!$A$2:$Q$1536,15,FALSE)</f>
        <v>2745.574951171875</v>
      </c>
      <c r="S1055" s="27">
        <f t="shared" si="48"/>
        <v>-2.0230462280614003</v>
      </c>
      <c r="T1055" s="19">
        <f>VLOOKUP(A1055,[1]Sheet1!$A$2:$Q$1536,16,FALSE)</f>
        <v>9328.788988028884</v>
      </c>
      <c r="U1055" s="27">
        <f t="shared" si="49"/>
        <v>0.11028108678940768</v>
      </c>
      <c r="V1055" s="19">
        <f>VLOOKUP(A1055,[1]Sheet1!$A$2:$Q$1536,17,FALSE)</f>
        <v>2645.82568359375</v>
      </c>
      <c r="W1055" s="27">
        <f t="shared" si="50"/>
        <v>-2.137016943885111</v>
      </c>
    </row>
    <row r="1056" spans="1:23" x14ac:dyDescent="0.3">
      <c r="A1056" s="4" t="s">
        <v>135</v>
      </c>
      <c r="B1056" s="5">
        <v>2012</v>
      </c>
      <c r="C1056" s="5" t="s">
        <v>96</v>
      </c>
      <c r="D1056" s="15" t="s">
        <v>127</v>
      </c>
      <c r="E1056" s="6">
        <v>155337</v>
      </c>
      <c r="F1056" s="5" t="s">
        <v>73</v>
      </c>
      <c r="G1056" s="5" t="s">
        <v>25</v>
      </c>
      <c r="H1056" s="5" t="s">
        <v>18</v>
      </c>
      <c r="I1056" s="5" t="s">
        <v>17</v>
      </c>
      <c r="J1056" s="7">
        <v>45309</v>
      </c>
      <c r="K1056" s="5" t="s">
        <v>17</v>
      </c>
      <c r="L1056" s="8">
        <v>44310</v>
      </c>
      <c r="M1056" s="19">
        <v>235</v>
      </c>
      <c r="N1056" s="19">
        <v>285</v>
      </c>
      <c r="O1056" s="24">
        <v>0</v>
      </c>
      <c r="P1056" s="24">
        <v>3000</v>
      </c>
      <c r="Q1056" t="s">
        <v>1983</v>
      </c>
      <c r="R1056" s="19">
        <f>VLOOKUP(A1056,[1]Sheet1!$A$2:$Q$1536,15,FALSE)</f>
        <v>1974.248657226562</v>
      </c>
      <c r="S1056" s="27">
        <f t="shared" si="48"/>
        <v>-0.5195654250637407</v>
      </c>
      <c r="T1056" s="19">
        <f>VLOOKUP(A1056,[1]Sheet1!$A$2:$Q$1536,16,FALSE)</f>
        <v>9166.0058693990959</v>
      </c>
      <c r="U1056" s="27">
        <f t="shared" si="49"/>
        <v>0.67270367892567429</v>
      </c>
      <c r="V1056" s="19">
        <f>VLOOKUP(A1056,[1]Sheet1!$A$2:$Q$1536,17,FALSE)</f>
        <v>1933.448120117188</v>
      </c>
      <c r="W1056" s="27">
        <f t="shared" si="50"/>
        <v>-0.55163201369901116</v>
      </c>
    </row>
    <row r="1057" spans="1:23" x14ac:dyDescent="0.3">
      <c r="A1057" s="4" t="s">
        <v>1189</v>
      </c>
      <c r="B1057" s="5">
        <v>2015</v>
      </c>
      <c r="C1057" s="5" t="s">
        <v>684</v>
      </c>
      <c r="D1057" s="15" t="s">
        <v>1187</v>
      </c>
      <c r="E1057" s="6">
        <v>194679</v>
      </c>
      <c r="F1057" s="5" t="s">
        <v>1000</v>
      </c>
      <c r="G1057" s="5" t="s">
        <v>22</v>
      </c>
      <c r="H1057" s="5" t="s">
        <v>18</v>
      </c>
      <c r="I1057" s="5" t="s">
        <v>17</v>
      </c>
      <c r="J1057" s="7">
        <v>45540</v>
      </c>
      <c r="K1057" s="5" t="s">
        <v>17</v>
      </c>
      <c r="L1057" s="8">
        <v>44310</v>
      </c>
      <c r="M1057" s="19">
        <v>235</v>
      </c>
      <c r="N1057" s="19">
        <v>285</v>
      </c>
      <c r="O1057" s="24">
        <v>600</v>
      </c>
      <c r="P1057" s="24">
        <v>11510.593220339</v>
      </c>
      <c r="Q1057" t="s">
        <v>1983</v>
      </c>
      <c r="R1057" s="19">
        <f>VLOOKUP(A1057,[1]Sheet1!$A$2:$Q$1536,15,FALSE)</f>
        <v>3168.159423828125</v>
      </c>
      <c r="S1057" s="27">
        <f t="shared" si="48"/>
        <v>-2.633211489853188</v>
      </c>
      <c r="T1057" s="19">
        <f>VLOOKUP(A1057,[1]Sheet1!$A$2:$Q$1536,16,FALSE)</f>
        <v>8936.3605561875611</v>
      </c>
      <c r="U1057" s="27">
        <f t="shared" si="49"/>
        <v>-0.28806275753601207</v>
      </c>
      <c r="V1057" s="19">
        <f>VLOOKUP(A1057,[1]Sheet1!$A$2:$Q$1536,17,FALSE)</f>
        <v>3044.94580078125</v>
      </c>
      <c r="W1057" s="27">
        <f t="shared" si="50"/>
        <v>-2.7802292629923646</v>
      </c>
    </row>
    <row r="1058" spans="1:23" x14ac:dyDescent="0.3">
      <c r="A1058" s="4" t="s">
        <v>495</v>
      </c>
      <c r="B1058" s="5">
        <v>2011</v>
      </c>
      <c r="C1058" s="5" t="s">
        <v>391</v>
      </c>
      <c r="D1058" s="15" t="s">
        <v>394</v>
      </c>
      <c r="E1058" s="6">
        <v>52409</v>
      </c>
      <c r="F1058" s="5" t="s">
        <v>15</v>
      </c>
      <c r="G1058" s="5" t="s">
        <v>25</v>
      </c>
      <c r="H1058" s="5" t="s">
        <v>18</v>
      </c>
      <c r="I1058" s="5" t="s">
        <v>17</v>
      </c>
      <c r="J1058" s="7">
        <v>45720</v>
      </c>
      <c r="K1058" s="5" t="s">
        <v>17</v>
      </c>
      <c r="L1058" s="8">
        <v>44310</v>
      </c>
      <c r="M1058" s="19">
        <v>235</v>
      </c>
      <c r="N1058" s="19">
        <v>285</v>
      </c>
      <c r="O1058" s="24">
        <v>3100</v>
      </c>
      <c r="P1058" s="24">
        <v>3200</v>
      </c>
      <c r="Q1058" t="s">
        <v>1983</v>
      </c>
      <c r="R1058" s="19">
        <f>VLOOKUP(A1058,[1]Sheet1!$A$2:$Q$1536,15,FALSE)</f>
        <v>5802.95751953125</v>
      </c>
      <c r="S1058" s="27">
        <f t="shared" si="48"/>
        <v>0.44855705229107229</v>
      </c>
      <c r="T1058" s="19">
        <f>VLOOKUP(A1058,[1]Sheet1!$A$2:$Q$1536,16,FALSE)</f>
        <v>12549.17933699332</v>
      </c>
      <c r="U1058" s="27">
        <f t="shared" si="49"/>
        <v>0.74500324570493437</v>
      </c>
      <c r="V1058" s="19">
        <f>VLOOKUP(A1058,[1]Sheet1!$A$2:$Q$1536,17,FALSE)</f>
        <v>5862.546875</v>
      </c>
      <c r="W1058" s="27">
        <f t="shared" si="50"/>
        <v>0.45416214689114959</v>
      </c>
    </row>
    <row r="1059" spans="1:23" x14ac:dyDescent="0.3">
      <c r="A1059" s="4" t="s">
        <v>396</v>
      </c>
      <c r="B1059" s="5">
        <v>2013</v>
      </c>
      <c r="C1059" s="5" t="s">
        <v>391</v>
      </c>
      <c r="D1059" s="15" t="s">
        <v>394</v>
      </c>
      <c r="E1059" s="6">
        <v>80329</v>
      </c>
      <c r="F1059" s="5" t="s">
        <v>112</v>
      </c>
      <c r="G1059" s="5" t="s">
        <v>134</v>
      </c>
      <c r="H1059" s="5" t="s">
        <v>18</v>
      </c>
      <c r="I1059" s="5" t="s">
        <v>17</v>
      </c>
      <c r="J1059" s="7">
        <v>45295</v>
      </c>
      <c r="K1059" s="5" t="s">
        <v>17</v>
      </c>
      <c r="L1059" s="8">
        <v>44128</v>
      </c>
      <c r="M1059" s="19">
        <v>264</v>
      </c>
      <c r="N1059" s="19">
        <v>314</v>
      </c>
      <c r="O1059" s="24">
        <v>600</v>
      </c>
      <c r="P1059" s="24">
        <v>3300</v>
      </c>
      <c r="Q1059" t="s">
        <v>1983</v>
      </c>
      <c r="R1059" s="19">
        <f>VLOOKUP(A1059,[1]Sheet1!$A$2:$Q$1536,15,FALSE)</f>
        <v>2309.015380859375</v>
      </c>
      <c r="S1059" s="27">
        <f t="shared" si="48"/>
        <v>-0.42918060544568476</v>
      </c>
      <c r="T1059" s="19">
        <f>VLOOKUP(A1059,[1]Sheet1!$A$2:$Q$1536,16,FALSE)</f>
        <v>9448.4857724410085</v>
      </c>
      <c r="U1059" s="27">
        <f t="shared" si="49"/>
        <v>0.65073768649519304</v>
      </c>
      <c r="V1059" s="19">
        <f>VLOOKUP(A1059,[1]Sheet1!$A$2:$Q$1536,17,FALSE)</f>
        <v>2255.45654296875</v>
      </c>
      <c r="W1059" s="27">
        <f t="shared" si="50"/>
        <v>-0.46311841400250042</v>
      </c>
    </row>
    <row r="1060" spans="1:23" x14ac:dyDescent="0.3">
      <c r="A1060" s="4" t="s">
        <v>656</v>
      </c>
      <c r="B1060" s="5">
        <v>2014</v>
      </c>
      <c r="C1060" s="5" t="s">
        <v>636</v>
      </c>
      <c r="D1060" s="15" t="s">
        <v>641</v>
      </c>
      <c r="E1060" s="6">
        <v>180447</v>
      </c>
      <c r="F1060" s="5" t="s">
        <v>77</v>
      </c>
      <c r="G1060" s="5" t="s">
        <v>25</v>
      </c>
      <c r="H1060" s="5" t="s">
        <v>18</v>
      </c>
      <c r="I1060" s="5" t="s">
        <v>17</v>
      </c>
      <c r="J1060" s="7">
        <v>45309</v>
      </c>
      <c r="K1060" s="5" t="s">
        <v>17</v>
      </c>
      <c r="L1060" s="8">
        <v>44224</v>
      </c>
      <c r="M1060" s="19">
        <v>235</v>
      </c>
      <c r="N1060" s="19">
        <v>285</v>
      </c>
      <c r="O1060" s="24">
        <v>0</v>
      </c>
      <c r="P1060" s="24">
        <v>3500</v>
      </c>
      <c r="Q1060" t="s">
        <v>1983</v>
      </c>
      <c r="R1060" s="19">
        <f>VLOOKUP(A1060,[1]Sheet1!$A$2:$Q$1536,15,FALSE)</f>
        <v>2828.41015625</v>
      </c>
      <c r="S1060" s="27">
        <f t="shared" si="48"/>
        <v>-0.23744429083807847</v>
      </c>
      <c r="T1060" s="19">
        <f>VLOOKUP(A1060,[1]Sheet1!$A$2:$Q$1536,16,FALSE)</f>
        <v>8886.2567600962338</v>
      </c>
      <c r="U1060" s="27">
        <f t="shared" si="49"/>
        <v>0.6061333703841687</v>
      </c>
      <c r="V1060" s="19">
        <f>VLOOKUP(A1060,[1]Sheet1!$A$2:$Q$1536,17,FALSE)</f>
        <v>2664.12353515625</v>
      </c>
      <c r="W1060" s="27">
        <f t="shared" si="50"/>
        <v>-0.31375289239157828</v>
      </c>
    </row>
    <row r="1061" spans="1:23" x14ac:dyDescent="0.3">
      <c r="A1061" s="4" t="s">
        <v>1792</v>
      </c>
      <c r="B1061" s="5">
        <v>2013</v>
      </c>
      <c r="C1061" s="5" t="s">
        <v>1086</v>
      </c>
      <c r="D1061" s="15" t="s">
        <v>1788</v>
      </c>
      <c r="E1061" s="6">
        <v>110149</v>
      </c>
      <c r="F1061" s="5" t="s">
        <v>125</v>
      </c>
      <c r="G1061" s="5" t="s">
        <v>16</v>
      </c>
      <c r="H1061" s="5" t="s">
        <v>17</v>
      </c>
      <c r="I1061" s="5" t="s">
        <v>18</v>
      </c>
      <c r="J1061" s="7">
        <v>45538</v>
      </c>
      <c r="K1061" s="5" t="s">
        <v>17</v>
      </c>
      <c r="L1061" s="8">
        <v>43612</v>
      </c>
      <c r="M1061" s="19">
        <v>264</v>
      </c>
      <c r="N1061" s="19">
        <v>314</v>
      </c>
      <c r="O1061" s="24">
        <v>5650</v>
      </c>
      <c r="P1061" s="24">
        <v>10400</v>
      </c>
      <c r="Q1061" t="s">
        <v>1983</v>
      </c>
      <c r="R1061" s="19">
        <f>VLOOKUP(A1061,[1]Sheet1!$A$2:$Q$1536,15,FALSE)</f>
        <v>4908.703125</v>
      </c>
      <c r="S1061" s="27">
        <f t="shared" si="48"/>
        <v>-1.1186858799899413</v>
      </c>
      <c r="T1061" s="19">
        <f>VLOOKUP(A1061,[1]Sheet1!$A$2:$Q$1536,16,FALSE)</f>
        <v>9600.2473000991413</v>
      </c>
      <c r="U1061" s="27">
        <f t="shared" si="49"/>
        <v>-8.3305426922971007E-2</v>
      </c>
      <c r="V1061" s="19">
        <f>VLOOKUP(A1061,[1]Sheet1!$A$2:$Q$1536,17,FALSE)</f>
        <v>4901.34814453125</v>
      </c>
      <c r="W1061" s="27">
        <f t="shared" si="50"/>
        <v>-1.1218651875614978</v>
      </c>
    </row>
    <row r="1062" spans="1:23" x14ac:dyDescent="0.3">
      <c r="A1062" s="4" t="s">
        <v>917</v>
      </c>
      <c r="B1062" s="5">
        <v>2016</v>
      </c>
      <c r="C1062" s="5" t="s">
        <v>633</v>
      </c>
      <c r="D1062" s="15" t="s">
        <v>915</v>
      </c>
      <c r="E1062" s="6">
        <v>92402</v>
      </c>
      <c r="F1062" s="5" t="s">
        <v>170</v>
      </c>
      <c r="G1062" s="5" t="s">
        <v>28</v>
      </c>
      <c r="H1062" s="5" t="s">
        <v>17</v>
      </c>
      <c r="I1062" s="5" t="s">
        <v>18</v>
      </c>
      <c r="J1062" s="7">
        <v>45300</v>
      </c>
      <c r="K1062" s="5" t="s">
        <v>17</v>
      </c>
      <c r="L1062" s="8">
        <v>44067</v>
      </c>
      <c r="M1062" s="19">
        <v>235</v>
      </c>
      <c r="N1062" s="19">
        <v>285</v>
      </c>
      <c r="O1062" s="24">
        <v>10100</v>
      </c>
      <c r="P1062" s="24">
        <v>13100</v>
      </c>
      <c r="Q1062" t="s">
        <v>1983</v>
      </c>
      <c r="R1062" s="19">
        <f>VLOOKUP(A1062,[1]Sheet1!$A$2:$Q$1536,15,FALSE)</f>
        <v>9143.3349609375</v>
      </c>
      <c r="S1062" s="27">
        <f t="shared" si="48"/>
        <v>-0.43273762319397829</v>
      </c>
      <c r="T1062" s="19">
        <f>VLOOKUP(A1062,[1]Sheet1!$A$2:$Q$1536,16,FALSE)</f>
        <v>9419.3927943290564</v>
      </c>
      <c r="U1062" s="27">
        <f t="shared" si="49"/>
        <v>-0.3907478205906067</v>
      </c>
      <c r="V1062" s="19">
        <f>VLOOKUP(A1062,[1]Sheet1!$A$2:$Q$1536,17,FALSE)</f>
        <v>9214.724609375</v>
      </c>
      <c r="W1062" s="27">
        <f t="shared" si="50"/>
        <v>-0.42163771087332835</v>
      </c>
    </row>
    <row r="1063" spans="1:23" x14ac:dyDescent="0.3">
      <c r="A1063" s="4" t="s">
        <v>311</v>
      </c>
      <c r="B1063" s="5">
        <v>2018</v>
      </c>
      <c r="C1063" s="5" t="s">
        <v>237</v>
      </c>
      <c r="D1063" s="15" t="s">
        <v>310</v>
      </c>
      <c r="E1063" s="6">
        <v>98070</v>
      </c>
      <c r="F1063" s="5" t="s">
        <v>87</v>
      </c>
      <c r="G1063" s="5" t="s">
        <v>33</v>
      </c>
      <c r="H1063" s="5" t="s">
        <v>17</v>
      </c>
      <c r="I1063" s="5" t="s">
        <v>18</v>
      </c>
      <c r="J1063" s="7">
        <v>45524</v>
      </c>
      <c r="K1063" s="5" t="s">
        <v>17</v>
      </c>
      <c r="L1063" s="8">
        <v>43950</v>
      </c>
      <c r="M1063" s="19">
        <v>264</v>
      </c>
      <c r="N1063" s="19">
        <v>314</v>
      </c>
      <c r="O1063" s="24">
        <v>4500</v>
      </c>
      <c r="P1063" s="24">
        <v>7500</v>
      </c>
      <c r="Q1063" t="s">
        <v>1983</v>
      </c>
      <c r="R1063" s="19">
        <f>VLOOKUP(A1063,[1]Sheet1!$A$2:$Q$1536,15,FALSE)</f>
        <v>4162.70751953125</v>
      </c>
      <c r="S1063" s="27">
        <f t="shared" si="48"/>
        <v>-0.80171197827623319</v>
      </c>
      <c r="T1063" s="19">
        <f>VLOOKUP(A1063,[1]Sheet1!$A$2:$Q$1536,16,FALSE)</f>
        <v>9450.5691415221845</v>
      </c>
      <c r="U1063" s="27">
        <f t="shared" si="49"/>
        <v>0.20639700237228359</v>
      </c>
      <c r="V1063" s="19">
        <f>VLOOKUP(A1063,[1]Sheet1!$A$2:$Q$1536,17,FALSE)</f>
        <v>4161.70166015625</v>
      </c>
      <c r="W1063" s="27">
        <f t="shared" si="50"/>
        <v>-0.80214744170739394</v>
      </c>
    </row>
    <row r="1064" spans="1:23" x14ac:dyDescent="0.3">
      <c r="A1064" s="4" t="s">
        <v>1884</v>
      </c>
      <c r="B1064" s="5">
        <v>2013</v>
      </c>
      <c r="C1064" s="5" t="s">
        <v>1223</v>
      </c>
      <c r="D1064" s="15" t="s">
        <v>1885</v>
      </c>
      <c r="E1064" s="6">
        <v>127875</v>
      </c>
      <c r="F1064" s="5" t="s">
        <v>42</v>
      </c>
      <c r="G1064" s="5" t="s">
        <v>25</v>
      </c>
      <c r="H1064" s="5" t="s">
        <v>18</v>
      </c>
      <c r="I1064" s="5" t="s">
        <v>17</v>
      </c>
      <c r="J1064" s="7">
        <v>45370</v>
      </c>
      <c r="K1064" s="5" t="s">
        <v>17</v>
      </c>
      <c r="L1064" s="8">
        <v>44113</v>
      </c>
      <c r="M1064" s="19">
        <v>264</v>
      </c>
      <c r="N1064" s="19">
        <v>314</v>
      </c>
      <c r="O1064" s="24">
        <v>0</v>
      </c>
      <c r="P1064" s="24">
        <v>7800</v>
      </c>
      <c r="Q1064" t="s">
        <v>1983</v>
      </c>
      <c r="R1064" s="19">
        <f>VLOOKUP(A1064,[1]Sheet1!$A$2:$Q$1536,15,FALSE)</f>
        <v>2323.429931640625</v>
      </c>
      <c r="S1064" s="27">
        <f t="shared" si="48"/>
        <v>-2.357105757216551</v>
      </c>
      <c r="T1064" s="19">
        <f>VLOOKUP(A1064,[1]Sheet1!$A$2:$Q$1536,16,FALSE)</f>
        <v>9864.4248420300391</v>
      </c>
      <c r="U1064" s="27">
        <f t="shared" si="49"/>
        <v>0.20927979837547153</v>
      </c>
      <c r="V1064" s="19">
        <f>VLOOKUP(A1064,[1]Sheet1!$A$2:$Q$1536,17,FALSE)</f>
        <v>2255.45654296875</v>
      </c>
      <c r="W1064" s="27">
        <f t="shared" si="50"/>
        <v>-2.4582798876422736</v>
      </c>
    </row>
    <row r="1065" spans="1:23" x14ac:dyDescent="0.3">
      <c r="A1065" s="4" t="s">
        <v>1408</v>
      </c>
      <c r="B1065" s="5">
        <v>2017</v>
      </c>
      <c r="C1065" s="5" t="s">
        <v>1401</v>
      </c>
      <c r="D1065" s="15" t="s">
        <v>1405</v>
      </c>
      <c r="E1065" s="6">
        <v>123788</v>
      </c>
      <c r="F1065" s="5" t="s">
        <v>21</v>
      </c>
      <c r="G1065" s="5" t="s">
        <v>22</v>
      </c>
      <c r="H1065" s="5" t="s">
        <v>18</v>
      </c>
      <c r="I1065" s="5" t="s">
        <v>17</v>
      </c>
      <c r="J1065" s="7">
        <v>45496</v>
      </c>
      <c r="K1065" s="5" t="s">
        <v>17</v>
      </c>
      <c r="L1065" s="8">
        <v>44135</v>
      </c>
      <c r="M1065" s="19">
        <v>235</v>
      </c>
      <c r="N1065" s="19">
        <v>285</v>
      </c>
      <c r="O1065" s="24">
        <v>4000</v>
      </c>
      <c r="P1065" s="24">
        <v>9400</v>
      </c>
      <c r="Q1065" t="s">
        <v>1983</v>
      </c>
      <c r="R1065" s="19">
        <f>VLOOKUP(A1065,[1]Sheet1!$A$2:$Q$1536,15,FALSE)</f>
        <v>3453.2470703125</v>
      </c>
      <c r="S1065" s="27">
        <f t="shared" si="48"/>
        <v>-1.7220757184771467</v>
      </c>
      <c r="T1065" s="19">
        <f>VLOOKUP(A1065,[1]Sheet1!$A$2:$Q$1536,16,FALSE)</f>
        <v>9350.2683206671409</v>
      </c>
      <c r="U1065" s="27">
        <f t="shared" si="49"/>
        <v>-5.3187435512343437E-3</v>
      </c>
      <c r="V1065" s="19">
        <f>VLOOKUP(A1065,[1]Sheet1!$A$2:$Q$1536,17,FALSE)</f>
        <v>3396.388671875</v>
      </c>
      <c r="W1065" s="27">
        <f t="shared" si="50"/>
        <v>-1.76764555182981</v>
      </c>
    </row>
    <row r="1066" spans="1:23" x14ac:dyDescent="0.3">
      <c r="A1066" s="4" t="s">
        <v>1708</v>
      </c>
      <c r="B1066" s="5">
        <v>2013</v>
      </c>
      <c r="C1066" s="5" t="s">
        <v>1089</v>
      </c>
      <c r="D1066" s="15" t="s">
        <v>1328</v>
      </c>
      <c r="E1066" s="6">
        <v>151906</v>
      </c>
      <c r="F1066" s="5" t="s">
        <v>79</v>
      </c>
      <c r="G1066" s="5" t="s">
        <v>25</v>
      </c>
      <c r="H1066" s="5" t="s">
        <v>18</v>
      </c>
      <c r="I1066" s="5" t="s">
        <v>17</v>
      </c>
      <c r="J1066" s="7">
        <v>45400</v>
      </c>
      <c r="K1066" s="5" t="s">
        <v>17</v>
      </c>
      <c r="L1066" s="8">
        <v>43950</v>
      </c>
      <c r="M1066" s="19">
        <v>264</v>
      </c>
      <c r="N1066" s="19">
        <v>314</v>
      </c>
      <c r="O1066" s="24">
        <v>2000</v>
      </c>
      <c r="P1066" s="24">
        <v>5800</v>
      </c>
      <c r="Q1066" t="s">
        <v>1983</v>
      </c>
      <c r="R1066" s="19">
        <f>VLOOKUP(A1066,[1]Sheet1!$A$2:$Q$1536,15,FALSE)</f>
        <v>978.019775390625</v>
      </c>
      <c r="S1066" s="27">
        <f t="shared" si="48"/>
        <v>-4.9303504345640219</v>
      </c>
      <c r="T1066" s="19">
        <f>VLOOKUP(A1066,[1]Sheet1!$A$2:$Q$1536,16,FALSE)</f>
        <v>8535.7814547759262</v>
      </c>
      <c r="U1066" s="27">
        <f t="shared" si="49"/>
        <v>0.32050743909864354</v>
      </c>
      <c r="V1066" s="19">
        <f>VLOOKUP(A1066,[1]Sheet1!$A$2:$Q$1536,17,FALSE)</f>
        <v>1175.75244140625</v>
      </c>
      <c r="W1066" s="27">
        <f t="shared" si="50"/>
        <v>-3.9330112324180702</v>
      </c>
    </row>
    <row r="1067" spans="1:23" x14ac:dyDescent="0.3">
      <c r="A1067" s="4" t="s">
        <v>1678</v>
      </c>
      <c r="B1067" s="5">
        <v>2015</v>
      </c>
      <c r="C1067" s="5" t="s">
        <v>1089</v>
      </c>
      <c r="D1067" s="15" t="s">
        <v>1663</v>
      </c>
      <c r="E1067" s="6">
        <v>95813</v>
      </c>
      <c r="F1067" s="5" t="s">
        <v>112</v>
      </c>
      <c r="G1067" s="5" t="s">
        <v>22</v>
      </c>
      <c r="H1067" s="5" t="s">
        <v>18</v>
      </c>
      <c r="I1067" s="5" t="s">
        <v>17</v>
      </c>
      <c r="J1067" s="7">
        <v>45561</v>
      </c>
      <c r="K1067" s="5" t="s">
        <v>17</v>
      </c>
      <c r="L1067" s="8">
        <v>44137</v>
      </c>
      <c r="M1067" s="19">
        <v>280</v>
      </c>
      <c r="N1067" s="19">
        <v>330</v>
      </c>
      <c r="O1067" s="24">
        <v>0</v>
      </c>
      <c r="P1067" s="24">
        <v>2000</v>
      </c>
      <c r="Q1067" t="s">
        <v>1983</v>
      </c>
      <c r="R1067" s="19">
        <f>VLOOKUP(A1067,[1]Sheet1!$A$2:$Q$1536,15,FALSE)</f>
        <v>2112.1767578125</v>
      </c>
      <c r="S1067" s="27">
        <f t="shared" si="48"/>
        <v>5.3109550324129666E-2</v>
      </c>
      <c r="T1067" s="19">
        <f>VLOOKUP(A1067,[1]Sheet1!$A$2:$Q$1536,16,FALSE)</f>
        <v>8889.3384573758958</v>
      </c>
      <c r="U1067" s="27">
        <f t="shared" si="49"/>
        <v>0.77501137912681151</v>
      </c>
      <c r="V1067" s="19">
        <f>VLOOKUP(A1067,[1]Sheet1!$A$2:$Q$1536,17,FALSE)</f>
        <v>2038.107055664062</v>
      </c>
      <c r="W1067" s="27">
        <f t="shared" si="50"/>
        <v>1.8697278711714137E-2</v>
      </c>
    </row>
    <row r="1068" spans="1:23" x14ac:dyDescent="0.3">
      <c r="A1068" s="4" t="s">
        <v>970</v>
      </c>
      <c r="B1068" s="5">
        <v>2018</v>
      </c>
      <c r="C1068" s="5" t="s">
        <v>83</v>
      </c>
      <c r="D1068" s="15" t="s">
        <v>965</v>
      </c>
      <c r="E1068" s="6">
        <v>101633</v>
      </c>
      <c r="F1068" s="5" t="s">
        <v>59</v>
      </c>
      <c r="G1068" s="5" t="s">
        <v>16</v>
      </c>
      <c r="H1068" s="5" t="s">
        <v>17</v>
      </c>
      <c r="I1068" s="5" t="s">
        <v>18</v>
      </c>
      <c r="J1068" s="7">
        <v>45580</v>
      </c>
      <c r="K1068" s="5" t="s">
        <v>17</v>
      </c>
      <c r="L1068" s="8">
        <v>43612</v>
      </c>
      <c r="M1068" s="19">
        <v>264</v>
      </c>
      <c r="N1068" s="19">
        <v>314</v>
      </c>
      <c r="O1068" s="24">
        <v>7400</v>
      </c>
      <c r="P1068" s="24">
        <v>10500</v>
      </c>
      <c r="Q1068" t="s">
        <v>1983</v>
      </c>
      <c r="R1068" s="19">
        <f>VLOOKUP(A1068,[1]Sheet1!$A$2:$Q$1536,15,FALSE)</f>
        <v>10923.552734375</v>
      </c>
      <c r="S1068" s="27">
        <f t="shared" si="48"/>
        <v>3.8774265541112338E-2</v>
      </c>
      <c r="T1068" s="19">
        <f>VLOOKUP(A1068,[1]Sheet1!$A$2:$Q$1536,16,FALSE)</f>
        <v>9802.3877211591243</v>
      </c>
      <c r="U1068" s="27">
        <f t="shared" si="49"/>
        <v>-7.1167586784496584E-2</v>
      </c>
      <c r="V1068" s="19">
        <f>VLOOKUP(A1068,[1]Sheet1!$A$2:$Q$1536,17,FALSE)</f>
        <v>10914.6064453125</v>
      </c>
      <c r="W1068" s="27">
        <f t="shared" si="50"/>
        <v>3.7986385252631913E-2</v>
      </c>
    </row>
    <row r="1069" spans="1:23" x14ac:dyDescent="0.3">
      <c r="A1069" s="4" t="s">
        <v>955</v>
      </c>
      <c r="B1069" s="5">
        <v>2017</v>
      </c>
      <c r="C1069" s="5" t="s">
        <v>96</v>
      </c>
      <c r="D1069" s="15" t="s">
        <v>956</v>
      </c>
      <c r="E1069" s="6">
        <v>83788</v>
      </c>
      <c r="F1069" s="5" t="s">
        <v>40</v>
      </c>
      <c r="G1069" s="5" t="s">
        <v>28</v>
      </c>
      <c r="H1069" s="5" t="s">
        <v>17</v>
      </c>
      <c r="I1069" s="5" t="s">
        <v>18</v>
      </c>
      <c r="J1069" s="7">
        <v>45622</v>
      </c>
      <c r="K1069" s="5" t="s">
        <v>17</v>
      </c>
      <c r="L1069" s="8">
        <v>44128</v>
      </c>
      <c r="M1069" s="19">
        <v>264</v>
      </c>
      <c r="N1069" s="19">
        <v>314</v>
      </c>
      <c r="O1069" s="24">
        <v>0</v>
      </c>
      <c r="P1069" s="24">
        <v>11000</v>
      </c>
      <c r="Q1069" t="s">
        <v>1983</v>
      </c>
      <c r="R1069" s="19">
        <f>VLOOKUP(A1069,[1]Sheet1!$A$2:$Q$1536,15,FALSE)</f>
        <v>5225.9375</v>
      </c>
      <c r="S1069" s="27">
        <f t="shared" si="48"/>
        <v>-1.1048854870537583</v>
      </c>
      <c r="T1069" s="19">
        <f>VLOOKUP(A1069,[1]Sheet1!$A$2:$Q$1536,16,FALSE)</f>
        <v>9509.815242209901</v>
      </c>
      <c r="U1069" s="27">
        <f t="shared" si="49"/>
        <v>-0.1566996539718061</v>
      </c>
      <c r="V1069" s="19">
        <f>VLOOKUP(A1069,[1]Sheet1!$A$2:$Q$1536,17,FALSE)</f>
        <v>5193.2509765625</v>
      </c>
      <c r="W1069" s="27">
        <f t="shared" si="50"/>
        <v>-1.1181337180975384</v>
      </c>
    </row>
    <row r="1070" spans="1:23" x14ac:dyDescent="0.3">
      <c r="A1070" s="4" t="s">
        <v>1807</v>
      </c>
      <c r="B1070" s="5">
        <v>2018</v>
      </c>
      <c r="C1070" s="5" t="s">
        <v>237</v>
      </c>
      <c r="D1070" s="15" t="s">
        <v>1808</v>
      </c>
      <c r="E1070" s="6">
        <v>78622</v>
      </c>
      <c r="F1070" s="5" t="s">
        <v>66</v>
      </c>
      <c r="G1070" s="5" t="s">
        <v>25</v>
      </c>
      <c r="H1070" s="5" t="s">
        <v>18</v>
      </c>
      <c r="I1070" s="5" t="s">
        <v>17</v>
      </c>
      <c r="J1070" s="7">
        <v>45580</v>
      </c>
      <c r="K1070" s="5" t="s">
        <v>17</v>
      </c>
      <c r="L1070" s="8">
        <v>43612</v>
      </c>
      <c r="M1070" s="19">
        <v>264</v>
      </c>
      <c r="N1070" s="19">
        <v>314</v>
      </c>
      <c r="O1070" s="24">
        <v>4200</v>
      </c>
      <c r="P1070" s="24">
        <v>14100</v>
      </c>
      <c r="Q1070" t="s">
        <v>1983</v>
      </c>
      <c r="R1070" s="19">
        <f>VLOOKUP(A1070,[1]Sheet1!$A$2:$Q$1536,15,FALSE)</f>
        <v>5618.29931640625</v>
      </c>
      <c r="S1070" s="27">
        <f t="shared" si="48"/>
        <v>-1.5096562511053748</v>
      </c>
      <c r="T1070" s="19">
        <f>VLOOKUP(A1070,[1]Sheet1!$A$2:$Q$1536,16,FALSE)</f>
        <v>9510.6532975979917</v>
      </c>
      <c r="U1070" s="27">
        <f t="shared" si="49"/>
        <v>-0.48254799736639464</v>
      </c>
      <c r="V1070" s="19">
        <f>VLOOKUP(A1070,[1]Sheet1!$A$2:$Q$1536,17,FALSE)</f>
        <v>5701.3681640625</v>
      </c>
      <c r="W1070" s="27">
        <f t="shared" si="50"/>
        <v>-1.4730905976001853</v>
      </c>
    </row>
    <row r="1071" spans="1:23" x14ac:dyDescent="0.3">
      <c r="A1071" s="4" t="s">
        <v>605</v>
      </c>
      <c r="B1071" s="5">
        <v>2016</v>
      </c>
      <c r="C1071" s="5" t="s">
        <v>391</v>
      </c>
      <c r="D1071" s="15" t="s">
        <v>603</v>
      </c>
      <c r="E1071" s="6">
        <v>130011</v>
      </c>
      <c r="F1071" s="5" t="s">
        <v>158</v>
      </c>
      <c r="G1071" s="5" t="s">
        <v>28</v>
      </c>
      <c r="H1071" s="5" t="s">
        <v>17</v>
      </c>
      <c r="I1071" s="5" t="s">
        <v>18</v>
      </c>
      <c r="J1071" s="7">
        <v>45722</v>
      </c>
      <c r="K1071" s="5" t="s">
        <v>17</v>
      </c>
      <c r="L1071" s="8">
        <v>43612</v>
      </c>
      <c r="M1071" s="19">
        <v>264</v>
      </c>
      <c r="N1071" s="19">
        <v>314</v>
      </c>
      <c r="O1071" s="24">
        <v>0</v>
      </c>
      <c r="P1071" s="24">
        <v>11000</v>
      </c>
      <c r="Q1071" t="s">
        <v>1983</v>
      </c>
      <c r="R1071" s="19">
        <f>VLOOKUP(A1071,[1]Sheet1!$A$2:$Q$1536,15,FALSE)</f>
        <v>7301.841796875</v>
      </c>
      <c r="S1071" s="27">
        <f t="shared" si="48"/>
        <v>-0.50646923146263134</v>
      </c>
      <c r="T1071" s="19">
        <f>VLOOKUP(A1071,[1]Sheet1!$A$2:$Q$1536,16,FALSE)</f>
        <v>10258.563271611511</v>
      </c>
      <c r="U1071" s="27">
        <f t="shared" si="49"/>
        <v>-7.2274909142517538E-2</v>
      </c>
      <c r="V1071" s="19">
        <f>VLOOKUP(A1071,[1]Sheet1!$A$2:$Q$1536,17,FALSE)</f>
        <v>7099.1279296875</v>
      </c>
      <c r="W1071" s="27">
        <f t="shared" si="50"/>
        <v>-0.54948609307343677</v>
      </c>
    </row>
    <row r="1072" spans="1:23" x14ac:dyDescent="0.3">
      <c r="A1072" s="4" t="s">
        <v>1644</v>
      </c>
      <c r="B1072" s="5">
        <v>2018</v>
      </c>
      <c r="C1072" s="5" t="s">
        <v>391</v>
      </c>
      <c r="D1072" s="15" t="s">
        <v>1056</v>
      </c>
      <c r="E1072" s="6">
        <v>71011</v>
      </c>
      <c r="F1072" s="5" t="s">
        <v>184</v>
      </c>
      <c r="G1072" s="5" t="s">
        <v>25</v>
      </c>
      <c r="H1072" s="5" t="s">
        <v>18</v>
      </c>
      <c r="I1072" s="5" t="s">
        <v>17</v>
      </c>
      <c r="J1072" s="7">
        <v>45636</v>
      </c>
      <c r="K1072" s="5" t="s">
        <v>17</v>
      </c>
      <c r="L1072" s="8">
        <v>44113</v>
      </c>
      <c r="M1072" s="19">
        <v>264</v>
      </c>
      <c r="N1072" s="19">
        <v>314</v>
      </c>
      <c r="O1072" s="24">
        <v>5100</v>
      </c>
      <c r="P1072" s="24">
        <v>9000</v>
      </c>
      <c r="Q1072" t="s">
        <v>1983</v>
      </c>
      <c r="R1072" s="19">
        <f>VLOOKUP(A1072,[1]Sheet1!$A$2:$Q$1536,15,FALSE)</f>
        <v>9980.8525390625</v>
      </c>
      <c r="S1072" s="27">
        <f t="shared" si="48"/>
        <v>9.8273422558212781E-2</v>
      </c>
      <c r="T1072" s="19">
        <f>VLOOKUP(A1072,[1]Sheet1!$A$2:$Q$1536,16,FALSE)</f>
        <v>10542.55430243314</v>
      </c>
      <c r="U1072" s="27">
        <f t="shared" si="49"/>
        <v>0.14631694162363768</v>
      </c>
      <c r="V1072" s="19">
        <f>VLOOKUP(A1072,[1]Sheet1!$A$2:$Q$1536,17,FALSE)</f>
        <v>9951.3173828125</v>
      </c>
      <c r="W1072" s="27">
        <f t="shared" si="50"/>
        <v>9.5597130130285632E-2</v>
      </c>
    </row>
    <row r="1073" spans="1:23" x14ac:dyDescent="0.3">
      <c r="A1073" s="4" t="s">
        <v>1705</v>
      </c>
      <c r="B1073" s="5">
        <v>2014</v>
      </c>
      <c r="C1073" s="5" t="s">
        <v>1089</v>
      </c>
      <c r="D1073" s="15" t="s">
        <v>1328</v>
      </c>
      <c r="E1073" s="6">
        <v>111147</v>
      </c>
      <c r="F1073" s="5" t="s">
        <v>42</v>
      </c>
      <c r="G1073" s="5" t="s">
        <v>28</v>
      </c>
      <c r="H1073" s="5" t="s">
        <v>17</v>
      </c>
      <c r="I1073" s="5" t="s">
        <v>18</v>
      </c>
      <c r="J1073" s="7">
        <v>45428</v>
      </c>
      <c r="K1073" s="5" t="s">
        <v>17</v>
      </c>
      <c r="L1073" s="8">
        <v>43605</v>
      </c>
      <c r="M1073" s="19">
        <v>264</v>
      </c>
      <c r="N1073" s="19">
        <v>314</v>
      </c>
      <c r="O1073" s="24">
        <v>4500</v>
      </c>
      <c r="P1073" s="24">
        <v>6700</v>
      </c>
      <c r="Q1073" t="s">
        <v>1983</v>
      </c>
      <c r="R1073" s="19">
        <f>VLOOKUP(A1073,[1]Sheet1!$A$2:$Q$1536,15,FALSE)</f>
        <v>1632.314697265625</v>
      </c>
      <c r="S1073" s="27">
        <f t="shared" si="48"/>
        <v>-3.1046006699710036</v>
      </c>
      <c r="T1073" s="19">
        <f>VLOOKUP(A1073,[1]Sheet1!$A$2:$Q$1536,16,FALSE)</f>
        <v>8664.2156086511513</v>
      </c>
      <c r="U1073" s="27">
        <f t="shared" si="49"/>
        <v>0.2267043777961732</v>
      </c>
      <c r="V1073" s="19">
        <f>VLOOKUP(A1073,[1]Sheet1!$A$2:$Q$1536,17,FALSE)</f>
        <v>1545.571166992188</v>
      </c>
      <c r="W1073" s="27">
        <f t="shared" si="50"/>
        <v>-3.334966996724432</v>
      </c>
    </row>
    <row r="1074" spans="1:23" x14ac:dyDescent="0.3">
      <c r="A1074" s="4" t="s">
        <v>1367</v>
      </c>
      <c r="B1074" s="5">
        <v>2018</v>
      </c>
      <c r="C1074" s="5" t="s">
        <v>1089</v>
      </c>
      <c r="D1074" s="15" t="s">
        <v>1363</v>
      </c>
      <c r="E1074" s="6">
        <v>90297</v>
      </c>
      <c r="F1074" s="5" t="s">
        <v>199</v>
      </c>
      <c r="G1074" s="5" t="s">
        <v>16</v>
      </c>
      <c r="H1074" s="5" t="s">
        <v>17</v>
      </c>
      <c r="I1074" s="5" t="s">
        <v>18</v>
      </c>
      <c r="J1074" s="7">
        <v>45328</v>
      </c>
      <c r="K1074" s="5" t="s">
        <v>17</v>
      </c>
      <c r="L1074" s="8">
        <v>44310</v>
      </c>
      <c r="M1074" s="19">
        <v>235</v>
      </c>
      <c r="N1074" s="19">
        <v>285</v>
      </c>
      <c r="O1074" s="24">
        <v>10400</v>
      </c>
      <c r="P1074" s="24">
        <v>13800</v>
      </c>
      <c r="Q1074" t="s">
        <v>1983</v>
      </c>
      <c r="R1074" s="19">
        <f>VLOOKUP(A1074,[1]Sheet1!$A$2:$Q$1536,15,FALSE)</f>
        <v>9078.685546875</v>
      </c>
      <c r="S1074" s="27">
        <f t="shared" si="48"/>
        <v>-0.52004383550327249</v>
      </c>
      <c r="T1074" s="19">
        <f>VLOOKUP(A1074,[1]Sheet1!$A$2:$Q$1536,16,FALSE)</f>
        <v>9745.9530309351685</v>
      </c>
      <c r="U1074" s="27">
        <f t="shared" si="49"/>
        <v>-0.41597234833747471</v>
      </c>
      <c r="V1074" s="19">
        <f>VLOOKUP(A1074,[1]Sheet1!$A$2:$Q$1536,17,FALSE)</f>
        <v>9232.58203125</v>
      </c>
      <c r="W1074" s="27">
        <f t="shared" si="50"/>
        <v>-0.4947064595029238</v>
      </c>
    </row>
    <row r="1075" spans="1:23" x14ac:dyDescent="0.3">
      <c r="A1075" s="4" t="s">
        <v>1412</v>
      </c>
      <c r="B1075" s="5">
        <v>2015</v>
      </c>
      <c r="C1075" s="5" t="s">
        <v>1086</v>
      </c>
      <c r="D1075" s="15" t="s">
        <v>1411</v>
      </c>
      <c r="E1075" s="6">
        <v>146792</v>
      </c>
      <c r="F1075" s="5" t="s">
        <v>38</v>
      </c>
      <c r="G1075" s="5" t="s">
        <v>25</v>
      </c>
      <c r="H1075" s="5" t="s">
        <v>18</v>
      </c>
      <c r="I1075" s="5" t="s">
        <v>17</v>
      </c>
      <c r="J1075" s="7">
        <v>45421</v>
      </c>
      <c r="K1075" s="5" t="s">
        <v>17</v>
      </c>
      <c r="L1075" s="8">
        <v>44113</v>
      </c>
      <c r="M1075" s="19">
        <v>264</v>
      </c>
      <c r="N1075" s="19">
        <v>314</v>
      </c>
      <c r="O1075" s="24">
        <v>2500</v>
      </c>
      <c r="P1075" s="24">
        <v>8500</v>
      </c>
      <c r="Q1075" t="s">
        <v>1983</v>
      </c>
      <c r="R1075" s="19">
        <f>VLOOKUP(A1075,[1]Sheet1!$A$2:$Q$1536,15,FALSE)</f>
        <v>1197.694702148438</v>
      </c>
      <c r="S1075" s="27">
        <f t="shared" si="48"/>
        <v>-6.0969671860054211</v>
      </c>
      <c r="T1075" s="19">
        <f>VLOOKUP(A1075,[1]Sheet1!$A$2:$Q$1536,16,FALSE)</f>
        <v>8549.1709146801913</v>
      </c>
      <c r="U1075" s="27">
        <f t="shared" si="49"/>
        <v>5.7515418946365443E-3</v>
      </c>
      <c r="V1075" s="19">
        <f>VLOOKUP(A1075,[1]Sheet1!$A$2:$Q$1536,17,FALSE)</f>
        <v>1282.204956054688</v>
      </c>
      <c r="W1075" s="27">
        <f t="shared" si="50"/>
        <v>-5.6292053855058279</v>
      </c>
    </row>
    <row r="1076" spans="1:23" x14ac:dyDescent="0.3">
      <c r="A1076" s="4" t="s">
        <v>954</v>
      </c>
      <c r="B1076" s="5">
        <v>2018</v>
      </c>
      <c r="C1076" s="5" t="s">
        <v>96</v>
      </c>
      <c r="D1076" s="15" t="s">
        <v>107</v>
      </c>
      <c r="E1076" s="6">
        <v>55339</v>
      </c>
      <c r="F1076" s="5" t="s">
        <v>718</v>
      </c>
      <c r="G1076" s="5" t="s">
        <v>22</v>
      </c>
      <c r="H1076" s="5" t="s">
        <v>18</v>
      </c>
      <c r="I1076" s="5" t="s">
        <v>17</v>
      </c>
      <c r="J1076" s="7">
        <v>45706</v>
      </c>
      <c r="K1076" s="5" t="s">
        <v>17</v>
      </c>
      <c r="L1076" s="8">
        <v>44128</v>
      </c>
      <c r="M1076" s="19">
        <v>264</v>
      </c>
      <c r="N1076" s="19">
        <v>314</v>
      </c>
      <c r="O1076" s="24">
        <v>2000</v>
      </c>
      <c r="P1076" s="24">
        <v>13400</v>
      </c>
      <c r="Q1076" t="s">
        <v>1983</v>
      </c>
      <c r="R1076" s="19">
        <f>VLOOKUP(A1076,[1]Sheet1!$A$2:$Q$1536,15,FALSE)</f>
        <v>6405.0185546875</v>
      </c>
      <c r="S1076" s="27">
        <f t="shared" si="48"/>
        <v>-1.0921094740925046</v>
      </c>
      <c r="T1076" s="19">
        <f>VLOOKUP(A1076,[1]Sheet1!$A$2:$Q$1536,16,FALSE)</f>
        <v>11420.68071988161</v>
      </c>
      <c r="U1076" s="27">
        <f t="shared" si="49"/>
        <v>-0.1733100967154004</v>
      </c>
      <c r="V1076" s="19">
        <f>VLOOKUP(A1076,[1]Sheet1!$A$2:$Q$1536,17,FALSE)</f>
        <v>6040.43994140625</v>
      </c>
      <c r="W1076" s="27">
        <f t="shared" si="50"/>
        <v>-1.2183814639303245</v>
      </c>
    </row>
    <row r="1077" spans="1:23" x14ac:dyDescent="0.3">
      <c r="A1077" s="4" t="s">
        <v>1065</v>
      </c>
      <c r="B1077" s="5">
        <v>2016</v>
      </c>
      <c r="C1077" s="5" t="s">
        <v>391</v>
      </c>
      <c r="D1077" s="15" t="s">
        <v>1060</v>
      </c>
      <c r="E1077" s="6">
        <v>111697</v>
      </c>
      <c r="F1077" s="5" t="s">
        <v>42</v>
      </c>
      <c r="G1077" s="5" t="s">
        <v>25</v>
      </c>
      <c r="H1077" s="5" t="s">
        <v>18</v>
      </c>
      <c r="I1077" s="5" t="s">
        <v>17</v>
      </c>
      <c r="J1077" s="7">
        <v>45561</v>
      </c>
      <c r="K1077" s="5" t="s">
        <v>17</v>
      </c>
      <c r="L1077" s="8">
        <v>43608</v>
      </c>
      <c r="M1077" s="19">
        <v>264</v>
      </c>
      <c r="N1077" s="19">
        <v>314</v>
      </c>
      <c r="O1077" s="24">
        <v>0</v>
      </c>
      <c r="P1077" s="24">
        <v>10600</v>
      </c>
      <c r="Q1077" t="s">
        <v>1983</v>
      </c>
      <c r="R1077" s="19">
        <f>VLOOKUP(A1077,[1]Sheet1!$A$2:$Q$1536,15,FALSE)</f>
        <v>3224.975830078125</v>
      </c>
      <c r="S1077" s="27">
        <f t="shared" si="48"/>
        <v>-2.2868463388586746</v>
      </c>
      <c r="T1077" s="19">
        <f>VLOOKUP(A1077,[1]Sheet1!$A$2:$Q$1536,16,FALSE)</f>
        <v>9451.0969287322132</v>
      </c>
      <c r="U1077" s="27">
        <f t="shared" si="49"/>
        <v>-0.12156293390400162</v>
      </c>
      <c r="V1077" s="19">
        <f>VLOOKUP(A1077,[1]Sheet1!$A$2:$Q$1536,17,FALSE)</f>
        <v>3212.27490234375</v>
      </c>
      <c r="W1077" s="27">
        <f t="shared" si="50"/>
        <v>-2.2998421125993902</v>
      </c>
    </row>
    <row r="1078" spans="1:23" x14ac:dyDescent="0.3">
      <c r="A1078" s="4" t="s">
        <v>1621</v>
      </c>
      <c r="B1078" s="5">
        <v>2019</v>
      </c>
      <c r="C1078" s="5" t="s">
        <v>519</v>
      </c>
      <c r="D1078" s="15" t="s">
        <v>1607</v>
      </c>
      <c r="E1078" s="6">
        <v>69597</v>
      </c>
      <c r="F1078" s="5" t="s">
        <v>47</v>
      </c>
      <c r="G1078" s="5" t="s">
        <v>16</v>
      </c>
      <c r="H1078" s="5" t="s">
        <v>17</v>
      </c>
      <c r="I1078" s="5" t="s">
        <v>18</v>
      </c>
      <c r="J1078" s="7">
        <v>45664</v>
      </c>
      <c r="K1078" s="5" t="s">
        <v>17</v>
      </c>
      <c r="L1078" s="8">
        <v>44310</v>
      </c>
      <c r="M1078" s="19">
        <v>235</v>
      </c>
      <c r="N1078" s="19">
        <v>285</v>
      </c>
      <c r="O1078" s="24">
        <v>10100</v>
      </c>
      <c r="P1078" s="24">
        <v>14500</v>
      </c>
      <c r="Q1078" t="s">
        <v>1983</v>
      </c>
      <c r="R1078" s="19">
        <f>VLOOKUP(A1078,[1]Sheet1!$A$2:$Q$1536,15,FALSE)</f>
        <v>9784.53125</v>
      </c>
      <c r="S1078" s="27">
        <f t="shared" si="48"/>
        <v>-0.48193098161958448</v>
      </c>
      <c r="T1078" s="19">
        <f>VLOOKUP(A1078,[1]Sheet1!$A$2:$Q$1536,16,FALSE)</f>
        <v>10353.298707339731</v>
      </c>
      <c r="U1078" s="27">
        <f t="shared" si="49"/>
        <v>-0.40051981594238767</v>
      </c>
      <c r="V1078" s="19">
        <f>VLOOKUP(A1078,[1]Sheet1!$A$2:$Q$1536,17,FALSE)</f>
        <v>9783.87890625</v>
      </c>
      <c r="W1078" s="27">
        <f t="shared" si="50"/>
        <v>-0.48202978991668771</v>
      </c>
    </row>
    <row r="1079" spans="1:23" x14ac:dyDescent="0.3">
      <c r="A1079" s="4" t="s">
        <v>458</v>
      </c>
      <c r="B1079" s="5">
        <v>2014</v>
      </c>
      <c r="C1079" s="5" t="s">
        <v>391</v>
      </c>
      <c r="D1079" s="15" t="s">
        <v>413</v>
      </c>
      <c r="E1079" s="6">
        <v>69712</v>
      </c>
      <c r="F1079" s="5" t="s">
        <v>66</v>
      </c>
      <c r="G1079" s="5" t="s">
        <v>25</v>
      </c>
      <c r="H1079" s="5" t="s">
        <v>18</v>
      </c>
      <c r="I1079" s="5" t="s">
        <v>17</v>
      </c>
      <c r="J1079" s="7">
        <v>45664</v>
      </c>
      <c r="K1079" s="5" t="s">
        <v>17</v>
      </c>
      <c r="L1079" s="8">
        <v>44135</v>
      </c>
      <c r="M1079" s="19">
        <v>235</v>
      </c>
      <c r="N1079" s="19">
        <v>285</v>
      </c>
      <c r="O1079" s="24">
        <v>2000</v>
      </c>
      <c r="P1079" s="24">
        <v>3300</v>
      </c>
      <c r="Q1079" t="s">
        <v>1983</v>
      </c>
      <c r="R1079" s="19">
        <f>VLOOKUP(A1079,[1]Sheet1!$A$2:$Q$1536,15,FALSE)</f>
        <v>3739.030029296875</v>
      </c>
      <c r="S1079" s="27">
        <f t="shared" si="48"/>
        <v>0.11741816082162748</v>
      </c>
      <c r="T1079" s="19">
        <f>VLOOKUP(A1079,[1]Sheet1!$A$2:$Q$1536,16,FALSE)</f>
        <v>9718.9856397394124</v>
      </c>
      <c r="U1079" s="27">
        <f t="shared" si="49"/>
        <v>0.66045839326001099</v>
      </c>
      <c r="V1079" s="19">
        <f>VLOOKUP(A1079,[1]Sheet1!$A$2:$Q$1536,17,FALSE)</f>
        <v>3745.45263671875</v>
      </c>
      <c r="W1079" s="27">
        <f t="shared" si="50"/>
        <v>0.1189315898302199</v>
      </c>
    </row>
    <row r="1080" spans="1:23" x14ac:dyDescent="0.3">
      <c r="A1080" s="4" t="s">
        <v>1742</v>
      </c>
      <c r="B1080" s="5">
        <v>2015</v>
      </c>
      <c r="C1080" s="5" t="s">
        <v>1086</v>
      </c>
      <c r="D1080" s="15" t="s">
        <v>1411</v>
      </c>
      <c r="E1080" s="6">
        <v>108286</v>
      </c>
      <c r="F1080" s="5" t="s">
        <v>47</v>
      </c>
      <c r="G1080" s="5" t="s">
        <v>33</v>
      </c>
      <c r="H1080" s="5" t="s">
        <v>17</v>
      </c>
      <c r="I1080" s="5" t="s">
        <v>18</v>
      </c>
      <c r="J1080" s="7">
        <v>45330</v>
      </c>
      <c r="K1080" s="5" t="s">
        <v>17</v>
      </c>
      <c r="L1080" s="8">
        <v>44113</v>
      </c>
      <c r="M1080" s="19">
        <v>264</v>
      </c>
      <c r="N1080" s="19">
        <v>314</v>
      </c>
      <c r="O1080" s="24">
        <v>4700</v>
      </c>
      <c r="P1080" s="24">
        <v>10500</v>
      </c>
      <c r="Q1080" t="s">
        <v>1983</v>
      </c>
      <c r="R1080" s="19">
        <f>VLOOKUP(A1080,[1]Sheet1!$A$2:$Q$1536,15,FALSE)</f>
        <v>5511.72802734375</v>
      </c>
      <c r="S1080" s="27">
        <f t="shared" si="48"/>
        <v>-0.90502868572421791</v>
      </c>
      <c r="T1080" s="19">
        <f>VLOOKUP(A1080,[1]Sheet1!$A$2:$Q$1536,16,FALSE)</f>
        <v>9617.0653802273318</v>
      </c>
      <c r="U1080" s="27">
        <f t="shared" si="49"/>
        <v>-9.180915225844051E-2</v>
      </c>
      <c r="V1080" s="19">
        <f>VLOOKUP(A1080,[1]Sheet1!$A$2:$Q$1536,17,FALSE)</f>
        <v>5626.990234375</v>
      </c>
      <c r="W1080" s="27">
        <f t="shared" si="50"/>
        <v>-0.86600643730568938</v>
      </c>
    </row>
    <row r="1081" spans="1:23" x14ac:dyDescent="0.3">
      <c r="A1081" s="4" t="s">
        <v>60</v>
      </c>
      <c r="B1081" s="5">
        <v>2015</v>
      </c>
      <c r="C1081" s="5" t="s">
        <v>46</v>
      </c>
      <c r="D1081" s="15">
        <v>200</v>
      </c>
      <c r="E1081" s="6">
        <v>148141</v>
      </c>
      <c r="F1081" s="5" t="s">
        <v>61</v>
      </c>
      <c r="G1081" s="5" t="s">
        <v>22</v>
      </c>
      <c r="H1081" s="5" t="s">
        <v>18</v>
      </c>
      <c r="I1081" s="5" t="s">
        <v>17</v>
      </c>
      <c r="J1081" s="7">
        <v>45580</v>
      </c>
      <c r="K1081" s="5" t="s">
        <v>17</v>
      </c>
      <c r="L1081" s="8">
        <v>44067</v>
      </c>
      <c r="M1081" s="19">
        <v>235</v>
      </c>
      <c r="N1081" s="19">
        <v>285</v>
      </c>
      <c r="O1081" s="24">
        <v>1800</v>
      </c>
      <c r="P1081" s="24">
        <v>7200</v>
      </c>
      <c r="Q1081" t="s">
        <v>1983</v>
      </c>
      <c r="R1081" s="19">
        <f>VLOOKUP(A1081,[1]Sheet1!$A$2:$Q$1536,15,FALSE)</f>
        <v>1204.5166015625</v>
      </c>
      <c r="S1081" s="27">
        <f t="shared" si="48"/>
        <v>-4.9775016721730143</v>
      </c>
      <c r="T1081" s="19">
        <f>VLOOKUP(A1081,[1]Sheet1!$A$2:$Q$1536,16,FALSE)</f>
        <v>8792.2673708379898</v>
      </c>
      <c r="U1081" s="27">
        <f t="shared" si="49"/>
        <v>0.18109860672790606</v>
      </c>
      <c r="V1081" s="19">
        <f>VLOOKUP(A1081,[1]Sheet1!$A$2:$Q$1536,17,FALSE)</f>
        <v>1281.388061523438</v>
      </c>
      <c r="W1081" s="27">
        <f t="shared" si="50"/>
        <v>-4.6189067279430907</v>
      </c>
    </row>
    <row r="1082" spans="1:23" x14ac:dyDescent="0.3">
      <c r="A1082" s="4" t="s">
        <v>1456</v>
      </c>
      <c r="B1082" s="5">
        <v>2016</v>
      </c>
      <c r="C1082" s="5" t="s">
        <v>1086</v>
      </c>
      <c r="D1082" s="15" t="s">
        <v>1436</v>
      </c>
      <c r="E1082" s="6">
        <v>108206</v>
      </c>
      <c r="F1082" s="5" t="s">
        <v>59</v>
      </c>
      <c r="G1082" s="5" t="s">
        <v>25</v>
      </c>
      <c r="H1082" s="5" t="s">
        <v>18</v>
      </c>
      <c r="I1082" s="5" t="s">
        <v>17</v>
      </c>
      <c r="J1082" s="7">
        <v>45344</v>
      </c>
      <c r="K1082" s="5" t="s">
        <v>17</v>
      </c>
      <c r="L1082" s="8">
        <v>44224</v>
      </c>
      <c r="M1082" s="19">
        <v>235</v>
      </c>
      <c r="N1082" s="19">
        <v>285</v>
      </c>
      <c r="O1082" s="24">
        <v>0</v>
      </c>
      <c r="P1082" s="24">
        <v>8400</v>
      </c>
      <c r="Q1082" t="s">
        <v>1983</v>
      </c>
      <c r="R1082" s="19">
        <f>VLOOKUP(A1082,[1]Sheet1!$A$2:$Q$1536,15,FALSE)</f>
        <v>6020.47802734375</v>
      </c>
      <c r="S1082" s="27">
        <f t="shared" si="48"/>
        <v>-0.39523804618984731</v>
      </c>
      <c r="T1082" s="19">
        <f>VLOOKUP(A1082,[1]Sheet1!$A$2:$Q$1536,16,FALSE)</f>
        <v>9540.9853289499952</v>
      </c>
      <c r="U1082" s="27">
        <f t="shared" si="49"/>
        <v>0.11958778780299864</v>
      </c>
      <c r="V1082" s="19">
        <f>VLOOKUP(A1082,[1]Sheet1!$A$2:$Q$1536,17,FALSE)</f>
        <v>6104.646484375</v>
      </c>
      <c r="W1082" s="27">
        <f t="shared" si="50"/>
        <v>-0.37600105452461768</v>
      </c>
    </row>
    <row r="1083" spans="1:23" x14ac:dyDescent="0.3">
      <c r="A1083" s="4" t="s">
        <v>1375</v>
      </c>
      <c r="B1083" s="5">
        <v>2017</v>
      </c>
      <c r="C1083" s="5" t="s">
        <v>1089</v>
      </c>
      <c r="D1083" s="15" t="s">
        <v>1363</v>
      </c>
      <c r="E1083" s="6">
        <v>124466</v>
      </c>
      <c r="F1083" s="5" t="s">
        <v>38</v>
      </c>
      <c r="G1083" s="5" t="s">
        <v>25</v>
      </c>
      <c r="H1083" s="5" t="s">
        <v>18</v>
      </c>
      <c r="I1083" s="5" t="s">
        <v>17</v>
      </c>
      <c r="J1083" s="7">
        <v>45554</v>
      </c>
      <c r="K1083" s="5" t="s">
        <v>17</v>
      </c>
      <c r="L1083" s="8">
        <v>44067</v>
      </c>
      <c r="M1083" s="19">
        <v>235</v>
      </c>
      <c r="N1083" s="19">
        <v>285</v>
      </c>
      <c r="O1083" s="24">
        <v>1900</v>
      </c>
      <c r="P1083" s="24">
        <v>7600</v>
      </c>
      <c r="Q1083" t="s">
        <v>1983</v>
      </c>
      <c r="R1083" s="19">
        <f>VLOOKUP(A1083,[1]Sheet1!$A$2:$Q$1536,15,FALSE)</f>
        <v>2562.561279296875</v>
      </c>
      <c r="S1083" s="27">
        <f t="shared" si="48"/>
        <v>-1.965782735188021</v>
      </c>
      <c r="T1083" s="19">
        <f>VLOOKUP(A1083,[1]Sheet1!$A$2:$Q$1536,16,FALSE)</f>
        <v>8571.1423229716347</v>
      </c>
      <c r="U1083" s="27">
        <f t="shared" si="49"/>
        <v>0.11330372153182698</v>
      </c>
      <c r="V1083" s="19">
        <f>VLOOKUP(A1083,[1]Sheet1!$A$2:$Q$1536,17,FALSE)</f>
        <v>2378.35205078125</v>
      </c>
      <c r="W1083" s="27">
        <f t="shared" si="50"/>
        <v>-2.1954899181151601</v>
      </c>
    </row>
    <row r="1084" spans="1:23" x14ac:dyDescent="0.3">
      <c r="A1084" s="4" t="s">
        <v>1490</v>
      </c>
      <c r="B1084" s="5">
        <v>2016</v>
      </c>
      <c r="C1084" s="5" t="s">
        <v>1219</v>
      </c>
      <c r="D1084" s="15" t="s">
        <v>1489</v>
      </c>
      <c r="E1084" s="6">
        <v>150044</v>
      </c>
      <c r="F1084" s="5" t="s">
        <v>32</v>
      </c>
      <c r="G1084" s="5" t="s">
        <v>25</v>
      </c>
      <c r="H1084" s="5" t="s">
        <v>18</v>
      </c>
      <c r="I1084" s="5" t="s">
        <v>17</v>
      </c>
      <c r="J1084" s="7">
        <v>45370</v>
      </c>
      <c r="K1084" s="5" t="s">
        <v>17</v>
      </c>
      <c r="L1084" s="8">
        <v>43612</v>
      </c>
      <c r="M1084" s="19">
        <v>264</v>
      </c>
      <c r="N1084" s="19">
        <v>314</v>
      </c>
      <c r="O1084" s="24">
        <v>2900</v>
      </c>
      <c r="P1084" s="24">
        <v>13700</v>
      </c>
      <c r="Q1084" t="s">
        <v>1983</v>
      </c>
      <c r="R1084" s="19">
        <f>VLOOKUP(A1084,[1]Sheet1!$A$2:$Q$1536,15,FALSE)</f>
        <v>936.63580322265625</v>
      </c>
      <c r="S1084" s="27">
        <f t="shared" si="48"/>
        <v>-13.626816477506837</v>
      </c>
      <c r="T1084" s="19">
        <f>VLOOKUP(A1084,[1]Sheet1!$A$2:$Q$1536,16,FALSE)</f>
        <v>9077.8935719803285</v>
      </c>
      <c r="U1084" s="27">
        <f t="shared" si="49"/>
        <v>-0.50916067602799253</v>
      </c>
      <c r="V1084" s="19">
        <f>VLOOKUP(A1084,[1]Sheet1!$A$2:$Q$1536,17,FALSE)</f>
        <v>1083.871215820312</v>
      </c>
      <c r="W1084" s="27">
        <f t="shared" si="50"/>
        <v>-11.639878059342461</v>
      </c>
    </row>
    <row r="1085" spans="1:23" x14ac:dyDescent="0.3">
      <c r="A1085" s="4" t="s">
        <v>50</v>
      </c>
      <c r="B1085" s="5">
        <v>2012</v>
      </c>
      <c r="C1085" s="5" t="s">
        <v>46</v>
      </c>
      <c r="D1085" s="15" t="s">
        <v>51</v>
      </c>
      <c r="E1085" s="6">
        <v>204412</v>
      </c>
      <c r="F1085" s="5" t="s">
        <v>24</v>
      </c>
      <c r="G1085" s="5" t="s">
        <v>25</v>
      </c>
      <c r="H1085" s="5" t="s">
        <v>18</v>
      </c>
      <c r="I1085" s="5" t="s">
        <v>17</v>
      </c>
      <c r="J1085" s="7">
        <v>45365</v>
      </c>
      <c r="K1085" s="5" t="s">
        <v>17</v>
      </c>
      <c r="L1085" s="8">
        <v>44113</v>
      </c>
      <c r="M1085" s="19">
        <v>264</v>
      </c>
      <c r="N1085" s="19">
        <v>314</v>
      </c>
      <c r="O1085" s="24">
        <v>0</v>
      </c>
      <c r="P1085" s="24">
        <v>7500</v>
      </c>
      <c r="Q1085" t="s">
        <v>1983</v>
      </c>
      <c r="R1085" s="19">
        <f>VLOOKUP(A1085,[1]Sheet1!$A$2:$Q$1536,15,FALSE)</f>
        <v>807.651123046875</v>
      </c>
      <c r="S1085" s="27">
        <f t="shared" si="48"/>
        <v>-8.2861877931973229</v>
      </c>
      <c r="T1085" s="19">
        <f>VLOOKUP(A1085,[1]Sheet1!$A$2:$Q$1536,16,FALSE)</f>
        <v>8935.8062744821109</v>
      </c>
      <c r="U1085" s="27">
        <f t="shared" si="49"/>
        <v>0.16068010321377804</v>
      </c>
      <c r="V1085" s="19">
        <f>VLOOKUP(A1085,[1]Sheet1!$A$2:$Q$1536,17,FALSE)</f>
        <v>1083.871215820312</v>
      </c>
      <c r="W1085" s="27">
        <f t="shared" si="50"/>
        <v>-5.9196412733626609</v>
      </c>
    </row>
    <row r="1086" spans="1:23" x14ac:dyDescent="0.3">
      <c r="A1086" s="4" t="s">
        <v>70</v>
      </c>
      <c r="B1086" s="5">
        <v>2016</v>
      </c>
      <c r="C1086" s="5" t="s">
        <v>46</v>
      </c>
      <c r="D1086" s="15" t="s">
        <v>53</v>
      </c>
      <c r="E1086" s="6">
        <v>82924</v>
      </c>
      <c r="F1086" s="5" t="s">
        <v>40</v>
      </c>
      <c r="G1086" s="5" t="s">
        <v>25</v>
      </c>
      <c r="H1086" s="5" t="s">
        <v>18</v>
      </c>
      <c r="I1086" s="5" t="s">
        <v>17</v>
      </c>
      <c r="J1086" s="7">
        <v>45589</v>
      </c>
      <c r="K1086" s="5" t="s">
        <v>17</v>
      </c>
      <c r="L1086" s="8">
        <v>44451</v>
      </c>
      <c r="M1086" s="19">
        <v>264</v>
      </c>
      <c r="N1086" s="19">
        <v>314</v>
      </c>
      <c r="O1086" s="24">
        <v>0</v>
      </c>
      <c r="P1086" s="24">
        <v>4800</v>
      </c>
      <c r="Q1086" t="s">
        <v>1983</v>
      </c>
      <c r="R1086" s="19">
        <f>VLOOKUP(A1086,[1]Sheet1!$A$2:$Q$1536,15,FALSE)</f>
        <v>3912.339599609375</v>
      </c>
      <c r="S1086" s="27">
        <f t="shared" si="48"/>
        <v>-0.226887359287331</v>
      </c>
      <c r="T1086" s="19">
        <f>VLOOKUP(A1086,[1]Sheet1!$A$2:$Q$1536,16,FALSE)</f>
        <v>9318.0460661373399</v>
      </c>
      <c r="U1086" s="27">
        <f t="shared" si="49"/>
        <v>0.48487054411078157</v>
      </c>
      <c r="V1086" s="19">
        <f>VLOOKUP(A1086,[1]Sheet1!$A$2:$Q$1536,17,FALSE)</f>
        <v>3866.30078125</v>
      </c>
      <c r="W1086" s="27">
        <f t="shared" si="50"/>
        <v>-0.24149678764726862</v>
      </c>
    </row>
    <row r="1087" spans="1:23" x14ac:dyDescent="0.3">
      <c r="A1087" s="4" t="s">
        <v>260</v>
      </c>
      <c r="B1087" s="5">
        <v>2015</v>
      </c>
      <c r="C1087" s="5" t="s">
        <v>237</v>
      </c>
      <c r="D1087" s="15" t="s">
        <v>250</v>
      </c>
      <c r="E1087" s="6">
        <v>88929</v>
      </c>
      <c r="F1087" s="5" t="s">
        <v>73</v>
      </c>
      <c r="G1087" s="5" t="s">
        <v>22</v>
      </c>
      <c r="H1087" s="5" t="s">
        <v>18</v>
      </c>
      <c r="I1087" s="5" t="s">
        <v>17</v>
      </c>
      <c r="J1087" s="7">
        <v>45454</v>
      </c>
      <c r="K1087" s="5" t="s">
        <v>17</v>
      </c>
      <c r="L1087" s="8">
        <v>44135</v>
      </c>
      <c r="M1087" s="19">
        <v>235</v>
      </c>
      <c r="N1087" s="19">
        <v>285</v>
      </c>
      <c r="O1087" s="24">
        <v>800</v>
      </c>
      <c r="P1087" s="24">
        <v>3800</v>
      </c>
      <c r="Q1087" t="s">
        <v>1983</v>
      </c>
      <c r="R1087" s="19">
        <f>VLOOKUP(A1087,[1]Sheet1!$A$2:$Q$1536,15,FALSE)</f>
        <v>4180.51953125</v>
      </c>
      <c r="S1087" s="27">
        <f t="shared" si="48"/>
        <v>9.1022067569726778E-2</v>
      </c>
      <c r="T1087" s="19">
        <f>VLOOKUP(A1087,[1]Sheet1!$A$2:$Q$1536,16,FALSE)</f>
        <v>9295.6053143752888</v>
      </c>
      <c r="U1087" s="27">
        <f t="shared" si="49"/>
        <v>0.59120467452254566</v>
      </c>
      <c r="V1087" s="19">
        <f>VLOOKUP(A1087,[1]Sheet1!$A$2:$Q$1536,17,FALSE)</f>
        <v>4019.3056640625</v>
      </c>
      <c r="W1087" s="27">
        <f t="shared" si="50"/>
        <v>5.456307193139362E-2</v>
      </c>
    </row>
    <row r="1088" spans="1:23" x14ac:dyDescent="0.3">
      <c r="A1088" s="4" t="s">
        <v>518</v>
      </c>
      <c r="B1088" s="5">
        <v>2015</v>
      </c>
      <c r="C1088" s="5" t="s">
        <v>519</v>
      </c>
      <c r="D1088" s="15" t="s">
        <v>520</v>
      </c>
      <c r="E1088" s="6">
        <v>115896</v>
      </c>
      <c r="F1088" s="5" t="s">
        <v>199</v>
      </c>
      <c r="G1088" s="5" t="s">
        <v>16</v>
      </c>
      <c r="H1088" s="5" t="s">
        <v>17</v>
      </c>
      <c r="I1088" s="5" t="s">
        <v>18</v>
      </c>
      <c r="J1088" s="7">
        <v>45664</v>
      </c>
      <c r="K1088" s="5" t="s">
        <v>17</v>
      </c>
      <c r="L1088" s="8">
        <v>44451</v>
      </c>
      <c r="M1088" s="19">
        <v>264</v>
      </c>
      <c r="N1088" s="19">
        <v>314</v>
      </c>
      <c r="O1088" s="24">
        <v>8300</v>
      </c>
      <c r="P1088" s="24">
        <v>12200</v>
      </c>
      <c r="Q1088" t="s">
        <v>1983</v>
      </c>
      <c r="R1088" s="19">
        <f>VLOOKUP(A1088,[1]Sheet1!$A$2:$Q$1536,15,FALSE)</f>
        <v>5837.302734375</v>
      </c>
      <c r="S1088" s="27">
        <f t="shared" si="48"/>
        <v>-1.0900063873946491</v>
      </c>
      <c r="T1088" s="19">
        <f>VLOOKUP(A1088,[1]Sheet1!$A$2:$Q$1536,16,FALSE)</f>
        <v>9851.2938623216032</v>
      </c>
      <c r="U1088" s="27">
        <f t="shared" si="49"/>
        <v>-0.23841600611078406</v>
      </c>
      <c r="V1088" s="19">
        <f>VLOOKUP(A1088,[1]Sheet1!$A$2:$Q$1536,17,FALSE)</f>
        <v>5916.62841796875</v>
      </c>
      <c r="W1088" s="27">
        <f t="shared" si="50"/>
        <v>-1.0619851608305677</v>
      </c>
    </row>
    <row r="1089" spans="1:23" x14ac:dyDescent="0.3">
      <c r="A1089" s="4" t="s">
        <v>210</v>
      </c>
      <c r="B1089" s="5">
        <v>2019</v>
      </c>
      <c r="C1089" s="5" t="s">
        <v>96</v>
      </c>
      <c r="D1089" s="15" t="s">
        <v>211</v>
      </c>
      <c r="E1089" s="6">
        <v>75399</v>
      </c>
      <c r="F1089" s="5" t="s">
        <v>115</v>
      </c>
      <c r="G1089" s="5" t="s">
        <v>16</v>
      </c>
      <c r="H1089" s="5" t="s">
        <v>17</v>
      </c>
      <c r="I1089" s="5" t="s">
        <v>18</v>
      </c>
      <c r="J1089" s="7">
        <v>45734</v>
      </c>
      <c r="K1089" s="5" t="s">
        <v>17</v>
      </c>
      <c r="L1089" s="8">
        <v>43935</v>
      </c>
      <c r="M1089" s="19">
        <v>222</v>
      </c>
      <c r="N1089" s="19">
        <v>272</v>
      </c>
      <c r="O1089" s="24">
        <v>0</v>
      </c>
      <c r="P1089" s="24">
        <v>42000</v>
      </c>
      <c r="Q1089" t="s">
        <v>1983</v>
      </c>
      <c r="R1089" s="19">
        <f>VLOOKUP(A1089,[1]Sheet1!$A$2:$Q$1536,15,FALSE)</f>
        <v>13074.607421875</v>
      </c>
      <c r="S1089" s="27">
        <f t="shared" si="48"/>
        <v>-2.2123335443120231</v>
      </c>
      <c r="T1089" s="19">
        <f>VLOOKUP(A1089,[1]Sheet1!$A$2:$Q$1536,16,FALSE)</f>
        <v>10307.77869329796</v>
      </c>
      <c r="U1089" s="27">
        <f t="shared" si="49"/>
        <v>-3.0745927177606256</v>
      </c>
      <c r="V1089" s="19">
        <f>VLOOKUP(A1089,[1]Sheet1!$A$2:$Q$1536,17,FALSE)</f>
        <v>13098.421875</v>
      </c>
      <c r="W1089" s="27">
        <f t="shared" si="50"/>
        <v>-2.2064931486259676</v>
      </c>
    </row>
    <row r="1090" spans="1:23" x14ac:dyDescent="0.3">
      <c r="A1090" s="4" t="s">
        <v>1516</v>
      </c>
      <c r="B1090" s="5">
        <v>2012</v>
      </c>
      <c r="C1090" s="5" t="s">
        <v>30</v>
      </c>
      <c r="D1090" s="15" t="s">
        <v>1517</v>
      </c>
      <c r="E1090" s="6">
        <v>104698</v>
      </c>
      <c r="F1090" s="5" t="s">
        <v>38</v>
      </c>
      <c r="G1090" s="5" t="s">
        <v>25</v>
      </c>
      <c r="H1090" s="5" t="s">
        <v>18</v>
      </c>
      <c r="I1090" s="5" t="s">
        <v>17</v>
      </c>
      <c r="J1090" s="7">
        <v>45554</v>
      </c>
      <c r="K1090" s="5" t="s">
        <v>17</v>
      </c>
      <c r="L1090" s="8">
        <v>44128</v>
      </c>
      <c r="M1090" s="19">
        <v>264</v>
      </c>
      <c r="N1090" s="19">
        <v>314</v>
      </c>
      <c r="O1090" s="24">
        <v>0</v>
      </c>
      <c r="P1090" s="24">
        <v>8100</v>
      </c>
      <c r="Q1090" t="s">
        <v>1983</v>
      </c>
      <c r="R1090" s="19">
        <f>VLOOKUP(A1090,[1]Sheet1!$A$2:$Q$1536,15,FALSE)</f>
        <v>2811.828125</v>
      </c>
      <c r="S1090" s="27">
        <f t="shared" si="48"/>
        <v>-1.8806881643948277</v>
      </c>
      <c r="T1090" s="19">
        <f>VLOOKUP(A1090,[1]Sheet1!$A$2:$Q$1536,16,FALSE)</f>
        <v>9035.3055704135004</v>
      </c>
      <c r="U1090" s="27">
        <f t="shared" si="49"/>
        <v>0.10351676134520553</v>
      </c>
      <c r="V1090" s="19">
        <f>VLOOKUP(A1090,[1]Sheet1!$A$2:$Q$1536,17,FALSE)</f>
        <v>2601.28369140625</v>
      </c>
      <c r="W1090" s="27">
        <f t="shared" si="50"/>
        <v>-2.1138472234918568</v>
      </c>
    </row>
    <row r="1091" spans="1:23" x14ac:dyDescent="0.3">
      <c r="A1091" s="4" t="s">
        <v>1481</v>
      </c>
      <c r="B1091" s="5">
        <v>2020</v>
      </c>
      <c r="C1091" s="5" t="s">
        <v>920</v>
      </c>
      <c r="D1091" s="15" t="s">
        <v>921</v>
      </c>
      <c r="E1091" s="6">
        <v>66415</v>
      </c>
      <c r="F1091" s="5" t="s">
        <v>40</v>
      </c>
      <c r="G1091" s="5" t="s">
        <v>28</v>
      </c>
      <c r="H1091" s="5" t="s">
        <v>17</v>
      </c>
      <c r="I1091" s="5" t="s">
        <v>18</v>
      </c>
      <c r="J1091" s="7">
        <v>45708</v>
      </c>
      <c r="K1091" s="5" t="s">
        <v>17</v>
      </c>
      <c r="L1091" s="8">
        <v>44128</v>
      </c>
      <c r="M1091" s="19">
        <v>264</v>
      </c>
      <c r="N1091" s="19">
        <v>314</v>
      </c>
      <c r="O1091" s="24">
        <v>12800</v>
      </c>
      <c r="P1091" s="24">
        <v>19000</v>
      </c>
      <c r="Q1091" t="s">
        <v>1983</v>
      </c>
      <c r="R1091" s="19">
        <f>VLOOKUP(A1091,[1]Sheet1!$A$2:$Q$1536,15,FALSE)</f>
        <v>8378.052734375</v>
      </c>
      <c r="S1091" s="27">
        <f t="shared" ref="S1091:S1154" si="51">(R1091-$P1091)/R1091</f>
        <v>-1.2678300796607953</v>
      </c>
      <c r="T1091" s="19">
        <f>VLOOKUP(A1091,[1]Sheet1!$A$2:$Q$1536,16,FALSE)</f>
        <v>11917.270482888371</v>
      </c>
      <c r="U1091" s="27">
        <f t="shared" ref="U1091:U1154" si="52">(T1091-$P1091)/T1091</f>
        <v>-0.59432481013848726</v>
      </c>
      <c r="V1091" s="19">
        <f>VLOOKUP(A1091,[1]Sheet1!$A$2:$Q$1536,17,FALSE)</f>
        <v>8214.7275390625</v>
      </c>
      <c r="W1091" s="27">
        <f t="shared" ref="W1091:W1154" si="53">(V1091-$P1091)/V1091</f>
        <v>-1.312919072440516</v>
      </c>
    </row>
    <row r="1092" spans="1:23" x14ac:dyDescent="0.3">
      <c r="A1092" s="4" t="s">
        <v>1066</v>
      </c>
      <c r="B1092" s="5">
        <v>2018</v>
      </c>
      <c r="C1092" s="5" t="s">
        <v>391</v>
      </c>
      <c r="D1092" s="15" t="s">
        <v>1067</v>
      </c>
      <c r="E1092" s="6">
        <v>68178</v>
      </c>
      <c r="F1092" s="5" t="s">
        <v>64</v>
      </c>
      <c r="G1092" s="5" t="s">
        <v>25</v>
      </c>
      <c r="H1092" s="5" t="s">
        <v>18</v>
      </c>
      <c r="I1092" s="5" t="s">
        <v>17</v>
      </c>
      <c r="J1092" s="7">
        <v>45568</v>
      </c>
      <c r="K1092" s="5" t="s">
        <v>17</v>
      </c>
      <c r="L1092" s="8">
        <v>44827</v>
      </c>
      <c r="M1092" s="19">
        <v>128</v>
      </c>
      <c r="N1092" s="19">
        <v>158</v>
      </c>
      <c r="O1092" s="24">
        <v>0</v>
      </c>
      <c r="P1092" s="24">
        <v>3300</v>
      </c>
      <c r="Q1092" t="s">
        <v>1983</v>
      </c>
      <c r="R1092" s="19">
        <f>VLOOKUP(A1092,[1]Sheet1!$A$2:$Q$1536,15,FALSE)</f>
        <v>12280.1318359375</v>
      </c>
      <c r="S1092" s="27">
        <f t="shared" si="51"/>
        <v>0.73127324330976384</v>
      </c>
      <c r="T1092" s="19">
        <f>VLOOKUP(A1092,[1]Sheet1!$A$2:$Q$1536,16,FALSE)</f>
        <v>10058.736274157231</v>
      </c>
      <c r="U1092" s="27">
        <f t="shared" si="52"/>
        <v>0.67192697869231188</v>
      </c>
      <c r="V1092" s="19">
        <f>VLOOKUP(A1092,[1]Sheet1!$A$2:$Q$1536,17,FALSE)</f>
        <v>12452.2919921875</v>
      </c>
      <c r="W1092" s="27">
        <f t="shared" si="53"/>
        <v>0.73498854652056012</v>
      </c>
    </row>
    <row r="1093" spans="1:23" x14ac:dyDescent="0.3">
      <c r="A1093" s="4" t="s">
        <v>1760</v>
      </c>
      <c r="B1093" s="5">
        <v>2021</v>
      </c>
      <c r="C1093" s="5" t="s">
        <v>1086</v>
      </c>
      <c r="D1093" s="15" t="s">
        <v>1758</v>
      </c>
      <c r="E1093" s="6">
        <v>84945</v>
      </c>
      <c r="F1093" s="5" t="s">
        <v>44</v>
      </c>
      <c r="G1093" s="5" t="s">
        <v>28</v>
      </c>
      <c r="H1093" s="5" t="s">
        <v>17</v>
      </c>
      <c r="I1093" s="5" t="s">
        <v>18</v>
      </c>
      <c r="J1093" s="7">
        <v>45645</v>
      </c>
      <c r="K1093" s="5" t="s">
        <v>17</v>
      </c>
      <c r="L1093" s="8">
        <v>44028</v>
      </c>
      <c r="M1093" s="19">
        <v>235</v>
      </c>
      <c r="N1093" s="19">
        <v>285</v>
      </c>
      <c r="O1093" s="24">
        <v>8800</v>
      </c>
      <c r="P1093" s="24">
        <v>13100</v>
      </c>
      <c r="Q1093" t="s">
        <v>1983</v>
      </c>
      <c r="R1093" s="19">
        <f>VLOOKUP(A1093,[1]Sheet1!$A$2:$Q$1536,15,FALSE)</f>
        <v>8599.55078125</v>
      </c>
      <c r="S1093" s="27">
        <f t="shared" si="51"/>
        <v>-0.52333538497877574</v>
      </c>
      <c r="T1093" s="19">
        <f>VLOOKUP(A1093,[1]Sheet1!$A$2:$Q$1536,16,FALSE)</f>
        <v>11525.319353440091</v>
      </c>
      <c r="U1093" s="27">
        <f t="shared" si="52"/>
        <v>-0.13662794047350166</v>
      </c>
      <c r="V1093" s="19">
        <f>VLOOKUP(A1093,[1]Sheet1!$A$2:$Q$1536,17,FALSE)</f>
        <v>8260.650390625</v>
      </c>
      <c r="W1093" s="27">
        <f t="shared" si="53"/>
        <v>-0.58583154842954865</v>
      </c>
    </row>
    <row r="1094" spans="1:23" x14ac:dyDescent="0.3">
      <c r="A1094" s="4" t="s">
        <v>1899</v>
      </c>
      <c r="B1094" s="5">
        <v>2013</v>
      </c>
      <c r="C1094" s="5" t="s">
        <v>1223</v>
      </c>
      <c r="D1094" s="15" t="s">
        <v>1254</v>
      </c>
      <c r="E1094" s="6">
        <v>100145</v>
      </c>
      <c r="F1094" s="5" t="s">
        <v>32</v>
      </c>
      <c r="G1094" s="5" t="s">
        <v>25</v>
      </c>
      <c r="H1094" s="5" t="s">
        <v>17</v>
      </c>
      <c r="I1094" s="5" t="s">
        <v>18</v>
      </c>
      <c r="J1094" s="7">
        <v>45622</v>
      </c>
      <c r="K1094" s="5" t="s">
        <v>17</v>
      </c>
      <c r="L1094" s="8">
        <v>44113</v>
      </c>
      <c r="M1094" s="19">
        <v>264</v>
      </c>
      <c r="N1094" s="19">
        <v>314</v>
      </c>
      <c r="O1094" s="24">
        <v>0</v>
      </c>
      <c r="P1094" s="24">
        <v>5400</v>
      </c>
      <c r="Q1094" t="s">
        <v>1983</v>
      </c>
      <c r="R1094" s="19">
        <f>VLOOKUP(A1094,[1]Sheet1!$A$2:$Q$1536,15,FALSE)</f>
        <v>2678.616943359375</v>
      </c>
      <c r="S1094" s="27">
        <f t="shared" si="51"/>
        <v>-1.0159657443320786</v>
      </c>
      <c r="T1094" s="19">
        <f>VLOOKUP(A1094,[1]Sheet1!$A$2:$Q$1536,16,FALSE)</f>
        <v>9788.7877376007964</v>
      </c>
      <c r="U1094" s="27">
        <f t="shared" si="52"/>
        <v>0.44834844265164092</v>
      </c>
      <c r="V1094" s="19">
        <f>VLOOKUP(A1094,[1]Sheet1!$A$2:$Q$1536,17,FALSE)</f>
        <v>2582.27587890625</v>
      </c>
      <c r="W1094" s="27">
        <f t="shared" si="53"/>
        <v>-1.0911785778238483</v>
      </c>
    </row>
    <row r="1095" spans="1:23" x14ac:dyDescent="0.3">
      <c r="A1095" s="4" t="s">
        <v>948</v>
      </c>
      <c r="B1095" s="5">
        <v>2018</v>
      </c>
      <c r="C1095" s="5" t="s">
        <v>96</v>
      </c>
      <c r="D1095" s="15" t="s">
        <v>107</v>
      </c>
      <c r="E1095" s="6">
        <v>76528</v>
      </c>
      <c r="F1095" s="5" t="s">
        <v>24</v>
      </c>
      <c r="G1095" s="5" t="s">
        <v>33</v>
      </c>
      <c r="H1095" s="5" t="s">
        <v>17</v>
      </c>
      <c r="I1095" s="5" t="s">
        <v>18</v>
      </c>
      <c r="J1095" s="7">
        <v>45342</v>
      </c>
      <c r="K1095" s="5" t="s">
        <v>17</v>
      </c>
      <c r="L1095" s="8">
        <v>44028</v>
      </c>
      <c r="M1095" s="19">
        <v>235</v>
      </c>
      <c r="N1095" s="19">
        <v>285</v>
      </c>
      <c r="O1095" s="24">
        <v>12300</v>
      </c>
      <c r="P1095" s="24">
        <v>14600</v>
      </c>
      <c r="Q1095" t="s">
        <v>1983</v>
      </c>
      <c r="R1095" s="19">
        <f>VLOOKUP(A1095,[1]Sheet1!$A$2:$Q$1536,15,FALSE)</f>
        <v>6928.0849609375</v>
      </c>
      <c r="S1095" s="27">
        <f t="shared" si="51"/>
        <v>-1.1073644567465504</v>
      </c>
      <c r="T1095" s="19">
        <f>VLOOKUP(A1095,[1]Sheet1!$A$2:$Q$1536,16,FALSE)</f>
        <v>9645.6786563337901</v>
      </c>
      <c r="U1095" s="27">
        <f t="shared" si="52"/>
        <v>-0.51363118347437153</v>
      </c>
      <c r="V1095" s="19">
        <f>VLOOKUP(A1095,[1]Sheet1!$A$2:$Q$1536,17,FALSE)</f>
        <v>7014.4296875</v>
      </c>
      <c r="W1095" s="27">
        <f t="shared" si="53"/>
        <v>-1.0814236724074369</v>
      </c>
    </row>
    <row r="1096" spans="1:23" x14ac:dyDescent="0.3">
      <c r="A1096" s="4" t="s">
        <v>569</v>
      </c>
      <c r="B1096" s="5">
        <v>2014</v>
      </c>
      <c r="C1096" s="5" t="s">
        <v>559</v>
      </c>
      <c r="D1096" s="15" t="s">
        <v>560</v>
      </c>
      <c r="E1096" s="6">
        <v>107053</v>
      </c>
      <c r="F1096" s="5" t="s">
        <v>77</v>
      </c>
      <c r="G1096" s="5" t="s">
        <v>33</v>
      </c>
      <c r="H1096" s="5" t="s">
        <v>17</v>
      </c>
      <c r="I1096" s="5" t="s">
        <v>18</v>
      </c>
      <c r="J1096" s="7">
        <v>45664</v>
      </c>
      <c r="K1096" s="5" t="s">
        <v>17</v>
      </c>
      <c r="L1096" s="8">
        <v>43777</v>
      </c>
      <c r="M1096" s="19">
        <v>90</v>
      </c>
      <c r="N1096" s="19">
        <v>120</v>
      </c>
      <c r="O1096" s="24">
        <v>5000</v>
      </c>
      <c r="P1096" s="24">
        <v>5400</v>
      </c>
      <c r="Q1096" t="s">
        <v>1983</v>
      </c>
      <c r="R1096" s="19">
        <f>VLOOKUP(A1096,[1]Sheet1!$A$2:$Q$1536,15,FALSE)</f>
        <v>6783.84619140625</v>
      </c>
      <c r="S1096" s="27">
        <f t="shared" si="51"/>
        <v>0.20399138665014266</v>
      </c>
      <c r="T1096" s="19">
        <f>VLOOKUP(A1096,[1]Sheet1!$A$2:$Q$1536,16,FALSE)</f>
        <v>10095.127449552099</v>
      </c>
      <c r="U1096" s="27">
        <f t="shared" si="52"/>
        <v>0.46508847689292054</v>
      </c>
      <c r="V1096" s="19">
        <f>VLOOKUP(A1096,[1]Sheet1!$A$2:$Q$1536,17,FALSE)</f>
        <v>6756.60546875</v>
      </c>
      <c r="W1096" s="27">
        <f t="shared" si="53"/>
        <v>0.20078210501182003</v>
      </c>
    </row>
    <row r="1097" spans="1:23" x14ac:dyDescent="0.3">
      <c r="A1097" s="4" t="s">
        <v>453</v>
      </c>
      <c r="B1097" s="5">
        <v>2015</v>
      </c>
      <c r="C1097" s="5" t="s">
        <v>391</v>
      </c>
      <c r="D1097" s="15" t="s">
        <v>413</v>
      </c>
      <c r="E1097" s="6">
        <v>99363</v>
      </c>
      <c r="F1097" s="5" t="s">
        <v>36</v>
      </c>
      <c r="G1097" s="5" t="s">
        <v>28</v>
      </c>
      <c r="H1097" s="5" t="s">
        <v>17</v>
      </c>
      <c r="I1097" s="5" t="s">
        <v>18</v>
      </c>
      <c r="J1097" s="7">
        <v>45426</v>
      </c>
      <c r="K1097" s="5" t="s">
        <v>17</v>
      </c>
      <c r="L1097" s="8">
        <v>43950</v>
      </c>
      <c r="M1097" s="19">
        <v>264</v>
      </c>
      <c r="N1097" s="19">
        <v>314</v>
      </c>
      <c r="O1097" s="24">
        <v>4700</v>
      </c>
      <c r="P1097" s="24">
        <v>5400</v>
      </c>
      <c r="Q1097" t="s">
        <v>1983</v>
      </c>
      <c r="R1097" s="19">
        <f>VLOOKUP(A1097,[1]Sheet1!$A$2:$Q$1536,15,FALSE)</f>
        <v>3607.496337890625</v>
      </c>
      <c r="S1097" s="27">
        <f t="shared" si="51"/>
        <v>-0.49688301642393007</v>
      </c>
      <c r="T1097" s="19">
        <f>VLOOKUP(A1097,[1]Sheet1!$A$2:$Q$1536,16,FALSE)</f>
        <v>9465.3625501710667</v>
      </c>
      <c r="U1097" s="27">
        <f t="shared" si="52"/>
        <v>0.42949887324681441</v>
      </c>
      <c r="V1097" s="19">
        <f>VLOOKUP(A1097,[1]Sheet1!$A$2:$Q$1536,17,FALSE)</f>
        <v>3639.544921875</v>
      </c>
      <c r="W1097" s="27">
        <f t="shared" si="53"/>
        <v>-0.48370197810831217</v>
      </c>
    </row>
    <row r="1098" spans="1:23" x14ac:dyDescent="0.3">
      <c r="A1098" s="4" t="s">
        <v>111</v>
      </c>
      <c r="B1098" s="5">
        <v>2016</v>
      </c>
      <c r="C1098" s="5" t="s">
        <v>96</v>
      </c>
      <c r="D1098" s="15" t="s">
        <v>105</v>
      </c>
      <c r="E1098" s="6">
        <v>160037</v>
      </c>
      <c r="F1098" s="5" t="s">
        <v>112</v>
      </c>
      <c r="G1098" s="5" t="s">
        <v>22</v>
      </c>
      <c r="H1098" s="5" t="s">
        <v>18</v>
      </c>
      <c r="I1098" s="5" t="s">
        <v>17</v>
      </c>
      <c r="J1098" s="7">
        <v>45687</v>
      </c>
      <c r="K1098" s="5" t="s">
        <v>17</v>
      </c>
      <c r="L1098" s="8">
        <v>44451</v>
      </c>
      <c r="M1098" s="19">
        <v>264</v>
      </c>
      <c r="N1098" s="19">
        <v>314</v>
      </c>
      <c r="O1098" s="24">
        <v>0</v>
      </c>
      <c r="P1098" s="24">
        <v>2900</v>
      </c>
      <c r="Q1098" t="s">
        <v>1983</v>
      </c>
      <c r="R1098" s="19">
        <f>VLOOKUP(A1098,[1]Sheet1!$A$2:$Q$1536,15,FALSE)</f>
        <v>1937.118408203125</v>
      </c>
      <c r="S1098" s="27">
        <f t="shared" si="51"/>
        <v>-0.49706904220173403</v>
      </c>
      <c r="T1098" s="19">
        <f>VLOOKUP(A1098,[1]Sheet1!$A$2:$Q$1536,16,FALSE)</f>
        <v>9137.3335443210544</v>
      </c>
      <c r="U1098" s="27">
        <f t="shared" si="52"/>
        <v>0.68262075736499961</v>
      </c>
      <c r="V1098" s="19">
        <f>VLOOKUP(A1098,[1]Sheet1!$A$2:$Q$1536,17,FALSE)</f>
        <v>1885.53759765625</v>
      </c>
      <c r="W1098" s="27">
        <f t="shared" si="53"/>
        <v>-0.53802289787524848</v>
      </c>
    </row>
    <row r="1099" spans="1:23" x14ac:dyDescent="0.3">
      <c r="A1099" s="4" t="s">
        <v>1945</v>
      </c>
      <c r="B1099" s="5">
        <v>2015</v>
      </c>
      <c r="C1099" s="5" t="s">
        <v>1805</v>
      </c>
      <c r="D1099" s="15" t="s">
        <v>1944</v>
      </c>
      <c r="E1099" s="6">
        <v>138718</v>
      </c>
      <c r="F1099" s="5" t="s">
        <v>184</v>
      </c>
      <c r="G1099" s="5" t="s">
        <v>28</v>
      </c>
      <c r="H1099" s="5" t="s">
        <v>17</v>
      </c>
      <c r="I1099" s="5" t="s">
        <v>18</v>
      </c>
      <c r="J1099" s="7">
        <v>45356</v>
      </c>
      <c r="K1099" s="5" t="s">
        <v>17</v>
      </c>
      <c r="L1099" s="8">
        <v>43612</v>
      </c>
      <c r="M1099" s="19">
        <v>264</v>
      </c>
      <c r="N1099" s="19">
        <v>314</v>
      </c>
      <c r="O1099" s="24">
        <v>4750</v>
      </c>
      <c r="P1099" s="24">
        <v>7234.6153846153802</v>
      </c>
      <c r="Q1099" t="s">
        <v>1983</v>
      </c>
      <c r="R1099" s="19">
        <f>VLOOKUP(A1099,[1]Sheet1!$A$2:$Q$1536,15,FALSE)</f>
        <v>5911.626953125</v>
      </c>
      <c r="S1099" s="27">
        <f t="shared" si="51"/>
        <v>-0.22379430264810993</v>
      </c>
      <c r="T1099" s="19">
        <f>VLOOKUP(A1099,[1]Sheet1!$A$2:$Q$1536,16,FALSE)</f>
        <v>9807.2362540699432</v>
      </c>
      <c r="U1099" s="27">
        <f t="shared" si="52"/>
        <v>0.26231863929931748</v>
      </c>
      <c r="V1099" s="19">
        <f>VLOOKUP(A1099,[1]Sheet1!$A$2:$Q$1536,17,FALSE)</f>
        <v>6093.31884765625</v>
      </c>
      <c r="W1099" s="27">
        <f t="shared" si="53"/>
        <v>-0.1873029403997333</v>
      </c>
    </row>
    <row r="1100" spans="1:23" x14ac:dyDescent="0.3">
      <c r="A1100" s="4" t="s">
        <v>802</v>
      </c>
      <c r="B1100" s="5">
        <v>2016</v>
      </c>
      <c r="C1100" s="5" t="s">
        <v>519</v>
      </c>
      <c r="D1100" s="15" t="s">
        <v>801</v>
      </c>
      <c r="E1100" s="6">
        <v>110552</v>
      </c>
      <c r="F1100" s="5" t="s">
        <v>66</v>
      </c>
      <c r="G1100" s="5" t="s">
        <v>22</v>
      </c>
      <c r="H1100" s="5" t="s">
        <v>18</v>
      </c>
      <c r="I1100" s="5" t="s">
        <v>17</v>
      </c>
      <c r="J1100" s="7">
        <v>45664</v>
      </c>
      <c r="K1100" s="5" t="s">
        <v>17</v>
      </c>
      <c r="L1100" s="8">
        <v>44128</v>
      </c>
      <c r="M1100" s="19">
        <v>264</v>
      </c>
      <c r="N1100" s="19">
        <v>314</v>
      </c>
      <c r="O1100" s="24">
        <v>3300</v>
      </c>
      <c r="P1100" s="24">
        <v>6000</v>
      </c>
      <c r="Q1100" t="s">
        <v>1983</v>
      </c>
      <c r="R1100" s="19">
        <f>VLOOKUP(A1100,[1]Sheet1!$A$2:$Q$1536,15,FALSE)</f>
        <v>2054.235595703125</v>
      </c>
      <c r="S1100" s="27">
        <f t="shared" si="51"/>
        <v>-1.9207944855742394</v>
      </c>
      <c r="T1100" s="19">
        <f>VLOOKUP(A1100,[1]Sheet1!$A$2:$Q$1536,16,FALSE)</f>
        <v>9018.0375526030493</v>
      </c>
      <c r="U1100" s="27">
        <f t="shared" si="52"/>
        <v>0.33466677589204485</v>
      </c>
      <c r="V1100" s="19">
        <f>VLOOKUP(A1100,[1]Sheet1!$A$2:$Q$1536,17,FALSE)</f>
        <v>1967.080444335938</v>
      </c>
      <c r="W1100" s="27">
        <f t="shared" si="53"/>
        <v>-2.0502057083006209</v>
      </c>
    </row>
    <row r="1101" spans="1:23" x14ac:dyDescent="0.3">
      <c r="A1101" s="4" t="s">
        <v>402</v>
      </c>
      <c r="B1101" s="5">
        <v>2016</v>
      </c>
      <c r="C1101" s="5" t="s">
        <v>391</v>
      </c>
      <c r="D1101" s="15" t="s">
        <v>400</v>
      </c>
      <c r="E1101" s="6">
        <v>92014</v>
      </c>
      <c r="F1101" s="5" t="s">
        <v>87</v>
      </c>
      <c r="G1101" s="5" t="s">
        <v>28</v>
      </c>
      <c r="H1101" s="5" t="s">
        <v>17</v>
      </c>
      <c r="I1101" s="5" t="s">
        <v>18</v>
      </c>
      <c r="J1101" s="7">
        <v>45330</v>
      </c>
      <c r="K1101" s="5" t="s">
        <v>17</v>
      </c>
      <c r="L1101" s="8">
        <v>44113</v>
      </c>
      <c r="M1101" s="19">
        <v>264</v>
      </c>
      <c r="N1101" s="19">
        <v>314</v>
      </c>
      <c r="O1101" s="24">
        <v>6100</v>
      </c>
      <c r="P1101" s="24">
        <v>9200</v>
      </c>
      <c r="Q1101" t="s">
        <v>1983</v>
      </c>
      <c r="R1101" s="19">
        <f>VLOOKUP(A1101,[1]Sheet1!$A$2:$Q$1536,15,FALSE)</f>
        <v>4526.47802734375</v>
      </c>
      <c r="S1101" s="27">
        <f t="shared" si="51"/>
        <v>-1.0324852886558225</v>
      </c>
      <c r="T1101" s="19">
        <f>VLOOKUP(A1101,[1]Sheet1!$A$2:$Q$1536,16,FALSE)</f>
        <v>9487.1419404224926</v>
      </c>
      <c r="U1101" s="27">
        <f t="shared" si="52"/>
        <v>3.0266432422503126E-2</v>
      </c>
      <c r="V1101" s="19">
        <f>VLOOKUP(A1101,[1]Sheet1!$A$2:$Q$1536,17,FALSE)</f>
        <v>4584.306640625</v>
      </c>
      <c r="W1101" s="27">
        <f t="shared" si="53"/>
        <v>-1.0068465574427021</v>
      </c>
    </row>
    <row r="1102" spans="1:23" x14ac:dyDescent="0.3">
      <c r="A1102" s="4" t="s">
        <v>74</v>
      </c>
      <c r="B1102" s="5">
        <v>2015</v>
      </c>
      <c r="C1102" s="5" t="s">
        <v>46</v>
      </c>
      <c r="D1102" s="15">
        <v>200</v>
      </c>
      <c r="E1102" s="6">
        <v>161430</v>
      </c>
      <c r="F1102" s="5" t="s">
        <v>38</v>
      </c>
      <c r="G1102" s="5" t="s">
        <v>25</v>
      </c>
      <c r="H1102" s="5" t="s">
        <v>18</v>
      </c>
      <c r="I1102" s="5" t="s">
        <v>17</v>
      </c>
      <c r="J1102" s="7">
        <v>45692</v>
      </c>
      <c r="K1102" s="5" t="s">
        <v>17</v>
      </c>
      <c r="L1102" s="8">
        <v>43612</v>
      </c>
      <c r="M1102" s="19">
        <v>264</v>
      </c>
      <c r="N1102" s="19">
        <v>314</v>
      </c>
      <c r="O1102" s="24">
        <v>1100</v>
      </c>
      <c r="P1102" s="24">
        <v>8200</v>
      </c>
      <c r="Q1102" t="s">
        <v>1983</v>
      </c>
      <c r="R1102" s="19">
        <f>VLOOKUP(A1102,[1]Sheet1!$A$2:$Q$1536,15,FALSE)</f>
        <v>894.4437255859375</v>
      </c>
      <c r="S1102" s="27">
        <f t="shared" si="51"/>
        <v>-8.1677092313753956</v>
      </c>
      <c r="T1102" s="19">
        <f>VLOOKUP(A1102,[1]Sheet1!$A$2:$Q$1536,16,FALSE)</f>
        <v>8795.4262158676156</v>
      </c>
      <c r="U1102" s="27">
        <f t="shared" si="52"/>
        <v>6.7697255511440887E-2</v>
      </c>
      <c r="V1102" s="19">
        <f>VLOOKUP(A1102,[1]Sheet1!$A$2:$Q$1536,17,FALSE)</f>
        <v>1088.946655273438</v>
      </c>
      <c r="W1102" s="27">
        <f t="shared" si="53"/>
        <v>-6.5302127613780625</v>
      </c>
    </row>
    <row r="1103" spans="1:23" x14ac:dyDescent="0.3">
      <c r="A1103" s="4" t="s">
        <v>1809</v>
      </c>
      <c r="B1103" s="5">
        <v>2019</v>
      </c>
      <c r="C1103" s="5" t="s">
        <v>237</v>
      </c>
      <c r="D1103" s="15" t="s">
        <v>1808</v>
      </c>
      <c r="E1103" s="6">
        <v>81245</v>
      </c>
      <c r="F1103" s="5" t="s">
        <v>47</v>
      </c>
      <c r="G1103" s="5" t="s">
        <v>16</v>
      </c>
      <c r="H1103" s="5" t="s">
        <v>17</v>
      </c>
      <c r="I1103" s="5" t="s">
        <v>18</v>
      </c>
      <c r="J1103" s="7">
        <v>45678</v>
      </c>
      <c r="K1103" s="5" t="s">
        <v>17</v>
      </c>
      <c r="L1103" s="8">
        <v>44067</v>
      </c>
      <c r="M1103" s="19">
        <v>235</v>
      </c>
      <c r="N1103" s="19">
        <v>285</v>
      </c>
      <c r="O1103" s="24">
        <v>8000</v>
      </c>
      <c r="P1103" s="24">
        <v>11400</v>
      </c>
      <c r="Q1103" t="s">
        <v>1983</v>
      </c>
      <c r="R1103" s="19">
        <f>VLOOKUP(A1103,[1]Sheet1!$A$2:$Q$1536,15,FALSE)</f>
        <v>12315.2958984375</v>
      </c>
      <c r="S1103" s="27">
        <f t="shared" si="51"/>
        <v>7.432187630616556E-2</v>
      </c>
      <c r="T1103" s="19">
        <f>VLOOKUP(A1103,[1]Sheet1!$A$2:$Q$1536,16,FALSE)</f>
        <v>10276.57136000233</v>
      </c>
      <c r="U1103" s="27">
        <f t="shared" si="52"/>
        <v>-0.10931940241958435</v>
      </c>
      <c r="V1103" s="19">
        <f>VLOOKUP(A1103,[1]Sheet1!$A$2:$Q$1536,17,FALSE)</f>
        <v>12346.5283203125</v>
      </c>
      <c r="W1103" s="27">
        <f t="shared" si="53"/>
        <v>7.6663519959312962E-2</v>
      </c>
    </row>
    <row r="1104" spans="1:23" x14ac:dyDescent="0.3">
      <c r="A1104" s="4" t="s">
        <v>1747</v>
      </c>
      <c r="B1104" s="5">
        <v>2013</v>
      </c>
      <c r="C1104" s="5" t="s">
        <v>1086</v>
      </c>
      <c r="D1104" s="15" t="s">
        <v>1411</v>
      </c>
      <c r="E1104" s="6">
        <v>135138</v>
      </c>
      <c r="F1104" s="5" t="s">
        <v>24</v>
      </c>
      <c r="G1104" s="5" t="s">
        <v>22</v>
      </c>
      <c r="H1104" s="5" t="s">
        <v>18</v>
      </c>
      <c r="I1104" s="5" t="s">
        <v>17</v>
      </c>
      <c r="J1104" s="7">
        <v>45729</v>
      </c>
      <c r="K1104" s="5" t="s">
        <v>17</v>
      </c>
      <c r="L1104" s="8">
        <v>44052</v>
      </c>
      <c r="M1104" s="19">
        <v>235</v>
      </c>
      <c r="N1104" s="19">
        <v>285</v>
      </c>
      <c r="O1104" s="24">
        <v>0</v>
      </c>
      <c r="P1104" s="24">
        <v>2300</v>
      </c>
      <c r="Q1104" t="s">
        <v>1983</v>
      </c>
      <c r="R1104" s="19">
        <f>VLOOKUP(A1104,[1]Sheet1!$A$2:$Q$1536,15,FALSE)</f>
        <v>435.56857299804688</v>
      </c>
      <c r="S1104" s="27">
        <f t="shared" si="51"/>
        <v>-4.2804544280340293</v>
      </c>
      <c r="T1104" s="19">
        <f>VLOOKUP(A1104,[1]Sheet1!$A$2:$Q$1536,16,FALSE)</f>
        <v>8677.2386864097152</v>
      </c>
      <c r="U1104" s="27">
        <f t="shared" si="52"/>
        <v>0.73493871920311948</v>
      </c>
      <c r="V1104" s="19">
        <f>VLOOKUP(A1104,[1]Sheet1!$A$2:$Q$1536,17,FALSE)</f>
        <v>815.262451171875</v>
      </c>
      <c r="W1104" s="27">
        <f t="shared" si="53"/>
        <v>-1.821177397160795</v>
      </c>
    </row>
    <row r="1105" spans="1:23" x14ac:dyDescent="0.3">
      <c r="A1105" s="4" t="s">
        <v>95</v>
      </c>
      <c r="B1105" s="5">
        <v>2015</v>
      </c>
      <c r="C1105" s="5" t="s">
        <v>96</v>
      </c>
      <c r="D1105" s="15" t="s">
        <v>97</v>
      </c>
      <c r="E1105" s="6">
        <v>115086</v>
      </c>
      <c r="F1105" s="5" t="s">
        <v>47</v>
      </c>
      <c r="G1105" s="5" t="s">
        <v>25</v>
      </c>
      <c r="H1105" s="5" t="s">
        <v>18</v>
      </c>
      <c r="I1105" s="5" t="s">
        <v>17</v>
      </c>
      <c r="J1105" s="7">
        <v>45610</v>
      </c>
      <c r="K1105" s="5" t="s">
        <v>17</v>
      </c>
      <c r="L1105" s="8">
        <v>43608</v>
      </c>
      <c r="M1105" s="19">
        <v>264</v>
      </c>
      <c r="N1105" s="19">
        <v>314</v>
      </c>
      <c r="O1105" s="24">
        <v>0</v>
      </c>
      <c r="P1105" s="24">
        <v>16000</v>
      </c>
      <c r="Q1105" t="s">
        <v>1983</v>
      </c>
      <c r="R1105" s="19">
        <f>VLOOKUP(A1105,[1]Sheet1!$A$2:$Q$1536,15,FALSE)</f>
        <v>6450.56640625</v>
      </c>
      <c r="S1105" s="27">
        <f t="shared" si="51"/>
        <v>-1.4804023386996661</v>
      </c>
      <c r="T1105" s="19">
        <f>VLOOKUP(A1105,[1]Sheet1!$A$2:$Q$1536,16,FALSE)</f>
        <v>10082.3916259665</v>
      </c>
      <c r="U1105" s="27">
        <f t="shared" si="52"/>
        <v>-0.5869250663496457</v>
      </c>
      <c r="V1105" s="19">
        <f>VLOOKUP(A1105,[1]Sheet1!$A$2:$Q$1536,17,FALSE)</f>
        <v>6447.72021484375</v>
      </c>
      <c r="W1105" s="27">
        <f t="shared" si="53"/>
        <v>-1.4814972528065462</v>
      </c>
    </row>
    <row r="1106" spans="1:23" x14ac:dyDescent="0.3">
      <c r="A1106" s="4" t="s">
        <v>790</v>
      </c>
      <c r="B1106" s="5">
        <v>2014</v>
      </c>
      <c r="C1106" s="5" t="s">
        <v>391</v>
      </c>
      <c r="D1106" s="15" t="s">
        <v>429</v>
      </c>
      <c r="E1106" s="6">
        <v>55130</v>
      </c>
      <c r="F1106" s="5" t="s">
        <v>115</v>
      </c>
      <c r="G1106" s="5" t="s">
        <v>16</v>
      </c>
      <c r="H1106" s="5" t="s">
        <v>17</v>
      </c>
      <c r="I1106" s="5" t="s">
        <v>18</v>
      </c>
      <c r="J1106" s="7">
        <v>45300</v>
      </c>
      <c r="K1106" s="5" t="s">
        <v>17</v>
      </c>
      <c r="L1106" s="8">
        <v>44035</v>
      </c>
      <c r="M1106" s="19">
        <v>222</v>
      </c>
      <c r="N1106" s="19">
        <v>272</v>
      </c>
      <c r="O1106" s="24">
        <v>14800</v>
      </c>
      <c r="P1106" s="24">
        <v>17000</v>
      </c>
      <c r="Q1106" t="s">
        <v>1983</v>
      </c>
      <c r="R1106" s="19">
        <f>VLOOKUP(A1106,[1]Sheet1!$A$2:$Q$1536,15,FALSE)</f>
        <v>11776.7587890625</v>
      </c>
      <c r="S1106" s="27">
        <f t="shared" si="51"/>
        <v>-0.44352111684485823</v>
      </c>
      <c r="T1106" s="19">
        <f>VLOOKUP(A1106,[1]Sheet1!$A$2:$Q$1536,16,FALSE)</f>
        <v>12920.344716917451</v>
      </c>
      <c r="U1106" s="27">
        <f t="shared" si="52"/>
        <v>-0.31575436820511377</v>
      </c>
      <c r="V1106" s="19">
        <f>VLOOKUP(A1106,[1]Sheet1!$A$2:$Q$1536,17,FALSE)</f>
        <v>11607.5224609375</v>
      </c>
      <c r="W1106" s="27">
        <f t="shared" si="53"/>
        <v>-0.46456748692149141</v>
      </c>
    </row>
    <row r="1107" spans="1:23" x14ac:dyDescent="0.3">
      <c r="A1107" s="4" t="s">
        <v>967</v>
      </c>
      <c r="B1107" s="5">
        <v>2016</v>
      </c>
      <c r="C1107" s="5" t="s">
        <v>83</v>
      </c>
      <c r="D1107" s="15" t="s">
        <v>965</v>
      </c>
      <c r="E1107" s="6">
        <v>100936</v>
      </c>
      <c r="F1107" s="5" t="s">
        <v>40</v>
      </c>
      <c r="G1107" s="5" t="s">
        <v>28</v>
      </c>
      <c r="H1107" s="5" t="s">
        <v>17</v>
      </c>
      <c r="I1107" s="5" t="s">
        <v>18</v>
      </c>
      <c r="J1107" s="7">
        <v>45552</v>
      </c>
      <c r="K1107" s="5" t="s">
        <v>17</v>
      </c>
      <c r="L1107" s="8">
        <v>43605</v>
      </c>
      <c r="M1107" s="19">
        <v>264</v>
      </c>
      <c r="N1107" s="19">
        <v>314</v>
      </c>
      <c r="O1107" s="24">
        <v>3700</v>
      </c>
      <c r="P1107" s="24">
        <v>8400</v>
      </c>
      <c r="Q1107" t="s">
        <v>1983</v>
      </c>
      <c r="R1107" s="19">
        <f>VLOOKUP(A1107,[1]Sheet1!$A$2:$Q$1536,15,FALSE)</f>
        <v>3762.854736328125</v>
      </c>
      <c r="S1107" s="27">
        <f t="shared" si="51"/>
        <v>-1.232347669152092</v>
      </c>
      <c r="T1107" s="19">
        <f>VLOOKUP(A1107,[1]Sheet1!$A$2:$Q$1536,16,FALSE)</f>
        <v>9007.7699248323133</v>
      </c>
      <c r="U1107" s="27">
        <f t="shared" si="52"/>
        <v>6.7471741607968233E-2</v>
      </c>
      <c r="V1107" s="19">
        <f>VLOOKUP(A1107,[1]Sheet1!$A$2:$Q$1536,17,FALSE)</f>
        <v>3664.77294921875</v>
      </c>
      <c r="W1107" s="27">
        <f t="shared" si="53"/>
        <v>-1.2920928844420492</v>
      </c>
    </row>
    <row r="1108" spans="1:23" x14ac:dyDescent="0.3">
      <c r="A1108" s="4" t="s">
        <v>1750</v>
      </c>
      <c r="B1108" s="5">
        <v>2015</v>
      </c>
      <c r="C1108" s="5" t="s">
        <v>1086</v>
      </c>
      <c r="D1108" s="15" t="s">
        <v>1411</v>
      </c>
      <c r="E1108" s="6">
        <v>183928</v>
      </c>
      <c r="F1108" s="5" t="s">
        <v>79</v>
      </c>
      <c r="G1108" s="5" t="s">
        <v>22</v>
      </c>
      <c r="H1108" s="5" t="s">
        <v>18</v>
      </c>
      <c r="I1108" s="5" t="s">
        <v>17</v>
      </c>
      <c r="J1108" s="7">
        <v>45722</v>
      </c>
      <c r="K1108" s="5" t="s">
        <v>17</v>
      </c>
      <c r="L1108" s="8">
        <v>43612</v>
      </c>
      <c r="M1108" s="19">
        <v>264</v>
      </c>
      <c r="N1108" s="19">
        <v>314</v>
      </c>
      <c r="O1108" s="24">
        <v>1100</v>
      </c>
      <c r="P1108" s="24">
        <v>8000</v>
      </c>
      <c r="Q1108" t="s">
        <v>1983</v>
      </c>
      <c r="R1108" s="19">
        <f>VLOOKUP(A1108,[1]Sheet1!$A$2:$Q$1536,15,FALSE)</f>
        <v>621.27838134765625</v>
      </c>
      <c r="S1108" s="27">
        <f t="shared" si="51"/>
        <v>-11.876675320082228</v>
      </c>
      <c r="T1108" s="19">
        <f>VLOOKUP(A1108,[1]Sheet1!$A$2:$Q$1536,16,FALSE)</f>
        <v>8564.631798039858</v>
      </c>
      <c r="U1108" s="27">
        <f t="shared" si="52"/>
        <v>6.5925986236685899E-2</v>
      </c>
      <c r="V1108" s="19">
        <f>VLOOKUP(A1108,[1]Sheet1!$A$2:$Q$1536,17,FALSE)</f>
        <v>938.1177978515625</v>
      </c>
      <c r="W1108" s="27">
        <f t="shared" si="53"/>
        <v>-7.5277137032484189</v>
      </c>
    </row>
    <row r="1109" spans="1:23" x14ac:dyDescent="0.3">
      <c r="A1109" s="4" t="s">
        <v>1929</v>
      </c>
      <c r="B1109" s="5">
        <v>2013</v>
      </c>
      <c r="C1109" s="5" t="s">
        <v>684</v>
      </c>
      <c r="D1109" s="15" t="s">
        <v>1182</v>
      </c>
      <c r="E1109" s="6">
        <v>94096</v>
      </c>
      <c r="F1109" s="5" t="s">
        <v>47</v>
      </c>
      <c r="G1109" s="5" t="s">
        <v>25</v>
      </c>
      <c r="H1109" s="5" t="s">
        <v>18</v>
      </c>
      <c r="I1109" s="5" t="s">
        <v>17</v>
      </c>
      <c r="J1109" s="7">
        <v>45664</v>
      </c>
      <c r="K1109" s="5" t="s">
        <v>17</v>
      </c>
      <c r="L1109" s="8">
        <v>43935</v>
      </c>
      <c r="M1109" s="19">
        <v>222</v>
      </c>
      <c r="N1109" s="19">
        <v>272</v>
      </c>
      <c r="O1109" s="24">
        <v>2900</v>
      </c>
      <c r="P1109" s="24">
        <v>5900</v>
      </c>
      <c r="Q1109" t="s">
        <v>1983</v>
      </c>
      <c r="R1109" s="19">
        <f>VLOOKUP(A1109,[1]Sheet1!$A$2:$Q$1536,15,FALSE)</f>
        <v>4156.36083984375</v>
      </c>
      <c r="S1109" s="27">
        <f t="shared" si="51"/>
        <v>-0.4195110163298042</v>
      </c>
      <c r="T1109" s="19">
        <f>VLOOKUP(A1109,[1]Sheet1!$A$2:$Q$1536,16,FALSE)</f>
        <v>9829.5335764666215</v>
      </c>
      <c r="U1109" s="27">
        <f t="shared" si="52"/>
        <v>0.39976806080346627</v>
      </c>
      <c r="V1109" s="19">
        <f>VLOOKUP(A1109,[1]Sheet1!$A$2:$Q$1536,17,FALSE)</f>
        <v>4173.43603515625</v>
      </c>
      <c r="W1109" s="27">
        <f t="shared" si="53"/>
        <v>-0.41370322925749808</v>
      </c>
    </row>
    <row r="1110" spans="1:23" x14ac:dyDescent="0.3">
      <c r="A1110" s="4" t="s">
        <v>1471</v>
      </c>
      <c r="B1110" s="5">
        <v>2014</v>
      </c>
      <c r="C1110" s="5" t="s">
        <v>1089</v>
      </c>
      <c r="D1110" s="15" t="s">
        <v>1324</v>
      </c>
      <c r="E1110" s="6">
        <v>113568</v>
      </c>
      <c r="F1110" s="5" t="s">
        <v>42</v>
      </c>
      <c r="G1110" s="5" t="s">
        <v>28</v>
      </c>
      <c r="H1110" s="5" t="s">
        <v>17</v>
      </c>
      <c r="I1110" s="5" t="s">
        <v>18</v>
      </c>
      <c r="J1110" s="7">
        <v>45512</v>
      </c>
      <c r="K1110" s="5" t="s">
        <v>17</v>
      </c>
      <c r="L1110" s="8">
        <v>44128</v>
      </c>
      <c r="M1110" s="19">
        <v>264</v>
      </c>
      <c r="N1110" s="19">
        <v>314</v>
      </c>
      <c r="O1110" s="24">
        <v>0</v>
      </c>
      <c r="P1110" s="24">
        <v>1000</v>
      </c>
      <c r="Q1110" t="s">
        <v>1983</v>
      </c>
      <c r="R1110" s="19">
        <f>VLOOKUP(A1110,[1]Sheet1!$A$2:$Q$1536,15,FALSE)</f>
        <v>1315.25927734375</v>
      </c>
      <c r="S1110" s="27">
        <f t="shared" si="51"/>
        <v>0.23969363514427072</v>
      </c>
      <c r="T1110" s="19">
        <f>VLOOKUP(A1110,[1]Sheet1!$A$2:$Q$1536,16,FALSE)</f>
        <v>8784.3401038952525</v>
      </c>
      <c r="U1110" s="27">
        <f t="shared" si="52"/>
        <v>0.88616105613254104</v>
      </c>
      <c r="V1110" s="19">
        <f>VLOOKUP(A1110,[1]Sheet1!$A$2:$Q$1536,17,FALSE)</f>
        <v>1330.663208007812</v>
      </c>
      <c r="W1110" s="27">
        <f t="shared" si="53"/>
        <v>0.24849504068190242</v>
      </c>
    </row>
    <row r="1111" spans="1:23" x14ac:dyDescent="0.3">
      <c r="A1111" s="4" t="s">
        <v>119</v>
      </c>
      <c r="B1111" s="5">
        <v>2012</v>
      </c>
      <c r="C1111" s="5" t="s">
        <v>96</v>
      </c>
      <c r="D1111" s="15" t="s">
        <v>117</v>
      </c>
      <c r="E1111" s="6">
        <v>141957</v>
      </c>
      <c r="F1111" s="5" t="s">
        <v>79</v>
      </c>
      <c r="G1111" s="5" t="s">
        <v>25</v>
      </c>
      <c r="H1111" s="5" t="s">
        <v>18</v>
      </c>
      <c r="I1111" s="5" t="s">
        <v>17</v>
      </c>
      <c r="J1111" s="7">
        <v>45491</v>
      </c>
      <c r="K1111" s="5" t="s">
        <v>17</v>
      </c>
      <c r="L1111" s="8">
        <v>43935</v>
      </c>
      <c r="M1111" s="19">
        <v>222</v>
      </c>
      <c r="N1111" s="19">
        <v>272</v>
      </c>
      <c r="O1111" s="24">
        <v>0</v>
      </c>
      <c r="P1111" s="24">
        <v>2400</v>
      </c>
      <c r="Q1111" t="s">
        <v>1983</v>
      </c>
      <c r="R1111" s="19">
        <f>VLOOKUP(A1111,[1]Sheet1!$A$2:$Q$1536,15,FALSE)</f>
        <v>1759.522338867188</v>
      </c>
      <c r="S1111" s="27">
        <f t="shared" si="51"/>
        <v>-0.36400655279271021</v>
      </c>
      <c r="T1111" s="19">
        <f>VLOOKUP(A1111,[1]Sheet1!$A$2:$Q$1536,16,FALSE)</f>
        <v>9200.5106415071186</v>
      </c>
      <c r="U1111" s="27">
        <f t="shared" si="52"/>
        <v>0.73914491341679922</v>
      </c>
      <c r="V1111" s="19">
        <f>VLOOKUP(A1111,[1]Sheet1!$A$2:$Q$1536,17,FALSE)</f>
        <v>1717.7763671875</v>
      </c>
      <c r="W1111" s="27">
        <f t="shared" si="53"/>
        <v>-0.39715509297027918</v>
      </c>
    </row>
    <row r="1112" spans="1:23" x14ac:dyDescent="0.3">
      <c r="A1112" s="4" t="s">
        <v>713</v>
      </c>
      <c r="B1112" s="5">
        <v>2011</v>
      </c>
      <c r="C1112" s="5" t="s">
        <v>83</v>
      </c>
      <c r="D1112" s="15" t="s">
        <v>714</v>
      </c>
      <c r="E1112" s="6">
        <v>41365</v>
      </c>
      <c r="F1112" s="5" t="s">
        <v>27</v>
      </c>
      <c r="G1112" s="5" t="s">
        <v>25</v>
      </c>
      <c r="H1112" s="5" t="s">
        <v>18</v>
      </c>
      <c r="I1112" s="5" t="s">
        <v>17</v>
      </c>
      <c r="J1112" s="7">
        <v>45496</v>
      </c>
      <c r="K1112" s="5" t="s">
        <v>17</v>
      </c>
      <c r="L1112" s="8">
        <v>44081</v>
      </c>
      <c r="M1112" s="19">
        <v>325</v>
      </c>
      <c r="N1112" s="19">
        <v>375</v>
      </c>
      <c r="O1112" s="24">
        <v>11100</v>
      </c>
      <c r="P1112" s="24">
        <v>14400</v>
      </c>
      <c r="Q1112" t="s">
        <v>1983</v>
      </c>
      <c r="R1112" s="19">
        <f>VLOOKUP(A1112,[1]Sheet1!$A$2:$Q$1536,15,FALSE)</f>
        <v>7603.7900390625</v>
      </c>
      <c r="S1112" s="27">
        <f t="shared" si="51"/>
        <v>-0.89379242798969105</v>
      </c>
      <c r="T1112" s="19">
        <f>VLOOKUP(A1112,[1]Sheet1!$A$2:$Q$1536,16,FALSE)</f>
        <v>12175.2532136841</v>
      </c>
      <c r="U1112" s="27">
        <f t="shared" si="52"/>
        <v>-0.18272694187710578</v>
      </c>
      <c r="V1112" s="19">
        <f>VLOOKUP(A1112,[1]Sheet1!$A$2:$Q$1536,17,FALSE)</f>
        <v>7962.17724609375</v>
      </c>
      <c r="W1112" s="27">
        <f t="shared" si="53"/>
        <v>-0.80855054527511938</v>
      </c>
    </row>
    <row r="1113" spans="1:23" x14ac:dyDescent="0.3">
      <c r="A1113" s="4" t="s">
        <v>1493</v>
      </c>
      <c r="B1113" s="5">
        <v>2019</v>
      </c>
      <c r="C1113" s="5" t="s">
        <v>1219</v>
      </c>
      <c r="D1113" s="15" t="s">
        <v>1494</v>
      </c>
      <c r="E1113" s="6">
        <v>43204</v>
      </c>
      <c r="F1113" s="5" t="s">
        <v>125</v>
      </c>
      <c r="G1113" s="5" t="s">
        <v>16</v>
      </c>
      <c r="H1113" s="5" t="s">
        <v>17</v>
      </c>
      <c r="I1113" s="5" t="s">
        <v>18</v>
      </c>
      <c r="J1113" s="7">
        <v>45351</v>
      </c>
      <c r="K1113" s="5" t="s">
        <v>17</v>
      </c>
      <c r="L1113" s="8">
        <v>44128</v>
      </c>
      <c r="M1113" s="19">
        <v>264</v>
      </c>
      <c r="N1113" s="19">
        <v>314</v>
      </c>
      <c r="O1113" s="24">
        <v>0</v>
      </c>
      <c r="P1113" s="24">
        <v>13100</v>
      </c>
      <c r="Q1113" t="s">
        <v>1983</v>
      </c>
      <c r="R1113" s="19">
        <f>VLOOKUP(A1113,[1]Sheet1!$A$2:$Q$1536,15,FALSE)</f>
        <v>9761.3232421875</v>
      </c>
      <c r="S1113" s="27">
        <f t="shared" si="51"/>
        <v>-0.34203116472806272</v>
      </c>
      <c r="T1113" s="19">
        <f>VLOOKUP(A1113,[1]Sheet1!$A$2:$Q$1536,16,FALSE)</f>
        <v>12072.90264178251</v>
      </c>
      <c r="U1113" s="27">
        <f t="shared" si="52"/>
        <v>-8.5074599596526176E-2</v>
      </c>
      <c r="V1113" s="19">
        <f>VLOOKUP(A1113,[1]Sheet1!$A$2:$Q$1536,17,FALSE)</f>
        <v>9422.326171875</v>
      </c>
      <c r="W1113" s="27">
        <f t="shared" si="53"/>
        <v>-0.39031485018026707</v>
      </c>
    </row>
    <row r="1114" spans="1:23" x14ac:dyDescent="0.3">
      <c r="A1114" s="4" t="s">
        <v>35</v>
      </c>
      <c r="B1114" s="5">
        <v>2012</v>
      </c>
      <c r="C1114" s="5" t="s">
        <v>30</v>
      </c>
      <c r="D1114" s="15" t="s">
        <v>31</v>
      </c>
      <c r="E1114" s="6">
        <v>104101</v>
      </c>
      <c r="F1114" s="5" t="s">
        <v>36</v>
      </c>
      <c r="G1114" s="5" t="s">
        <v>28</v>
      </c>
      <c r="H1114" s="5" t="s">
        <v>17</v>
      </c>
      <c r="I1114" s="5" t="s">
        <v>18</v>
      </c>
      <c r="J1114" s="7">
        <v>45400</v>
      </c>
      <c r="K1114" s="5" t="s">
        <v>17</v>
      </c>
      <c r="L1114" s="8">
        <v>44203</v>
      </c>
      <c r="M1114" s="19">
        <v>235</v>
      </c>
      <c r="N1114" s="19">
        <v>285</v>
      </c>
      <c r="O1114" s="24">
        <v>6700</v>
      </c>
      <c r="P1114" s="24">
        <v>7400</v>
      </c>
      <c r="Q1114" t="s">
        <v>1983</v>
      </c>
      <c r="R1114" s="19">
        <f>VLOOKUP(A1114,[1]Sheet1!$A$2:$Q$1536,15,FALSE)</f>
        <v>3222.29296875</v>
      </c>
      <c r="S1114" s="27">
        <f t="shared" si="51"/>
        <v>-1.2965013025710777</v>
      </c>
      <c r="T1114" s="19">
        <f>VLOOKUP(A1114,[1]Sheet1!$A$2:$Q$1536,16,FALSE)</f>
        <v>9094.1289786679718</v>
      </c>
      <c r="U1114" s="27">
        <f t="shared" si="52"/>
        <v>0.1862882066706858</v>
      </c>
      <c r="V1114" s="19">
        <f>VLOOKUP(A1114,[1]Sheet1!$A$2:$Q$1536,17,FALSE)</f>
        <v>3070.48291015625</v>
      </c>
      <c r="W1114" s="27">
        <f t="shared" si="53"/>
        <v>-1.410044353454301</v>
      </c>
    </row>
    <row r="1115" spans="1:23" x14ac:dyDescent="0.3">
      <c r="A1115" s="4" t="s">
        <v>763</v>
      </c>
      <c r="B1115" s="5">
        <v>2013</v>
      </c>
      <c r="C1115" s="5" t="s">
        <v>237</v>
      </c>
      <c r="D1115" s="15" t="s">
        <v>764</v>
      </c>
      <c r="E1115" s="6">
        <v>102553</v>
      </c>
      <c r="F1115" s="5" t="s">
        <v>21</v>
      </c>
      <c r="G1115" s="5" t="s">
        <v>25</v>
      </c>
      <c r="H1115" s="5" t="s">
        <v>18</v>
      </c>
      <c r="I1115" s="5" t="s">
        <v>17</v>
      </c>
      <c r="J1115" s="7">
        <v>45538</v>
      </c>
      <c r="K1115" s="5" t="s">
        <v>17</v>
      </c>
      <c r="L1115" s="8">
        <v>44035</v>
      </c>
      <c r="M1115" s="19">
        <v>222</v>
      </c>
      <c r="N1115" s="19">
        <v>272</v>
      </c>
      <c r="O1115" s="24">
        <v>4700</v>
      </c>
      <c r="P1115" s="24">
        <v>7800</v>
      </c>
      <c r="Q1115" t="s">
        <v>1983</v>
      </c>
      <c r="R1115" s="19">
        <f>VLOOKUP(A1115,[1]Sheet1!$A$2:$Q$1536,15,FALSE)</f>
        <v>2384.438232421875</v>
      </c>
      <c r="S1115" s="27">
        <f t="shared" si="51"/>
        <v>-2.271210758970903</v>
      </c>
      <c r="T1115" s="19">
        <f>VLOOKUP(A1115,[1]Sheet1!$A$2:$Q$1536,16,FALSE)</f>
        <v>9191.0031059465873</v>
      </c>
      <c r="U1115" s="27">
        <f t="shared" si="52"/>
        <v>0.15134399258842673</v>
      </c>
      <c r="V1115" s="19">
        <f>VLOOKUP(A1115,[1]Sheet1!$A$2:$Q$1536,17,FALSE)</f>
        <v>2321.60986328125</v>
      </c>
      <c r="W1115" s="27">
        <f t="shared" si="53"/>
        <v>-2.3597376214519787</v>
      </c>
    </row>
    <row r="1116" spans="1:23" x14ac:dyDescent="0.3">
      <c r="A1116" s="4" t="s">
        <v>1081</v>
      </c>
      <c r="B1116" s="5">
        <v>2015</v>
      </c>
      <c r="C1116" s="5" t="s">
        <v>535</v>
      </c>
      <c r="D1116" s="15" t="s">
        <v>1076</v>
      </c>
      <c r="E1116" s="6">
        <v>95036</v>
      </c>
      <c r="F1116" s="5" t="s">
        <v>199</v>
      </c>
      <c r="G1116" s="5" t="s">
        <v>16</v>
      </c>
      <c r="H1116" s="5" t="s">
        <v>17</v>
      </c>
      <c r="I1116" s="5" t="s">
        <v>18</v>
      </c>
      <c r="J1116" s="7">
        <v>45384</v>
      </c>
      <c r="K1116" s="5" t="s">
        <v>17</v>
      </c>
      <c r="L1116" s="8">
        <v>43605</v>
      </c>
      <c r="M1116" s="19">
        <v>264</v>
      </c>
      <c r="N1116" s="19">
        <v>314</v>
      </c>
      <c r="O1116" s="24">
        <v>12750</v>
      </c>
      <c r="P1116" s="24">
        <v>15400</v>
      </c>
      <c r="Q1116" t="s">
        <v>1983</v>
      </c>
      <c r="R1116" s="19">
        <f>VLOOKUP(A1116,[1]Sheet1!$A$2:$Q$1536,15,FALSE)</f>
        <v>8894.1298828125</v>
      </c>
      <c r="S1116" s="27">
        <f t="shared" si="51"/>
        <v>-0.73147909946309608</v>
      </c>
      <c r="T1116" s="19">
        <f>VLOOKUP(A1116,[1]Sheet1!$A$2:$Q$1536,16,FALSE)</f>
        <v>10122.280846600381</v>
      </c>
      <c r="U1116" s="27">
        <f t="shared" si="52"/>
        <v>-0.52139623800026924</v>
      </c>
      <c r="V1116" s="19">
        <f>VLOOKUP(A1116,[1]Sheet1!$A$2:$Q$1536,17,FALSE)</f>
        <v>8827.087890625</v>
      </c>
      <c r="W1116" s="27">
        <f t="shared" si="53"/>
        <v>-0.74462973415682243</v>
      </c>
    </row>
    <row r="1117" spans="1:23" x14ac:dyDescent="0.3">
      <c r="A1117" s="4" t="s">
        <v>1311</v>
      </c>
      <c r="B1117" s="5">
        <v>2019</v>
      </c>
      <c r="C1117" s="5" t="s">
        <v>636</v>
      </c>
      <c r="D1117" s="15" t="s">
        <v>1288</v>
      </c>
      <c r="E1117" s="6">
        <v>80446</v>
      </c>
      <c r="F1117" s="5" t="s">
        <v>15</v>
      </c>
      <c r="G1117" s="5" t="s">
        <v>33</v>
      </c>
      <c r="H1117" s="5" t="s">
        <v>17</v>
      </c>
      <c r="I1117" s="5" t="s">
        <v>18</v>
      </c>
      <c r="J1117" s="7">
        <v>45715</v>
      </c>
      <c r="K1117" s="5" t="s">
        <v>17</v>
      </c>
      <c r="L1117" s="8">
        <v>44128</v>
      </c>
      <c r="M1117" s="19">
        <v>264</v>
      </c>
      <c r="N1117" s="19">
        <v>314</v>
      </c>
      <c r="O1117" s="24">
        <v>0</v>
      </c>
      <c r="P1117" s="24">
        <v>10000</v>
      </c>
      <c r="Q1117" t="s">
        <v>1983</v>
      </c>
      <c r="R1117" s="19">
        <f>VLOOKUP(A1117,[1]Sheet1!$A$2:$Q$1536,15,FALSE)</f>
        <v>8403.7646484375</v>
      </c>
      <c r="S1117" s="27">
        <f t="shared" si="51"/>
        <v>-0.1899428908756132</v>
      </c>
      <c r="T1117" s="19">
        <f>VLOOKUP(A1117,[1]Sheet1!$A$2:$Q$1536,16,FALSE)</f>
        <v>9876.8284862164328</v>
      </c>
      <c r="U1117" s="27">
        <f t="shared" si="52"/>
        <v>-1.247075556242155E-2</v>
      </c>
      <c r="V1117" s="19">
        <f>VLOOKUP(A1117,[1]Sheet1!$A$2:$Q$1536,17,FALSE)</f>
        <v>8405.1689453125</v>
      </c>
      <c r="W1117" s="27">
        <f t="shared" si="53"/>
        <v>-0.18974408070368715</v>
      </c>
    </row>
    <row r="1118" spans="1:23" x14ac:dyDescent="0.3">
      <c r="A1118" s="4" t="s">
        <v>297</v>
      </c>
      <c r="B1118" s="5">
        <v>2013</v>
      </c>
      <c r="C1118" s="5" t="s">
        <v>237</v>
      </c>
      <c r="D1118" s="15" t="s">
        <v>298</v>
      </c>
      <c r="E1118" s="6">
        <v>133793</v>
      </c>
      <c r="F1118" s="5" t="s">
        <v>79</v>
      </c>
      <c r="G1118" s="5" t="s">
        <v>33</v>
      </c>
      <c r="H1118" s="5" t="s">
        <v>17</v>
      </c>
      <c r="I1118" s="5" t="s">
        <v>18</v>
      </c>
      <c r="J1118" s="7">
        <v>45596</v>
      </c>
      <c r="K1118" s="5" t="s">
        <v>17</v>
      </c>
      <c r="L1118" s="8">
        <v>44310</v>
      </c>
      <c r="M1118" s="19">
        <v>235</v>
      </c>
      <c r="N1118" s="19">
        <v>285</v>
      </c>
      <c r="O1118" s="24">
        <v>0</v>
      </c>
      <c r="P1118" s="24">
        <v>1800</v>
      </c>
      <c r="Q1118" t="s">
        <v>1983</v>
      </c>
      <c r="R1118" s="19">
        <f>VLOOKUP(A1118,[1]Sheet1!$A$2:$Q$1536,15,FALSE)</f>
        <v>1905.083984375</v>
      </c>
      <c r="S1118" s="27">
        <f t="shared" si="51"/>
        <v>5.5159764733141069E-2</v>
      </c>
      <c r="T1118" s="19">
        <f>VLOOKUP(A1118,[1]Sheet1!$A$2:$Q$1536,16,FALSE)</f>
        <v>9191.0031059465873</v>
      </c>
      <c r="U1118" s="27">
        <f t="shared" si="52"/>
        <v>0.80415630598194465</v>
      </c>
      <c r="V1118" s="19">
        <f>VLOOKUP(A1118,[1]Sheet1!$A$2:$Q$1536,17,FALSE)</f>
        <v>1785.74853515625</v>
      </c>
      <c r="W1118" s="27">
        <f t="shared" si="53"/>
        <v>-7.9806672457961841E-3</v>
      </c>
    </row>
    <row r="1119" spans="1:23" x14ac:dyDescent="0.3">
      <c r="A1119" s="4" t="s">
        <v>505</v>
      </c>
      <c r="B1119" s="5">
        <v>2021</v>
      </c>
      <c r="C1119" s="5" t="s">
        <v>391</v>
      </c>
      <c r="D1119" s="15" t="s">
        <v>394</v>
      </c>
      <c r="E1119" s="6">
        <v>67081</v>
      </c>
      <c r="F1119" s="5" t="s">
        <v>73</v>
      </c>
      <c r="G1119" s="5" t="s">
        <v>28</v>
      </c>
      <c r="H1119" s="5" t="s">
        <v>17</v>
      </c>
      <c r="I1119" s="5" t="s">
        <v>18</v>
      </c>
      <c r="J1119" s="7">
        <v>45554</v>
      </c>
      <c r="K1119" s="5" t="s">
        <v>17</v>
      </c>
      <c r="L1119" s="8">
        <v>43935</v>
      </c>
      <c r="M1119" s="19">
        <v>222</v>
      </c>
      <c r="N1119" s="19">
        <v>272</v>
      </c>
      <c r="O1119" s="24">
        <v>12500</v>
      </c>
      <c r="P1119" s="24">
        <v>15400</v>
      </c>
      <c r="Q1119" t="s">
        <v>1983</v>
      </c>
      <c r="R1119" s="19">
        <f>VLOOKUP(A1119,[1]Sheet1!$A$2:$Q$1536,15,FALSE)</f>
        <v>6780.97998046875</v>
      </c>
      <c r="S1119" s="27">
        <f t="shared" si="51"/>
        <v>-1.2710581721752026</v>
      </c>
      <c r="T1119" s="19">
        <f>VLOOKUP(A1119,[1]Sheet1!$A$2:$Q$1536,16,FALSE)</f>
        <v>12694.496433276779</v>
      </c>
      <c r="U1119" s="27">
        <f t="shared" si="52"/>
        <v>-0.21312413461562255</v>
      </c>
      <c r="V1119" s="19">
        <f>VLOOKUP(A1119,[1]Sheet1!$A$2:$Q$1536,17,FALSE)</f>
        <v>7009.42431640625</v>
      </c>
      <c r="W1119" s="27">
        <f t="shared" si="53"/>
        <v>-1.1970420543602673</v>
      </c>
    </row>
    <row r="1120" spans="1:23" x14ac:dyDescent="0.3">
      <c r="A1120" s="4" t="s">
        <v>1275</v>
      </c>
      <c r="B1120" s="5">
        <v>2014</v>
      </c>
      <c r="C1120" s="5" t="s">
        <v>13</v>
      </c>
      <c r="D1120" s="15" t="s">
        <v>1276</v>
      </c>
      <c r="E1120" s="6">
        <v>116341</v>
      </c>
      <c r="F1120" s="5" t="s">
        <v>42</v>
      </c>
      <c r="G1120" s="5" t="s">
        <v>33</v>
      </c>
      <c r="H1120" s="5" t="s">
        <v>17</v>
      </c>
      <c r="I1120" s="5" t="s">
        <v>18</v>
      </c>
      <c r="J1120" s="7">
        <v>45720</v>
      </c>
      <c r="K1120" s="5" t="s">
        <v>17</v>
      </c>
      <c r="L1120" s="8">
        <v>44113</v>
      </c>
      <c r="M1120" s="19">
        <v>264</v>
      </c>
      <c r="N1120" s="19">
        <v>314</v>
      </c>
      <c r="O1120" s="24">
        <v>7600</v>
      </c>
      <c r="P1120" s="24">
        <v>10300</v>
      </c>
      <c r="Q1120" t="s">
        <v>1983</v>
      </c>
      <c r="R1120" s="19">
        <f>VLOOKUP(A1120,[1]Sheet1!$A$2:$Q$1536,15,FALSE)</f>
        <v>2636.88720703125</v>
      </c>
      <c r="S1120" s="27">
        <f t="shared" si="51"/>
        <v>-2.9061208126517841</v>
      </c>
      <c r="T1120" s="19">
        <f>VLOOKUP(A1120,[1]Sheet1!$A$2:$Q$1536,16,FALSE)</f>
        <v>9212.3180759935985</v>
      </c>
      <c r="U1120" s="27">
        <f t="shared" si="52"/>
        <v>-0.11806821204326351</v>
      </c>
      <c r="V1120" s="19">
        <f>VLOOKUP(A1120,[1]Sheet1!$A$2:$Q$1536,17,FALSE)</f>
        <v>2505.3798828125</v>
      </c>
      <c r="W1120" s="27">
        <f t="shared" si="53"/>
        <v>-3.1111529914726472</v>
      </c>
    </row>
    <row r="1121" spans="1:23" x14ac:dyDescent="0.3">
      <c r="A1121" s="4" t="s">
        <v>484</v>
      </c>
      <c r="B1121" s="5">
        <v>2016</v>
      </c>
      <c r="C1121" s="5" t="s">
        <v>391</v>
      </c>
      <c r="D1121" s="15" t="s">
        <v>394</v>
      </c>
      <c r="E1121" s="6">
        <v>132171</v>
      </c>
      <c r="F1121" s="5" t="s">
        <v>32</v>
      </c>
      <c r="G1121" s="5" t="s">
        <v>25</v>
      </c>
      <c r="H1121" s="5" t="s">
        <v>18</v>
      </c>
      <c r="I1121" s="5" t="s">
        <v>17</v>
      </c>
      <c r="J1121" s="7">
        <v>45344</v>
      </c>
      <c r="K1121" s="5" t="s">
        <v>17</v>
      </c>
      <c r="L1121" s="8">
        <v>43605</v>
      </c>
      <c r="M1121" s="19">
        <v>264</v>
      </c>
      <c r="N1121" s="19">
        <v>314</v>
      </c>
      <c r="O1121" s="24">
        <v>2000</v>
      </c>
      <c r="P1121" s="24">
        <v>10300</v>
      </c>
      <c r="Q1121" t="s">
        <v>1983</v>
      </c>
      <c r="R1121" s="19">
        <f>VLOOKUP(A1121,[1]Sheet1!$A$2:$Q$1536,15,FALSE)</f>
        <v>1401.960205078125</v>
      </c>
      <c r="S1121" s="27">
        <f t="shared" si="51"/>
        <v>-6.3468561822880174</v>
      </c>
      <c r="T1121" s="19">
        <f>VLOOKUP(A1121,[1]Sheet1!$A$2:$Q$1536,16,FALSE)</f>
        <v>9249.109677289749</v>
      </c>
      <c r="U1121" s="27">
        <f t="shared" si="52"/>
        <v>-0.11362070073518596</v>
      </c>
      <c r="V1121" s="19">
        <f>VLOOKUP(A1121,[1]Sheet1!$A$2:$Q$1536,17,FALSE)</f>
        <v>1414.7646484375</v>
      </c>
      <c r="W1121" s="27">
        <f t="shared" si="53"/>
        <v>-6.2803628584977487</v>
      </c>
    </row>
    <row r="1122" spans="1:23" x14ac:dyDescent="0.3">
      <c r="A1122" s="4" t="s">
        <v>796</v>
      </c>
      <c r="B1122" s="5">
        <v>2016</v>
      </c>
      <c r="C1122" s="5" t="s">
        <v>391</v>
      </c>
      <c r="D1122" s="15" t="s">
        <v>797</v>
      </c>
      <c r="E1122" s="6">
        <v>120068</v>
      </c>
      <c r="F1122" s="5" t="s">
        <v>59</v>
      </c>
      <c r="G1122" s="5" t="s">
        <v>25</v>
      </c>
      <c r="H1122" s="5" t="s">
        <v>18</v>
      </c>
      <c r="I1122" s="5" t="s">
        <v>17</v>
      </c>
      <c r="J1122" s="7">
        <v>45617</v>
      </c>
      <c r="K1122" s="5" t="s">
        <v>17</v>
      </c>
      <c r="L1122" s="8">
        <v>44224</v>
      </c>
      <c r="M1122" s="19">
        <v>235</v>
      </c>
      <c r="N1122" s="19">
        <v>285</v>
      </c>
      <c r="O1122" s="24">
        <v>4200</v>
      </c>
      <c r="P1122" s="24">
        <v>8300</v>
      </c>
      <c r="Q1122" t="s">
        <v>1983</v>
      </c>
      <c r="R1122" s="19">
        <f>VLOOKUP(A1122,[1]Sheet1!$A$2:$Q$1536,15,FALSE)</f>
        <v>8175.12060546875</v>
      </c>
      <c r="S1122" s="27">
        <f t="shared" si="51"/>
        <v>-1.5275541555645294E-2</v>
      </c>
      <c r="T1122" s="19">
        <f>VLOOKUP(A1122,[1]Sheet1!$A$2:$Q$1536,16,FALSE)</f>
        <v>10245.4347183263</v>
      </c>
      <c r="U1122" s="27">
        <f t="shared" si="52"/>
        <v>0.18988308176386556</v>
      </c>
      <c r="V1122" s="19">
        <f>VLOOKUP(A1122,[1]Sheet1!$A$2:$Q$1536,17,FALSE)</f>
        <v>8093.9970703125</v>
      </c>
      <c r="W1122" s="27">
        <f t="shared" si="53"/>
        <v>-2.5451322492206743E-2</v>
      </c>
    </row>
    <row r="1123" spans="1:23" x14ac:dyDescent="0.3">
      <c r="A1123" s="4" t="s">
        <v>139</v>
      </c>
      <c r="B1123" s="5">
        <v>2014</v>
      </c>
      <c r="C1123" s="5" t="s">
        <v>96</v>
      </c>
      <c r="D1123" s="15" t="s">
        <v>140</v>
      </c>
      <c r="E1123" s="6">
        <v>131989</v>
      </c>
      <c r="F1123" s="5" t="s">
        <v>81</v>
      </c>
      <c r="G1123" s="5" t="s">
        <v>25</v>
      </c>
      <c r="H1123" s="5" t="s">
        <v>18</v>
      </c>
      <c r="I1123" s="5" t="s">
        <v>17</v>
      </c>
      <c r="J1123" s="7">
        <v>45316</v>
      </c>
      <c r="K1123" s="5" t="s">
        <v>17</v>
      </c>
      <c r="L1123" s="8">
        <v>43612</v>
      </c>
      <c r="M1123" s="19">
        <v>264</v>
      </c>
      <c r="N1123" s="19">
        <v>314</v>
      </c>
      <c r="O1123" s="24">
        <v>0</v>
      </c>
      <c r="P1123" s="24">
        <v>1400</v>
      </c>
      <c r="Q1123" t="s">
        <v>1983</v>
      </c>
      <c r="R1123" s="19">
        <f>VLOOKUP(A1123,[1]Sheet1!$A$2:$Q$1536,15,FALSE)</f>
        <v>2563.134033203125</v>
      </c>
      <c r="S1123" s="27">
        <f t="shared" si="51"/>
        <v>0.45379368309879881</v>
      </c>
      <c r="T1123" s="19">
        <f>VLOOKUP(A1123,[1]Sheet1!$A$2:$Q$1536,16,FALSE)</f>
        <v>9310.7261594437696</v>
      </c>
      <c r="U1123" s="27">
        <f t="shared" si="52"/>
        <v>0.84963578822689412</v>
      </c>
      <c r="V1123" s="19">
        <f>VLOOKUP(A1123,[1]Sheet1!$A$2:$Q$1536,17,FALSE)</f>
        <v>2382.8828125</v>
      </c>
      <c r="W1123" s="27">
        <f t="shared" si="53"/>
        <v>0.4124763531567921</v>
      </c>
    </row>
    <row r="1124" spans="1:23" x14ac:dyDescent="0.3">
      <c r="A1124" s="4" t="s">
        <v>1216</v>
      </c>
      <c r="B1124" s="5">
        <v>2013</v>
      </c>
      <c r="C1124" s="5" t="s">
        <v>684</v>
      </c>
      <c r="D1124" s="15" t="s">
        <v>1215</v>
      </c>
      <c r="E1124" s="6">
        <v>97321</v>
      </c>
      <c r="F1124" s="5" t="s">
        <v>27</v>
      </c>
      <c r="G1124" s="5" t="s">
        <v>33</v>
      </c>
      <c r="H1124" s="5" t="s">
        <v>17</v>
      </c>
      <c r="I1124" s="5" t="s">
        <v>18</v>
      </c>
      <c r="J1124" s="7">
        <v>45370</v>
      </c>
      <c r="K1124" s="5" t="s">
        <v>17</v>
      </c>
      <c r="L1124" s="8">
        <v>44128</v>
      </c>
      <c r="M1124" s="19">
        <v>264</v>
      </c>
      <c r="N1124" s="19">
        <v>314</v>
      </c>
      <c r="O1124" s="24">
        <v>0</v>
      </c>
      <c r="P1124" s="24">
        <v>3100</v>
      </c>
      <c r="Q1124" t="s">
        <v>1983</v>
      </c>
      <c r="R1124" s="19">
        <f>VLOOKUP(A1124,[1]Sheet1!$A$2:$Q$1536,15,FALSE)</f>
        <v>1789.630249023438</v>
      </c>
      <c r="S1124" s="27">
        <f t="shared" si="51"/>
        <v>-0.73220138723716932</v>
      </c>
      <c r="T1124" s="19">
        <f>VLOOKUP(A1124,[1]Sheet1!$A$2:$Q$1536,16,FALSE)</f>
        <v>8972.6405832776418</v>
      </c>
      <c r="U1124" s="27">
        <f t="shared" si="52"/>
        <v>0.65450527397949199</v>
      </c>
      <c r="V1124" s="19">
        <f>VLOOKUP(A1124,[1]Sheet1!$A$2:$Q$1536,17,FALSE)</f>
        <v>1710.525390625</v>
      </c>
      <c r="W1124" s="27">
        <f t="shared" si="53"/>
        <v>-0.81230867252271954</v>
      </c>
    </row>
    <row r="1125" spans="1:23" x14ac:dyDescent="0.3">
      <c r="A1125" s="4" t="s">
        <v>1635</v>
      </c>
      <c r="B1125" s="5">
        <v>2017</v>
      </c>
      <c r="C1125" s="5" t="s">
        <v>519</v>
      </c>
      <c r="D1125" s="15" t="s">
        <v>1607</v>
      </c>
      <c r="E1125" s="6">
        <v>64438</v>
      </c>
      <c r="F1125" s="5" t="s">
        <v>158</v>
      </c>
      <c r="G1125" s="5" t="s">
        <v>16</v>
      </c>
      <c r="H1125" s="5" t="s">
        <v>17</v>
      </c>
      <c r="I1125" s="5" t="s">
        <v>18</v>
      </c>
      <c r="J1125" s="7">
        <v>45664</v>
      </c>
      <c r="K1125" s="5" t="s">
        <v>17</v>
      </c>
      <c r="L1125" s="8">
        <v>44451</v>
      </c>
      <c r="M1125" s="19">
        <v>264</v>
      </c>
      <c r="N1125" s="19">
        <v>314</v>
      </c>
      <c r="O1125" s="24">
        <v>11250</v>
      </c>
      <c r="P1125" s="24">
        <v>17600</v>
      </c>
      <c r="Q1125" t="s">
        <v>1983</v>
      </c>
      <c r="R1125" s="19">
        <f>VLOOKUP(A1125,[1]Sheet1!$A$2:$Q$1536,15,FALSE)</f>
        <v>11327.560546875</v>
      </c>
      <c r="S1125" s="27">
        <f t="shared" si="51"/>
        <v>-0.55373259115842155</v>
      </c>
      <c r="T1125" s="19">
        <f>VLOOKUP(A1125,[1]Sheet1!$A$2:$Q$1536,16,FALSE)</f>
        <v>11706.384072655501</v>
      </c>
      <c r="U1125" s="27">
        <f t="shared" si="52"/>
        <v>-0.50345314921890982</v>
      </c>
      <c r="V1125" s="19">
        <f>VLOOKUP(A1125,[1]Sheet1!$A$2:$Q$1536,17,FALSE)</f>
        <v>11222.3154296875</v>
      </c>
      <c r="W1125" s="27">
        <f t="shared" si="53"/>
        <v>-0.56830380595442731</v>
      </c>
    </row>
    <row r="1126" spans="1:23" x14ac:dyDescent="0.3">
      <c r="A1126" s="4" t="s">
        <v>99</v>
      </c>
      <c r="B1126" s="5">
        <v>2016</v>
      </c>
      <c r="C1126" s="5" t="s">
        <v>96</v>
      </c>
      <c r="D1126" s="15" t="s">
        <v>100</v>
      </c>
      <c r="E1126" s="6">
        <v>47222</v>
      </c>
      <c r="F1126" s="5" t="s">
        <v>101</v>
      </c>
      <c r="G1126" s="5" t="s">
        <v>16</v>
      </c>
      <c r="H1126" s="5" t="s">
        <v>17</v>
      </c>
      <c r="I1126" s="5" t="s">
        <v>18</v>
      </c>
      <c r="J1126" s="7">
        <v>45692</v>
      </c>
      <c r="K1126" s="5" t="s">
        <v>17</v>
      </c>
      <c r="L1126" s="8">
        <v>44483</v>
      </c>
      <c r="M1126" s="19">
        <v>264</v>
      </c>
      <c r="N1126" s="19">
        <v>314</v>
      </c>
      <c r="O1126" s="24">
        <v>0</v>
      </c>
      <c r="P1126" s="24">
        <v>11700</v>
      </c>
      <c r="Q1126" t="s">
        <v>1983</v>
      </c>
      <c r="R1126" s="19">
        <f>VLOOKUP(A1126,[1]Sheet1!$A$2:$Q$1536,15,FALSE)</f>
        <v>16905.0390625</v>
      </c>
      <c r="S1126" s="27">
        <f t="shared" si="51"/>
        <v>0.30789867111553737</v>
      </c>
      <c r="T1126" s="19">
        <f>VLOOKUP(A1126,[1]Sheet1!$A$2:$Q$1536,16,FALSE)</f>
        <v>12892.65976833085</v>
      </c>
      <c r="U1126" s="27">
        <f t="shared" si="52"/>
        <v>9.2506882967660742E-2</v>
      </c>
      <c r="V1126" s="19">
        <f>VLOOKUP(A1126,[1]Sheet1!$A$2:$Q$1536,17,FALSE)</f>
        <v>16855.900390625</v>
      </c>
      <c r="W1126" s="27">
        <f t="shared" si="53"/>
        <v>0.30588104290724422</v>
      </c>
    </row>
    <row r="1127" spans="1:23" x14ac:dyDescent="0.3">
      <c r="A1127" s="4" t="s">
        <v>233</v>
      </c>
      <c r="B1127" s="5">
        <v>2017</v>
      </c>
      <c r="C1127" s="5" t="s">
        <v>223</v>
      </c>
      <c r="D1127" s="15">
        <v>1500</v>
      </c>
      <c r="E1127" s="6">
        <v>112084</v>
      </c>
      <c r="F1127" s="5" t="s">
        <v>184</v>
      </c>
      <c r="G1127" s="5" t="s">
        <v>16</v>
      </c>
      <c r="H1127" s="5" t="s">
        <v>17</v>
      </c>
      <c r="I1127" s="5" t="s">
        <v>18</v>
      </c>
      <c r="J1127" s="7">
        <v>45678</v>
      </c>
      <c r="K1127" s="5" t="s">
        <v>17</v>
      </c>
      <c r="L1127" s="8">
        <v>43608</v>
      </c>
      <c r="M1127" s="19">
        <v>264</v>
      </c>
      <c r="N1127" s="19">
        <v>314</v>
      </c>
      <c r="O1127" s="24">
        <v>14800</v>
      </c>
      <c r="P1127" s="24">
        <v>18900</v>
      </c>
      <c r="Q1127" t="s">
        <v>1983</v>
      </c>
      <c r="R1127" s="19">
        <f>VLOOKUP(A1127,[1]Sheet1!$A$2:$Q$1536,15,FALSE)</f>
        <v>11922.21484375</v>
      </c>
      <c r="S1127" s="27">
        <f t="shared" si="51"/>
        <v>-0.58527591120436606</v>
      </c>
      <c r="T1127" s="19">
        <f>VLOOKUP(A1127,[1]Sheet1!$A$2:$Q$1536,16,FALSE)</f>
        <v>11296.47759721</v>
      </c>
      <c r="U1127" s="27">
        <f t="shared" si="52"/>
        <v>-0.67308790172503996</v>
      </c>
      <c r="V1127" s="19">
        <f>VLOOKUP(A1127,[1]Sheet1!$A$2:$Q$1536,17,FALSE)</f>
        <v>11654.806640625</v>
      </c>
      <c r="W1127" s="27">
        <f t="shared" si="53"/>
        <v>-0.62164852517763169</v>
      </c>
    </row>
    <row r="1128" spans="1:23" x14ac:dyDescent="0.3">
      <c r="A1128" s="4" t="s">
        <v>735</v>
      </c>
      <c r="B1128" s="5">
        <v>2022</v>
      </c>
      <c r="C1128" s="5" t="s">
        <v>83</v>
      </c>
      <c r="D1128" s="15" t="s">
        <v>714</v>
      </c>
      <c r="E1128" s="6">
        <v>26405</v>
      </c>
      <c r="F1128" s="5" t="s">
        <v>64</v>
      </c>
      <c r="G1128" s="5" t="s">
        <v>28</v>
      </c>
      <c r="H1128" s="5" t="s">
        <v>17</v>
      </c>
      <c r="I1128" s="5" t="s">
        <v>18</v>
      </c>
      <c r="J1128" s="7">
        <v>45496</v>
      </c>
      <c r="K1128" s="5" t="s">
        <v>17</v>
      </c>
      <c r="L1128" s="8">
        <v>44483</v>
      </c>
      <c r="M1128" s="19">
        <v>264</v>
      </c>
      <c r="N1128" s="19">
        <v>314</v>
      </c>
      <c r="O1128" s="24">
        <v>22700</v>
      </c>
      <c r="P1128" s="24">
        <v>24200</v>
      </c>
      <c r="Q1128" t="s">
        <v>1983</v>
      </c>
      <c r="R1128" s="19">
        <f>VLOOKUP(A1128,[1]Sheet1!$A$2:$Q$1536,15,FALSE)</f>
        <v>21932.787109375</v>
      </c>
      <c r="S1128" s="27">
        <f t="shared" si="51"/>
        <v>-0.10337094320565841</v>
      </c>
      <c r="T1128" s="19">
        <f>VLOOKUP(A1128,[1]Sheet1!$A$2:$Q$1536,16,FALSE)</f>
        <v>15887.490895102061</v>
      </c>
      <c r="U1128" s="27">
        <f t="shared" si="52"/>
        <v>-0.52321094374068811</v>
      </c>
      <c r="V1128" s="19">
        <f>VLOOKUP(A1128,[1]Sheet1!$A$2:$Q$1536,17,FALSE)</f>
        <v>21554.8671875</v>
      </c>
      <c r="W1128" s="27">
        <f t="shared" si="53"/>
        <v>-0.12271626586657668</v>
      </c>
    </row>
    <row r="1129" spans="1:23" x14ac:dyDescent="0.3">
      <c r="A1129" s="4" t="s">
        <v>558</v>
      </c>
      <c r="B1129" s="5">
        <v>2017</v>
      </c>
      <c r="C1129" s="5" t="s">
        <v>559</v>
      </c>
      <c r="D1129" s="15" t="s">
        <v>560</v>
      </c>
      <c r="E1129" s="6">
        <v>128840</v>
      </c>
      <c r="F1129" s="5" t="s">
        <v>251</v>
      </c>
      <c r="G1129" s="5" t="s">
        <v>22</v>
      </c>
      <c r="H1129" s="5" t="s">
        <v>18</v>
      </c>
      <c r="I1129" s="5" t="s">
        <v>17</v>
      </c>
      <c r="J1129" s="7">
        <v>45468</v>
      </c>
      <c r="K1129" s="5" t="s">
        <v>17</v>
      </c>
      <c r="L1129" s="8">
        <v>44310</v>
      </c>
      <c r="M1129" s="19">
        <v>235</v>
      </c>
      <c r="N1129" s="19">
        <v>285</v>
      </c>
      <c r="O1129" s="24">
        <v>2000</v>
      </c>
      <c r="P1129" s="24">
        <v>2100</v>
      </c>
      <c r="Q1129" t="s">
        <v>1983</v>
      </c>
      <c r="R1129" s="19">
        <f>VLOOKUP(A1129,[1]Sheet1!$A$2:$Q$1536,15,FALSE)</f>
        <v>4908.4287109375</v>
      </c>
      <c r="S1129" s="27">
        <f t="shared" si="51"/>
        <v>0.57216451054478001</v>
      </c>
      <c r="T1129" s="19">
        <f>VLOOKUP(A1129,[1]Sheet1!$A$2:$Q$1536,16,FALSE)</f>
        <v>10030.361662812291</v>
      </c>
      <c r="U1129" s="27">
        <f t="shared" si="52"/>
        <v>0.79063566493461745</v>
      </c>
      <c r="V1129" s="19">
        <f>VLOOKUP(A1129,[1]Sheet1!$A$2:$Q$1536,17,FALSE)</f>
        <v>4749.298828125</v>
      </c>
      <c r="W1129" s="27">
        <f t="shared" si="53"/>
        <v>0.55782946578051618</v>
      </c>
    </row>
    <row r="1130" spans="1:23" x14ac:dyDescent="0.3">
      <c r="A1130" s="4" t="s">
        <v>570</v>
      </c>
      <c r="B1130" s="5">
        <v>2015</v>
      </c>
      <c r="C1130" s="5" t="s">
        <v>571</v>
      </c>
      <c r="D1130" s="15" t="s">
        <v>572</v>
      </c>
      <c r="E1130" s="6">
        <v>172088</v>
      </c>
      <c r="F1130" s="5" t="s">
        <v>15</v>
      </c>
      <c r="G1130" s="5" t="s">
        <v>25</v>
      </c>
      <c r="H1130" s="5" t="s">
        <v>18</v>
      </c>
      <c r="I1130" s="5" t="s">
        <v>17</v>
      </c>
      <c r="J1130" s="7">
        <v>45547</v>
      </c>
      <c r="K1130" s="5" t="s">
        <v>17</v>
      </c>
      <c r="L1130" s="8">
        <v>43612</v>
      </c>
      <c r="M1130" s="19">
        <v>264</v>
      </c>
      <c r="N1130" s="19">
        <v>314</v>
      </c>
      <c r="O1130" s="24"/>
      <c r="P1130" s="24">
        <v>6500</v>
      </c>
      <c r="R1130" s="19">
        <f>VLOOKUP(A1130,[1]Sheet1!$A$2:$Q$1536,15,FALSE)</f>
        <v>5082.5615234375</v>
      </c>
      <c r="S1130" s="27">
        <f t="shared" si="51"/>
        <v>-0.27888269921105463</v>
      </c>
      <c r="T1130" s="19">
        <f>VLOOKUP(A1130,[1]Sheet1!$A$2:$Q$1536,16,FALSE)</f>
        <v>10046.769993077591</v>
      </c>
      <c r="U1130" s="27">
        <f t="shared" si="52"/>
        <v>0.35302589742985857</v>
      </c>
      <c r="V1130" s="19">
        <f>VLOOKUP(A1130,[1]Sheet1!$A$2:$Q$1536,17,FALSE)</f>
        <v>4907.38232421875</v>
      </c>
      <c r="W1130" s="27">
        <f t="shared" si="53"/>
        <v>-0.3245350719713474</v>
      </c>
    </row>
    <row r="1131" spans="1:23" x14ac:dyDescent="0.3">
      <c r="A1131" s="4" t="s">
        <v>485</v>
      </c>
      <c r="B1131" s="5">
        <v>2017</v>
      </c>
      <c r="C1131" s="5" t="s">
        <v>391</v>
      </c>
      <c r="D1131" s="15" t="s">
        <v>394</v>
      </c>
      <c r="E1131" s="6">
        <v>71121</v>
      </c>
      <c r="F1131" s="5" t="s">
        <v>42</v>
      </c>
      <c r="G1131" s="5" t="s">
        <v>28</v>
      </c>
      <c r="H1131" s="5" t="s">
        <v>17</v>
      </c>
      <c r="I1131" s="5" t="s">
        <v>18</v>
      </c>
      <c r="J1131" s="7">
        <v>45666</v>
      </c>
      <c r="K1131" s="5" t="s">
        <v>17</v>
      </c>
      <c r="L1131" s="8">
        <v>44067</v>
      </c>
      <c r="M1131" s="19">
        <v>235</v>
      </c>
      <c r="N1131" s="19">
        <v>285</v>
      </c>
      <c r="O1131" s="24">
        <v>7600</v>
      </c>
      <c r="P1131" s="24">
        <v>9500</v>
      </c>
      <c r="Q1131" t="s">
        <v>1983</v>
      </c>
      <c r="R1131" s="19">
        <f>VLOOKUP(A1131,[1]Sheet1!$A$2:$Q$1536,15,FALSE)</f>
        <v>5193.23388671875</v>
      </c>
      <c r="S1131" s="27">
        <f t="shared" si="51"/>
        <v>-0.82930332182716338</v>
      </c>
      <c r="T1131" s="19">
        <f>VLOOKUP(A1131,[1]Sheet1!$A$2:$Q$1536,16,FALSE)</f>
        <v>9645.9686113349744</v>
      </c>
      <c r="U1131" s="27">
        <f t="shared" si="52"/>
        <v>1.5132602770803831E-2</v>
      </c>
      <c r="V1131" s="19">
        <f>VLOOKUP(A1131,[1]Sheet1!$A$2:$Q$1536,17,FALSE)</f>
        <v>5196.47265625</v>
      </c>
      <c r="W1131" s="27">
        <f t="shared" si="53"/>
        <v>-0.82816318461215799</v>
      </c>
    </row>
    <row r="1132" spans="1:23" x14ac:dyDescent="0.3">
      <c r="A1132" s="4" t="s">
        <v>577</v>
      </c>
      <c r="B1132" s="5">
        <v>2015</v>
      </c>
      <c r="C1132" s="5" t="s">
        <v>559</v>
      </c>
      <c r="D1132" s="15" t="s">
        <v>578</v>
      </c>
      <c r="E1132" s="6">
        <v>118714</v>
      </c>
      <c r="F1132" s="5" t="s">
        <v>199</v>
      </c>
      <c r="G1132" s="5" t="s">
        <v>25</v>
      </c>
      <c r="H1132" s="5" t="s">
        <v>18</v>
      </c>
      <c r="I1132" s="5" t="s">
        <v>17</v>
      </c>
      <c r="J1132" s="7">
        <v>45678</v>
      </c>
      <c r="K1132" s="5" t="s">
        <v>17</v>
      </c>
      <c r="L1132" s="8">
        <v>44113</v>
      </c>
      <c r="M1132" s="19">
        <v>264</v>
      </c>
      <c r="N1132" s="19">
        <v>314</v>
      </c>
      <c r="O1132" s="24">
        <v>0</v>
      </c>
      <c r="P1132" s="24">
        <v>22500</v>
      </c>
      <c r="Q1132" t="s">
        <v>1983</v>
      </c>
      <c r="R1132" s="19">
        <f>VLOOKUP(A1132,[1]Sheet1!$A$2:$Q$1536,15,FALSE)</f>
        <v>11890.44921875</v>
      </c>
      <c r="S1132" s="27">
        <f t="shared" si="51"/>
        <v>-0.89227501720623337</v>
      </c>
      <c r="T1132" s="19">
        <f>VLOOKUP(A1132,[1]Sheet1!$A$2:$Q$1536,16,FALSE)</f>
        <v>11016.63669798696</v>
      </c>
      <c r="U1132" s="27">
        <f t="shared" si="52"/>
        <v>-1.0423656163692285</v>
      </c>
      <c r="V1132" s="19">
        <f>VLOOKUP(A1132,[1]Sheet1!$A$2:$Q$1536,17,FALSE)</f>
        <v>11724.0654296875</v>
      </c>
      <c r="W1132" s="27">
        <f t="shared" si="53"/>
        <v>-0.91912951483756156</v>
      </c>
    </row>
    <row r="1133" spans="1:23" x14ac:dyDescent="0.3">
      <c r="A1133" s="4" t="s">
        <v>1099</v>
      </c>
      <c r="B1133" s="5">
        <v>2020</v>
      </c>
      <c r="C1133" s="5" t="s">
        <v>1086</v>
      </c>
      <c r="D1133" s="15" t="s">
        <v>1093</v>
      </c>
      <c r="E1133" s="6">
        <v>42502</v>
      </c>
      <c r="F1133" s="5" t="s">
        <v>158</v>
      </c>
      <c r="G1133" s="5" t="s">
        <v>16</v>
      </c>
      <c r="H1133" s="5" t="s">
        <v>17</v>
      </c>
      <c r="I1133" s="5" t="s">
        <v>18</v>
      </c>
      <c r="J1133" s="7">
        <v>45365</v>
      </c>
      <c r="K1133" s="5" t="s">
        <v>17</v>
      </c>
      <c r="L1133" s="8">
        <v>43612</v>
      </c>
      <c r="M1133" s="19">
        <v>264</v>
      </c>
      <c r="N1133" s="19">
        <v>314</v>
      </c>
      <c r="O1133" s="24">
        <v>12600</v>
      </c>
      <c r="P1133" s="24">
        <v>16200</v>
      </c>
      <c r="Q1133" t="s">
        <v>1983</v>
      </c>
      <c r="R1133" s="19">
        <f>VLOOKUP(A1133,[1]Sheet1!$A$2:$Q$1536,15,FALSE)</f>
        <v>13765.8203125</v>
      </c>
      <c r="S1133" s="27">
        <f t="shared" si="51"/>
        <v>-0.17682779756246364</v>
      </c>
      <c r="T1133" s="19">
        <f>VLOOKUP(A1133,[1]Sheet1!$A$2:$Q$1536,16,FALSE)</f>
        <v>13139.07401066989</v>
      </c>
      <c r="U1133" s="27">
        <f t="shared" si="52"/>
        <v>-0.23296360054326609</v>
      </c>
      <c r="V1133" s="19">
        <f>VLOOKUP(A1133,[1]Sheet1!$A$2:$Q$1536,17,FALSE)</f>
        <v>13797.9951171875</v>
      </c>
      <c r="W1133" s="27">
        <f t="shared" si="53"/>
        <v>-0.1740836159465253</v>
      </c>
    </row>
    <row r="1134" spans="1:23" x14ac:dyDescent="0.3">
      <c r="A1134" s="4" t="s">
        <v>1542</v>
      </c>
      <c r="B1134" s="5">
        <v>2016</v>
      </c>
      <c r="C1134" s="5" t="s">
        <v>1139</v>
      </c>
      <c r="D1134" s="15" t="s">
        <v>1540</v>
      </c>
      <c r="E1134" s="6">
        <v>107682</v>
      </c>
      <c r="F1134" s="5" t="s">
        <v>112</v>
      </c>
      <c r="G1134" s="5" t="s">
        <v>134</v>
      </c>
      <c r="H1134" s="5" t="s">
        <v>18</v>
      </c>
      <c r="I1134" s="5" t="s">
        <v>17</v>
      </c>
      <c r="J1134" s="7">
        <v>45426</v>
      </c>
      <c r="K1134" s="5" t="s">
        <v>17</v>
      </c>
      <c r="L1134" s="8">
        <v>44146</v>
      </c>
      <c r="M1134" s="19">
        <v>235</v>
      </c>
      <c r="N1134" s="19">
        <v>285</v>
      </c>
      <c r="O1134" s="24">
        <v>3100</v>
      </c>
      <c r="P1134" s="24">
        <v>12100</v>
      </c>
      <c r="Q1134" t="s">
        <v>1983</v>
      </c>
      <c r="R1134" s="19">
        <f>VLOOKUP(A1134,[1]Sheet1!$A$2:$Q$1536,15,FALSE)</f>
        <v>3111.943115234375</v>
      </c>
      <c r="S1134" s="27">
        <f t="shared" si="51"/>
        <v>-2.8882458810911436</v>
      </c>
      <c r="T1134" s="19">
        <f>VLOOKUP(A1134,[1]Sheet1!$A$2:$Q$1536,16,FALSE)</f>
        <v>9024.5663691299505</v>
      </c>
      <c r="U1134" s="27">
        <f t="shared" si="52"/>
        <v>-0.34078464328104319</v>
      </c>
      <c r="V1134" s="19">
        <f>VLOOKUP(A1134,[1]Sheet1!$A$2:$Q$1536,17,FALSE)</f>
        <v>2948.25927734375</v>
      </c>
      <c r="W1134" s="27">
        <f t="shared" si="53"/>
        <v>-3.1041166538451663</v>
      </c>
    </row>
    <row r="1135" spans="1:23" x14ac:dyDescent="0.3">
      <c r="A1135" s="4" t="s">
        <v>1670</v>
      </c>
      <c r="B1135" s="5">
        <v>2020</v>
      </c>
      <c r="C1135" s="5" t="s">
        <v>1089</v>
      </c>
      <c r="D1135" s="15" t="s">
        <v>1659</v>
      </c>
      <c r="E1135" s="6">
        <v>76907</v>
      </c>
      <c r="F1135" s="5" t="s">
        <v>24</v>
      </c>
      <c r="G1135" s="5" t="s">
        <v>28</v>
      </c>
      <c r="H1135" s="5" t="s">
        <v>17</v>
      </c>
      <c r="I1135" s="5" t="s">
        <v>18</v>
      </c>
      <c r="J1135" s="7">
        <v>45538</v>
      </c>
      <c r="K1135" s="5" t="s">
        <v>17</v>
      </c>
      <c r="L1135" s="8">
        <v>44113</v>
      </c>
      <c r="M1135" s="19">
        <v>264</v>
      </c>
      <c r="N1135" s="19">
        <v>314</v>
      </c>
      <c r="O1135" s="24">
        <v>12100</v>
      </c>
      <c r="P1135" s="24">
        <v>19600</v>
      </c>
      <c r="Q1135" t="s">
        <v>1983</v>
      </c>
      <c r="R1135" s="19">
        <f>VLOOKUP(A1135,[1]Sheet1!$A$2:$Q$1536,15,FALSE)</f>
        <v>5718.00439453125</v>
      </c>
      <c r="S1135" s="27">
        <f t="shared" si="51"/>
        <v>-2.4277693138441121</v>
      </c>
      <c r="T1135" s="19">
        <f>VLOOKUP(A1135,[1]Sheet1!$A$2:$Q$1536,16,FALSE)</f>
        <v>10318.69754292481</v>
      </c>
      <c r="U1135" s="27">
        <f t="shared" si="52"/>
        <v>-0.89946453207547217</v>
      </c>
      <c r="V1135" s="19">
        <f>VLOOKUP(A1135,[1]Sheet1!$A$2:$Q$1536,17,FALSE)</f>
        <v>5300.666015625</v>
      </c>
      <c r="W1135" s="27">
        <f t="shared" si="53"/>
        <v>-2.6976485487341102</v>
      </c>
    </row>
    <row r="1136" spans="1:23" x14ac:dyDescent="0.3">
      <c r="A1136" s="4" t="s">
        <v>561</v>
      </c>
      <c r="B1136" s="5">
        <v>2018</v>
      </c>
      <c r="C1136" s="5" t="s">
        <v>559</v>
      </c>
      <c r="D1136" s="15" t="s">
        <v>562</v>
      </c>
      <c r="E1136" s="6">
        <v>89973</v>
      </c>
      <c r="F1136" s="5" t="s">
        <v>27</v>
      </c>
      <c r="G1136" s="5" t="s">
        <v>28</v>
      </c>
      <c r="H1136" s="5" t="s">
        <v>17</v>
      </c>
      <c r="I1136" s="5" t="s">
        <v>18</v>
      </c>
      <c r="J1136" s="7">
        <v>45645</v>
      </c>
      <c r="K1136" s="5" t="s">
        <v>17</v>
      </c>
      <c r="L1136" s="8">
        <v>44133</v>
      </c>
      <c r="M1136" s="19">
        <v>222</v>
      </c>
      <c r="N1136" s="19">
        <v>272</v>
      </c>
      <c r="O1136" s="24">
        <v>0</v>
      </c>
      <c r="P1136" s="24">
        <v>19800</v>
      </c>
      <c r="Q1136" t="s">
        <v>1983</v>
      </c>
      <c r="R1136" s="19">
        <f>VLOOKUP(A1136,[1]Sheet1!$A$2:$Q$1536,15,FALSE)</f>
        <v>9871.140625</v>
      </c>
      <c r="S1136" s="27">
        <f t="shared" si="51"/>
        <v>-1.0058472219364214</v>
      </c>
      <c r="T1136" s="19">
        <f>VLOOKUP(A1136,[1]Sheet1!$A$2:$Q$1536,16,FALSE)</f>
        <v>10325.14990428716</v>
      </c>
      <c r="U1136" s="27">
        <f t="shared" si="52"/>
        <v>-0.91764770328213219</v>
      </c>
      <c r="V1136" s="19">
        <f>VLOOKUP(A1136,[1]Sheet1!$A$2:$Q$1536,17,FALSE)</f>
        <v>9867.189453125</v>
      </c>
      <c r="W1136" s="27">
        <f t="shared" si="53"/>
        <v>-1.0066504341547042</v>
      </c>
    </row>
    <row r="1137" spans="1:23" x14ac:dyDescent="0.3">
      <c r="A1137" s="4" t="s">
        <v>1465</v>
      </c>
      <c r="B1137" s="5">
        <v>2017</v>
      </c>
      <c r="C1137" s="5" t="s">
        <v>1089</v>
      </c>
      <c r="D1137" s="15" t="s">
        <v>1324</v>
      </c>
      <c r="E1137" s="6">
        <v>72430</v>
      </c>
      <c r="F1137" s="5" t="s">
        <v>73</v>
      </c>
      <c r="G1137" s="5" t="s">
        <v>33</v>
      </c>
      <c r="H1137" s="5" t="s">
        <v>17</v>
      </c>
      <c r="I1137" s="5" t="s">
        <v>18</v>
      </c>
      <c r="J1137" s="7">
        <v>45610</v>
      </c>
      <c r="K1137" s="5" t="s">
        <v>17</v>
      </c>
      <c r="L1137" s="8">
        <v>44028</v>
      </c>
      <c r="M1137" s="19">
        <v>235</v>
      </c>
      <c r="N1137" s="19">
        <v>285</v>
      </c>
      <c r="O1137" s="24">
        <v>0</v>
      </c>
      <c r="P1137" s="24">
        <v>3300</v>
      </c>
      <c r="Q1137" t="s">
        <v>1983</v>
      </c>
      <c r="R1137" s="19">
        <f>VLOOKUP(A1137,[1]Sheet1!$A$2:$Q$1536,15,FALSE)</f>
        <v>3861.574951171875</v>
      </c>
      <c r="S1137" s="27">
        <f t="shared" si="51"/>
        <v>0.14542640199213366</v>
      </c>
      <c r="T1137" s="19">
        <f>VLOOKUP(A1137,[1]Sheet1!$A$2:$Q$1536,16,FALSE)</f>
        <v>9070.3180113996386</v>
      </c>
      <c r="U1137" s="27">
        <f t="shared" si="52"/>
        <v>0.63617593166496067</v>
      </c>
      <c r="V1137" s="19">
        <f>VLOOKUP(A1137,[1]Sheet1!$A$2:$Q$1536,17,FALSE)</f>
        <v>3803.46435546875</v>
      </c>
      <c r="W1137" s="27">
        <f t="shared" si="53"/>
        <v>0.13236994182549702</v>
      </c>
    </row>
    <row r="1138" spans="1:23" x14ac:dyDescent="0.3">
      <c r="A1138" s="4" t="s">
        <v>1741</v>
      </c>
      <c r="B1138" s="5">
        <v>2015</v>
      </c>
      <c r="C1138" s="5" t="s">
        <v>1086</v>
      </c>
      <c r="D1138" s="15" t="s">
        <v>1093</v>
      </c>
      <c r="E1138" s="6">
        <v>88419</v>
      </c>
      <c r="F1138" s="5" t="s">
        <v>57</v>
      </c>
      <c r="G1138" s="5" t="s">
        <v>25</v>
      </c>
      <c r="H1138" s="5" t="s">
        <v>18</v>
      </c>
      <c r="I1138" s="5" t="s">
        <v>17</v>
      </c>
      <c r="J1138" s="7">
        <v>45510</v>
      </c>
      <c r="K1138" s="5" t="s">
        <v>17</v>
      </c>
      <c r="L1138" s="8">
        <v>44113</v>
      </c>
      <c r="M1138" s="19">
        <v>264</v>
      </c>
      <c r="N1138" s="19">
        <v>314</v>
      </c>
      <c r="O1138" s="24">
        <v>3750</v>
      </c>
      <c r="P1138" s="24">
        <v>5900</v>
      </c>
      <c r="Q1138" t="s">
        <v>1983</v>
      </c>
      <c r="R1138" s="19">
        <f>VLOOKUP(A1138,[1]Sheet1!$A$2:$Q$1536,15,FALSE)</f>
        <v>2447.84130859375</v>
      </c>
      <c r="S1138" s="27">
        <f t="shared" si="51"/>
        <v>-1.4102869656160293</v>
      </c>
      <c r="T1138" s="19">
        <f>VLOOKUP(A1138,[1]Sheet1!$A$2:$Q$1536,16,FALSE)</f>
        <v>8789.9425081290647</v>
      </c>
      <c r="U1138" s="27">
        <f t="shared" si="52"/>
        <v>0.32877831742999508</v>
      </c>
      <c r="V1138" s="19">
        <f>VLOOKUP(A1138,[1]Sheet1!$A$2:$Q$1536,17,FALSE)</f>
        <v>2319.4345703125</v>
      </c>
      <c r="W1138" s="27">
        <f t="shared" si="53"/>
        <v>-1.5437234037626189</v>
      </c>
    </row>
    <row r="1139" spans="1:23" x14ac:dyDescent="0.3">
      <c r="A1139" s="4" t="s">
        <v>1743</v>
      </c>
      <c r="B1139" s="5">
        <v>2015</v>
      </c>
      <c r="C1139" s="5" t="s">
        <v>1086</v>
      </c>
      <c r="D1139" s="15" t="s">
        <v>1411</v>
      </c>
      <c r="E1139" s="6">
        <v>127276</v>
      </c>
      <c r="F1139" s="5" t="s">
        <v>112</v>
      </c>
      <c r="G1139" s="5" t="s">
        <v>22</v>
      </c>
      <c r="H1139" s="5" t="s">
        <v>18</v>
      </c>
      <c r="I1139" s="5" t="s">
        <v>17</v>
      </c>
      <c r="J1139" s="7">
        <v>45407</v>
      </c>
      <c r="K1139" s="5" t="s">
        <v>17</v>
      </c>
      <c r="L1139" s="8">
        <v>43725</v>
      </c>
      <c r="M1139" s="19">
        <v>222</v>
      </c>
      <c r="N1139" s="19">
        <v>272</v>
      </c>
      <c r="O1139" s="24">
        <v>1000</v>
      </c>
      <c r="P1139" s="24">
        <v>2100</v>
      </c>
      <c r="Q1139" t="s">
        <v>1983</v>
      </c>
      <c r="R1139" s="19">
        <f>VLOOKUP(A1139,[1]Sheet1!$A$2:$Q$1536,15,FALSE)</f>
        <v>1553.954467773438</v>
      </c>
      <c r="S1139" s="27">
        <f t="shared" si="51"/>
        <v>-0.35139094712920116</v>
      </c>
      <c r="T1139" s="19">
        <f>VLOOKUP(A1139,[1]Sheet1!$A$2:$Q$1536,16,FALSE)</f>
        <v>8556.8909724002478</v>
      </c>
      <c r="U1139" s="27">
        <f t="shared" si="52"/>
        <v>0.75458376099760682</v>
      </c>
      <c r="V1139" s="19">
        <f>VLOOKUP(A1139,[1]Sheet1!$A$2:$Q$1536,17,FALSE)</f>
        <v>1549.440307617188</v>
      </c>
      <c r="W1139" s="27">
        <f t="shared" si="53"/>
        <v>-0.35532810762454742</v>
      </c>
    </row>
    <row r="1140" spans="1:23" x14ac:dyDescent="0.3">
      <c r="A1140" s="4" t="s">
        <v>1112</v>
      </c>
      <c r="B1140" s="5">
        <v>2018</v>
      </c>
      <c r="C1140" s="5" t="s">
        <v>1086</v>
      </c>
      <c r="D1140" s="15" t="s">
        <v>1093</v>
      </c>
      <c r="E1140" s="6">
        <v>88831</v>
      </c>
      <c r="F1140" s="5" t="s">
        <v>170</v>
      </c>
      <c r="G1140" s="5" t="s">
        <v>25</v>
      </c>
      <c r="H1140" s="5" t="s">
        <v>18</v>
      </c>
      <c r="I1140" s="5" t="s">
        <v>17</v>
      </c>
      <c r="J1140" s="7">
        <v>45323</v>
      </c>
      <c r="K1140" s="5" t="s">
        <v>17</v>
      </c>
      <c r="L1140" s="8">
        <v>44310</v>
      </c>
      <c r="M1140" s="19">
        <v>235</v>
      </c>
      <c r="N1140" s="19">
        <v>285</v>
      </c>
      <c r="O1140" s="24">
        <v>4000</v>
      </c>
      <c r="P1140" s="24">
        <v>8100</v>
      </c>
      <c r="Q1140" t="s">
        <v>1983</v>
      </c>
      <c r="R1140" s="19">
        <f>VLOOKUP(A1140,[1]Sheet1!$A$2:$Q$1536,15,FALSE)</f>
        <v>9139.2470703125</v>
      </c>
      <c r="S1140" s="27">
        <f t="shared" si="51"/>
        <v>0.11371254790652736</v>
      </c>
      <c r="T1140" s="19">
        <f>VLOOKUP(A1140,[1]Sheet1!$A$2:$Q$1536,16,FALSE)</f>
        <v>9039.4547763377905</v>
      </c>
      <c r="U1140" s="27">
        <f t="shared" si="52"/>
        <v>0.10392825669054317</v>
      </c>
      <c r="V1140" s="19">
        <f>VLOOKUP(A1140,[1]Sheet1!$A$2:$Q$1536,17,FALSE)</f>
        <v>9013.9208984375</v>
      </c>
      <c r="W1140" s="27">
        <f t="shared" si="53"/>
        <v>0.101389939931237</v>
      </c>
    </row>
    <row r="1141" spans="1:23" x14ac:dyDescent="0.3">
      <c r="A1141" s="4" t="s">
        <v>1075</v>
      </c>
      <c r="B1141" s="5">
        <v>2012</v>
      </c>
      <c r="C1141" s="5" t="s">
        <v>535</v>
      </c>
      <c r="D1141" s="15" t="s">
        <v>1076</v>
      </c>
      <c r="E1141" s="6">
        <v>76930</v>
      </c>
      <c r="F1141" s="5" t="s">
        <v>87</v>
      </c>
      <c r="G1141" s="5" t="s">
        <v>25</v>
      </c>
      <c r="H1141" s="5" t="s">
        <v>18</v>
      </c>
      <c r="I1141" s="5" t="s">
        <v>17</v>
      </c>
      <c r="J1141" s="7">
        <v>45412</v>
      </c>
      <c r="K1141" s="5" t="s">
        <v>17</v>
      </c>
      <c r="L1141" s="8">
        <v>44054</v>
      </c>
      <c r="M1141" s="19">
        <v>235</v>
      </c>
      <c r="N1141" s="19">
        <v>285</v>
      </c>
      <c r="O1141" s="24">
        <v>3000</v>
      </c>
      <c r="P1141" s="24">
        <v>5600</v>
      </c>
      <c r="Q1141" t="s">
        <v>1983</v>
      </c>
      <c r="R1141" s="19">
        <f>VLOOKUP(A1141,[1]Sheet1!$A$2:$Q$1536,15,FALSE)</f>
        <v>3723.520751953125</v>
      </c>
      <c r="S1141" s="27">
        <f t="shared" si="51"/>
        <v>-0.50395294482046105</v>
      </c>
      <c r="T1141" s="19">
        <f>VLOOKUP(A1141,[1]Sheet1!$A$2:$Q$1536,16,FALSE)</f>
        <v>9184.2621245018727</v>
      </c>
      <c r="U1141" s="27">
        <f t="shared" si="52"/>
        <v>0.39026130525387986</v>
      </c>
      <c r="V1141" s="19">
        <f>VLOOKUP(A1141,[1]Sheet1!$A$2:$Q$1536,17,FALSE)</f>
        <v>3588.97705078125</v>
      </c>
      <c r="W1141" s="27">
        <f t="shared" si="53"/>
        <v>-0.56033318707930713</v>
      </c>
    </row>
    <row r="1142" spans="1:23" x14ac:dyDescent="0.3">
      <c r="A1142" s="4" t="s">
        <v>669</v>
      </c>
      <c r="B1142" s="5">
        <v>2013</v>
      </c>
      <c r="C1142" s="5" t="s">
        <v>636</v>
      </c>
      <c r="D1142" s="15" t="s">
        <v>670</v>
      </c>
      <c r="E1142" s="6">
        <v>50905</v>
      </c>
      <c r="F1142" s="5" t="s">
        <v>92</v>
      </c>
      <c r="G1142" s="5" t="s">
        <v>28</v>
      </c>
      <c r="H1142" s="5" t="s">
        <v>17</v>
      </c>
      <c r="I1142" s="5" t="s">
        <v>18</v>
      </c>
      <c r="J1142" s="7">
        <v>45412</v>
      </c>
      <c r="K1142" s="5" t="s">
        <v>17</v>
      </c>
      <c r="L1142" s="8">
        <v>44483</v>
      </c>
      <c r="M1142" s="19">
        <v>264</v>
      </c>
      <c r="N1142" s="19">
        <v>314</v>
      </c>
      <c r="O1142" s="24">
        <v>2000</v>
      </c>
      <c r="P1142" s="24">
        <v>3614.2857142857101</v>
      </c>
      <c r="Q1142" t="s">
        <v>1983</v>
      </c>
      <c r="R1142" s="19">
        <f>VLOOKUP(A1142,[1]Sheet1!$A$2:$Q$1536,15,FALSE)</f>
        <v>5474.76806640625</v>
      </c>
      <c r="S1142" s="27">
        <f t="shared" si="51"/>
        <v>0.33982852415916109</v>
      </c>
      <c r="T1142" s="19">
        <f>VLOOKUP(A1142,[1]Sheet1!$A$2:$Q$1536,16,FALSE)</f>
        <v>11246.645599194781</v>
      </c>
      <c r="U1142" s="27">
        <f t="shared" si="52"/>
        <v>0.67863433746463209</v>
      </c>
      <c r="V1142" s="19">
        <f>VLOOKUP(A1142,[1]Sheet1!$A$2:$Q$1536,17,FALSE)</f>
        <v>5126.93896484375</v>
      </c>
      <c r="W1142" s="27">
        <f t="shared" si="53"/>
        <v>0.29504022983900297</v>
      </c>
    </row>
    <row r="1143" spans="1:23" x14ac:dyDescent="0.3">
      <c r="A1143" s="4" t="s">
        <v>283</v>
      </c>
      <c r="B1143" s="5">
        <v>2012</v>
      </c>
      <c r="C1143" s="5" t="s">
        <v>237</v>
      </c>
      <c r="D1143" s="15" t="s">
        <v>250</v>
      </c>
      <c r="E1143" s="6">
        <v>123559</v>
      </c>
      <c r="F1143" s="5" t="s">
        <v>61</v>
      </c>
      <c r="G1143" s="5" t="s">
        <v>22</v>
      </c>
      <c r="H1143" s="5" t="s">
        <v>18</v>
      </c>
      <c r="I1143" s="5" t="s">
        <v>17</v>
      </c>
      <c r="J1143" s="7">
        <v>45566</v>
      </c>
      <c r="K1143" s="5" t="s">
        <v>17</v>
      </c>
      <c r="L1143" s="8">
        <v>44128</v>
      </c>
      <c r="M1143" s="19">
        <v>264</v>
      </c>
      <c r="N1143" s="19">
        <v>314</v>
      </c>
      <c r="O1143" s="24">
        <v>700</v>
      </c>
      <c r="P1143" s="24">
        <v>2500</v>
      </c>
      <c r="Q1143" t="s">
        <v>1983</v>
      </c>
      <c r="R1143" s="19">
        <f>VLOOKUP(A1143,[1]Sheet1!$A$2:$Q$1536,15,FALSE)</f>
        <v>1726.888305664062</v>
      </c>
      <c r="S1143" s="27">
        <f t="shared" si="51"/>
        <v>-0.44769061890117068</v>
      </c>
      <c r="T1143" s="19">
        <f>VLOOKUP(A1143,[1]Sheet1!$A$2:$Q$1536,16,FALSE)</f>
        <v>9083.3643891211414</v>
      </c>
      <c r="U1143" s="27">
        <f t="shared" si="52"/>
        <v>0.72477158320388746</v>
      </c>
      <c r="V1143" s="19">
        <f>VLOOKUP(A1143,[1]Sheet1!$A$2:$Q$1536,17,FALSE)</f>
        <v>1672.987060546875</v>
      </c>
      <c r="W1143" s="27">
        <f t="shared" si="53"/>
        <v>-0.49433313559686859</v>
      </c>
    </row>
    <row r="1144" spans="1:23" x14ac:dyDescent="0.3">
      <c r="A1144" s="4" t="s">
        <v>1440</v>
      </c>
      <c r="B1144" s="5">
        <v>2015</v>
      </c>
      <c r="C1144" s="5" t="s">
        <v>1086</v>
      </c>
      <c r="D1144" s="15" t="s">
        <v>1439</v>
      </c>
      <c r="E1144" s="6">
        <v>121315</v>
      </c>
      <c r="F1144" s="5" t="s">
        <v>44</v>
      </c>
      <c r="G1144" s="5" t="s">
        <v>28</v>
      </c>
      <c r="H1144" s="5" t="s">
        <v>17</v>
      </c>
      <c r="I1144" s="5" t="s">
        <v>18</v>
      </c>
      <c r="J1144" s="7">
        <v>45678</v>
      </c>
      <c r="K1144" s="5" t="s">
        <v>17</v>
      </c>
      <c r="L1144" s="8">
        <v>44310</v>
      </c>
      <c r="M1144" s="19">
        <v>235</v>
      </c>
      <c r="N1144" s="19">
        <v>285</v>
      </c>
      <c r="O1144" s="24">
        <v>4650</v>
      </c>
      <c r="P1144" s="24">
        <v>10500</v>
      </c>
      <c r="Q1144" t="s">
        <v>1983</v>
      </c>
      <c r="R1144" s="19">
        <f>VLOOKUP(A1144,[1]Sheet1!$A$2:$Q$1536,15,FALSE)</f>
        <v>3397.196533203125</v>
      </c>
      <c r="S1144" s="27">
        <f t="shared" si="51"/>
        <v>-2.090783796985638</v>
      </c>
      <c r="T1144" s="19">
        <f>VLOOKUP(A1144,[1]Sheet1!$A$2:$Q$1536,16,FALSE)</f>
        <v>8703.7689765873565</v>
      </c>
      <c r="U1144" s="27">
        <f t="shared" si="52"/>
        <v>-0.20637393159726583</v>
      </c>
      <c r="V1144" s="19">
        <f>VLOOKUP(A1144,[1]Sheet1!$A$2:$Q$1536,17,FALSE)</f>
        <v>3296.892578125</v>
      </c>
      <c r="W1144" s="27">
        <f t="shared" si="53"/>
        <v>-2.1848171425626286</v>
      </c>
    </row>
    <row r="1145" spans="1:23" x14ac:dyDescent="0.3">
      <c r="A1145" s="4" t="s">
        <v>1192</v>
      </c>
      <c r="B1145" s="5">
        <v>2013</v>
      </c>
      <c r="C1145" s="5" t="s">
        <v>684</v>
      </c>
      <c r="D1145" s="15" t="s">
        <v>1193</v>
      </c>
      <c r="E1145" s="6">
        <v>122124</v>
      </c>
      <c r="F1145" s="5" t="s">
        <v>73</v>
      </c>
      <c r="G1145" s="5" t="s">
        <v>25</v>
      </c>
      <c r="H1145" s="5" t="s">
        <v>18</v>
      </c>
      <c r="I1145" s="5" t="s">
        <v>17</v>
      </c>
      <c r="J1145" s="7">
        <v>45645</v>
      </c>
      <c r="K1145" s="5" t="s">
        <v>17</v>
      </c>
      <c r="L1145" s="8">
        <v>44035</v>
      </c>
      <c r="M1145" s="19">
        <v>222</v>
      </c>
      <c r="N1145" s="19">
        <v>272</v>
      </c>
      <c r="O1145" s="24">
        <v>0</v>
      </c>
      <c r="P1145" s="24">
        <v>11510.593220339</v>
      </c>
      <c r="Q1145" t="s">
        <v>1983</v>
      </c>
      <c r="R1145" s="19">
        <f>VLOOKUP(A1145,[1]Sheet1!$A$2:$Q$1536,15,FALSE)</f>
        <v>678.754150390625</v>
      </c>
      <c r="S1145" s="27">
        <f t="shared" si="51"/>
        <v>-15.958413018490745</v>
      </c>
      <c r="T1145" s="19">
        <f>VLOOKUP(A1145,[1]Sheet1!$A$2:$Q$1536,16,FALSE)</f>
        <v>8806.3075667443536</v>
      </c>
      <c r="U1145" s="27">
        <f t="shared" si="52"/>
        <v>-0.30708507885949377</v>
      </c>
      <c r="V1145" s="19">
        <f>VLOOKUP(A1145,[1]Sheet1!$A$2:$Q$1536,17,FALSE)</f>
        <v>932.59674072265625</v>
      </c>
      <c r="W1145" s="27">
        <f t="shared" si="53"/>
        <v>-11.342519245155845</v>
      </c>
    </row>
    <row r="1146" spans="1:23" x14ac:dyDescent="0.3">
      <c r="A1146" s="4" t="s">
        <v>1355</v>
      </c>
      <c r="B1146" s="5">
        <v>2016</v>
      </c>
      <c r="C1146" s="5" t="s">
        <v>1089</v>
      </c>
      <c r="D1146" s="15" t="s">
        <v>1328</v>
      </c>
      <c r="E1146" s="6">
        <v>138690</v>
      </c>
      <c r="F1146" s="5" t="s">
        <v>81</v>
      </c>
      <c r="G1146" s="5" t="s">
        <v>28</v>
      </c>
      <c r="H1146" s="5" t="s">
        <v>17</v>
      </c>
      <c r="I1146" s="5" t="s">
        <v>18</v>
      </c>
      <c r="J1146" s="7">
        <v>45608</v>
      </c>
      <c r="K1146" s="5" t="s">
        <v>17</v>
      </c>
      <c r="L1146" s="8">
        <v>43608</v>
      </c>
      <c r="M1146" s="19">
        <v>264</v>
      </c>
      <c r="N1146" s="19">
        <v>314</v>
      </c>
      <c r="O1146" s="24">
        <v>3200</v>
      </c>
      <c r="P1146" s="24">
        <v>8000</v>
      </c>
      <c r="Q1146" t="s">
        <v>1983</v>
      </c>
      <c r="R1146" s="19">
        <f>VLOOKUP(A1146,[1]Sheet1!$A$2:$Q$1536,15,FALSE)</f>
        <v>1242.38427734375</v>
      </c>
      <c r="S1146" s="27">
        <f t="shared" si="51"/>
        <v>-5.4392315211073088</v>
      </c>
      <c r="T1146" s="19">
        <f>VLOOKUP(A1146,[1]Sheet1!$A$2:$Q$1536,16,FALSE)</f>
        <v>8700.89387422443</v>
      </c>
      <c r="U1146" s="27">
        <f t="shared" si="52"/>
        <v>8.055423780087255E-2</v>
      </c>
      <c r="V1146" s="19">
        <f>VLOOKUP(A1146,[1]Sheet1!$A$2:$Q$1536,17,FALSE)</f>
        <v>1330.663208007812</v>
      </c>
      <c r="W1146" s="27">
        <f t="shared" si="53"/>
        <v>-5.0120396745447806</v>
      </c>
    </row>
    <row r="1147" spans="1:23" x14ac:dyDescent="0.3">
      <c r="A1147" s="4" t="s">
        <v>440</v>
      </c>
      <c r="B1147" s="5">
        <v>2018</v>
      </c>
      <c r="C1147" s="5" t="s">
        <v>391</v>
      </c>
      <c r="D1147" s="15" t="s">
        <v>432</v>
      </c>
      <c r="E1147" s="6">
        <v>59378</v>
      </c>
      <c r="F1147" s="5" t="s">
        <v>112</v>
      </c>
      <c r="G1147" s="5" t="s">
        <v>22</v>
      </c>
      <c r="H1147" s="5" t="s">
        <v>18</v>
      </c>
      <c r="I1147" s="5" t="s">
        <v>17</v>
      </c>
      <c r="J1147" s="7">
        <v>45594</v>
      </c>
      <c r="K1147" s="5" t="s">
        <v>17</v>
      </c>
      <c r="L1147" s="8">
        <v>44128</v>
      </c>
      <c r="M1147" s="19">
        <v>264</v>
      </c>
      <c r="N1147" s="19">
        <v>314</v>
      </c>
      <c r="O1147" s="24">
        <v>1700</v>
      </c>
      <c r="P1147" s="24">
        <v>12000</v>
      </c>
      <c r="Q1147" t="s">
        <v>1983</v>
      </c>
      <c r="R1147" s="19">
        <f>VLOOKUP(A1147,[1]Sheet1!$A$2:$Q$1536,15,FALSE)</f>
        <v>6383.50732421875</v>
      </c>
      <c r="S1147" s="27">
        <f t="shared" si="51"/>
        <v>-0.87984432233241439</v>
      </c>
      <c r="T1147" s="19">
        <f>VLOOKUP(A1147,[1]Sheet1!$A$2:$Q$1536,16,FALSE)</f>
        <v>11126.53810011747</v>
      </c>
      <c r="U1147" s="27">
        <f t="shared" si="52"/>
        <v>-7.8502575735871355E-2</v>
      </c>
      <c r="V1147" s="19">
        <f>VLOOKUP(A1147,[1]Sheet1!$A$2:$Q$1536,17,FALSE)</f>
        <v>6052.29443359375</v>
      </c>
      <c r="W1147" s="27">
        <f t="shared" si="53"/>
        <v>-0.98271913762044172</v>
      </c>
    </row>
    <row r="1148" spans="1:23" x14ac:dyDescent="0.3">
      <c r="A1148" s="4" t="s">
        <v>896</v>
      </c>
      <c r="B1148" s="5">
        <v>2017</v>
      </c>
      <c r="C1148" s="5" t="s">
        <v>391</v>
      </c>
      <c r="D1148" s="15" t="s">
        <v>590</v>
      </c>
      <c r="E1148" s="6">
        <v>85601</v>
      </c>
      <c r="F1148" s="5" t="s">
        <v>77</v>
      </c>
      <c r="G1148" s="5" t="s">
        <v>28</v>
      </c>
      <c r="H1148" s="5" t="s">
        <v>17</v>
      </c>
      <c r="I1148" s="5" t="s">
        <v>18</v>
      </c>
      <c r="J1148" s="7">
        <v>45498</v>
      </c>
      <c r="K1148" s="5" t="s">
        <v>17</v>
      </c>
      <c r="L1148" s="8">
        <v>44067</v>
      </c>
      <c r="M1148" s="19">
        <v>235</v>
      </c>
      <c r="N1148" s="19">
        <v>285</v>
      </c>
      <c r="O1148" s="24">
        <v>0</v>
      </c>
      <c r="P1148" s="24">
        <v>12500</v>
      </c>
      <c r="Q1148" t="s">
        <v>1983</v>
      </c>
      <c r="R1148" s="19">
        <f>VLOOKUP(A1148,[1]Sheet1!$A$2:$Q$1536,15,FALSE)</f>
        <v>10485.6357421875</v>
      </c>
      <c r="S1148" s="27">
        <f t="shared" si="51"/>
        <v>-0.19210702215298067</v>
      </c>
      <c r="T1148" s="19">
        <f>VLOOKUP(A1148,[1]Sheet1!$A$2:$Q$1536,16,FALSE)</f>
        <v>9612.0597244306355</v>
      </c>
      <c r="U1148" s="27">
        <f t="shared" si="52"/>
        <v>-0.30044968075148221</v>
      </c>
      <c r="V1148" s="19">
        <f>VLOOKUP(A1148,[1]Sheet1!$A$2:$Q$1536,17,FALSE)</f>
        <v>10751.208984375</v>
      </c>
      <c r="W1148" s="27">
        <f t="shared" si="53"/>
        <v>-0.16265994067890985</v>
      </c>
    </row>
    <row r="1149" spans="1:23" x14ac:dyDescent="0.3">
      <c r="A1149" s="4" t="s">
        <v>1834</v>
      </c>
      <c r="B1149" s="5">
        <v>2017</v>
      </c>
      <c r="C1149" s="5" t="s">
        <v>1177</v>
      </c>
      <c r="D1149" s="15" t="s">
        <v>1835</v>
      </c>
      <c r="E1149" s="6">
        <v>106113</v>
      </c>
      <c r="F1149" s="5" t="s">
        <v>77</v>
      </c>
      <c r="G1149" s="5" t="s">
        <v>25</v>
      </c>
      <c r="H1149" s="5" t="s">
        <v>18</v>
      </c>
      <c r="I1149" s="5" t="s">
        <v>17</v>
      </c>
      <c r="J1149" s="7">
        <v>45622</v>
      </c>
      <c r="K1149" s="5" t="s">
        <v>17</v>
      </c>
      <c r="L1149" s="8">
        <v>44128</v>
      </c>
      <c r="M1149" s="19">
        <v>264</v>
      </c>
      <c r="N1149" s="19">
        <v>314</v>
      </c>
      <c r="O1149" s="24">
        <v>4300</v>
      </c>
      <c r="P1149" s="24">
        <v>12300</v>
      </c>
      <c r="Q1149" t="s">
        <v>1983</v>
      </c>
      <c r="R1149" s="19">
        <f>VLOOKUP(A1149,[1]Sheet1!$A$2:$Q$1536,15,FALSE)</f>
        <v>8556.265625</v>
      </c>
      <c r="S1149" s="27">
        <f t="shared" si="51"/>
        <v>-0.43754302859198579</v>
      </c>
      <c r="T1149" s="19">
        <f>VLOOKUP(A1149,[1]Sheet1!$A$2:$Q$1536,16,FALSE)</f>
        <v>9120.4780028878831</v>
      </c>
      <c r="U1149" s="27">
        <f t="shared" si="52"/>
        <v>-0.34861352618857933</v>
      </c>
      <c r="V1149" s="19">
        <f>VLOOKUP(A1149,[1]Sheet1!$A$2:$Q$1536,17,FALSE)</f>
        <v>8628.9755859375</v>
      </c>
      <c r="W1149" s="27">
        <f t="shared" si="53"/>
        <v>-0.42542992241687511</v>
      </c>
    </row>
    <row r="1150" spans="1:23" x14ac:dyDescent="0.3">
      <c r="A1150" s="4" t="s">
        <v>1043</v>
      </c>
      <c r="B1150" s="5">
        <v>2019</v>
      </c>
      <c r="C1150" s="5" t="s">
        <v>391</v>
      </c>
      <c r="D1150" s="15" t="s">
        <v>580</v>
      </c>
      <c r="E1150" s="6">
        <v>117282</v>
      </c>
      <c r="F1150" s="5" t="s">
        <v>44</v>
      </c>
      <c r="G1150" s="5" t="s">
        <v>28</v>
      </c>
      <c r="H1150" s="5" t="s">
        <v>17</v>
      </c>
      <c r="I1150" s="5" t="s">
        <v>18</v>
      </c>
      <c r="J1150" s="7">
        <v>45666</v>
      </c>
      <c r="K1150" s="5" t="s">
        <v>17</v>
      </c>
      <c r="L1150" s="8">
        <v>44028</v>
      </c>
      <c r="M1150" s="19">
        <v>235</v>
      </c>
      <c r="N1150" s="19">
        <v>285</v>
      </c>
      <c r="O1150" s="24">
        <v>0</v>
      </c>
      <c r="P1150" s="24">
        <v>10000</v>
      </c>
      <c r="Q1150" t="s">
        <v>1983</v>
      </c>
      <c r="R1150" s="19">
        <f>VLOOKUP(A1150,[1]Sheet1!$A$2:$Q$1536,15,FALSE)</f>
        <v>9015.724609375</v>
      </c>
      <c r="S1150" s="27">
        <f t="shared" si="51"/>
        <v>-0.1091731872113198</v>
      </c>
      <c r="T1150" s="19">
        <f>VLOOKUP(A1150,[1]Sheet1!$A$2:$Q$1536,16,FALSE)</f>
        <v>9567.2050995804293</v>
      </c>
      <c r="U1150" s="27">
        <f t="shared" si="52"/>
        <v>-4.5237339004946281E-2</v>
      </c>
      <c r="V1150" s="19">
        <f>VLOOKUP(A1150,[1]Sheet1!$A$2:$Q$1536,17,FALSE)</f>
        <v>9220.84765625</v>
      </c>
      <c r="W1150" s="27">
        <f t="shared" si="53"/>
        <v>-8.4498993237555692E-2</v>
      </c>
    </row>
    <row r="1151" spans="1:23" x14ac:dyDescent="0.3">
      <c r="A1151" s="4" t="s">
        <v>1082</v>
      </c>
      <c r="B1151" s="5">
        <v>2015</v>
      </c>
      <c r="C1151" s="5" t="s">
        <v>535</v>
      </c>
      <c r="D1151" s="15" t="s">
        <v>1076</v>
      </c>
      <c r="E1151" s="6">
        <v>82683</v>
      </c>
      <c r="F1151" s="5" t="s">
        <v>59</v>
      </c>
      <c r="G1151" s="5" t="s">
        <v>16</v>
      </c>
      <c r="H1151" s="5" t="s">
        <v>17</v>
      </c>
      <c r="I1151" s="5" t="s">
        <v>18</v>
      </c>
      <c r="J1151" s="7">
        <v>45454</v>
      </c>
      <c r="K1151" s="5" t="s">
        <v>17</v>
      </c>
      <c r="L1151" s="8">
        <v>44128</v>
      </c>
      <c r="M1151" s="19">
        <v>264</v>
      </c>
      <c r="N1151" s="19">
        <v>314</v>
      </c>
      <c r="O1151" s="24">
        <v>12700</v>
      </c>
      <c r="P1151" s="24">
        <v>15400</v>
      </c>
      <c r="Q1151" t="s">
        <v>1983</v>
      </c>
      <c r="R1151" s="19">
        <f>VLOOKUP(A1151,[1]Sheet1!$A$2:$Q$1536,15,FALSE)</f>
        <v>9584.7060546875</v>
      </c>
      <c r="S1151" s="27">
        <f t="shared" si="51"/>
        <v>-0.60672637346749614</v>
      </c>
      <c r="T1151" s="19">
        <f>VLOOKUP(A1151,[1]Sheet1!$A$2:$Q$1536,16,FALSE)</f>
        <v>10159.93357193816</v>
      </c>
      <c r="U1151" s="27">
        <f t="shared" si="52"/>
        <v>-0.51575794181715495</v>
      </c>
      <c r="V1151" s="19">
        <f>VLOOKUP(A1151,[1]Sheet1!$A$2:$Q$1536,17,FALSE)</f>
        <v>9722.689453125</v>
      </c>
      <c r="W1151" s="27">
        <f t="shared" si="53"/>
        <v>-0.58392387972961923</v>
      </c>
    </row>
    <row r="1152" spans="1:23" x14ac:dyDescent="0.3">
      <c r="A1152" s="4" t="s">
        <v>1469</v>
      </c>
      <c r="B1152" s="5">
        <v>2014</v>
      </c>
      <c r="C1152" s="5" t="s">
        <v>1089</v>
      </c>
      <c r="D1152" s="15" t="s">
        <v>1326</v>
      </c>
      <c r="E1152" s="6">
        <v>107060</v>
      </c>
      <c r="F1152" s="5" t="s">
        <v>36</v>
      </c>
      <c r="G1152" s="5" t="s">
        <v>25</v>
      </c>
      <c r="H1152" s="5" t="s">
        <v>18</v>
      </c>
      <c r="I1152" s="5" t="s">
        <v>17</v>
      </c>
      <c r="J1152" s="7">
        <v>45622</v>
      </c>
      <c r="K1152" s="5" t="s">
        <v>17</v>
      </c>
      <c r="L1152" s="8">
        <v>44128</v>
      </c>
      <c r="M1152" s="19">
        <v>264</v>
      </c>
      <c r="N1152" s="19">
        <v>314</v>
      </c>
      <c r="O1152" s="24">
        <v>3800</v>
      </c>
      <c r="P1152" s="24">
        <v>7500</v>
      </c>
      <c r="Q1152" t="s">
        <v>1983</v>
      </c>
      <c r="R1152" s="19">
        <f>VLOOKUP(A1152,[1]Sheet1!$A$2:$Q$1536,15,FALSE)</f>
        <v>1395.113159179688</v>
      </c>
      <c r="S1152" s="27">
        <f t="shared" si="51"/>
        <v>-4.3759080047742671</v>
      </c>
      <c r="T1152" s="19">
        <f>VLOOKUP(A1152,[1]Sheet1!$A$2:$Q$1536,16,FALSE)</f>
        <v>8766.4834560533527</v>
      </c>
      <c r="U1152" s="27">
        <f t="shared" si="52"/>
        <v>0.14446881265472897</v>
      </c>
      <c r="V1152" s="19">
        <f>VLOOKUP(A1152,[1]Sheet1!$A$2:$Q$1536,17,FALSE)</f>
        <v>1385.325439453125</v>
      </c>
      <c r="W1152" s="27">
        <f t="shared" si="53"/>
        <v>-4.4138903295970087</v>
      </c>
    </row>
    <row r="1153" spans="1:23" x14ac:dyDescent="0.3">
      <c r="A1153" s="4" t="s">
        <v>504</v>
      </c>
      <c r="B1153" s="5">
        <v>2022</v>
      </c>
      <c r="C1153" s="5" t="s">
        <v>391</v>
      </c>
      <c r="D1153" s="15" t="s">
        <v>394</v>
      </c>
      <c r="E1153" s="6">
        <v>40700</v>
      </c>
      <c r="F1153" s="5" t="s">
        <v>199</v>
      </c>
      <c r="G1153" s="5" t="s">
        <v>16</v>
      </c>
      <c r="H1153" s="5" t="s">
        <v>17</v>
      </c>
      <c r="I1153" s="5" t="s">
        <v>18</v>
      </c>
      <c r="J1153" s="7">
        <v>45538</v>
      </c>
      <c r="K1153" s="5" t="s">
        <v>17</v>
      </c>
      <c r="L1153" s="8">
        <v>44113</v>
      </c>
      <c r="M1153" s="19">
        <v>264</v>
      </c>
      <c r="N1153" s="19">
        <v>314</v>
      </c>
      <c r="O1153" s="24">
        <v>16000</v>
      </c>
      <c r="P1153" s="24">
        <v>21800</v>
      </c>
      <c r="Q1153" t="s">
        <v>1983</v>
      </c>
      <c r="R1153" s="19">
        <f>VLOOKUP(A1153,[1]Sheet1!$A$2:$Q$1536,15,FALSE)</f>
        <v>18711.96484375</v>
      </c>
      <c r="S1153" s="27">
        <f t="shared" si="51"/>
        <v>-0.16502997852101231</v>
      </c>
      <c r="T1153" s="19">
        <f>VLOOKUP(A1153,[1]Sheet1!$A$2:$Q$1536,16,FALSE)</f>
        <v>14677.15359426845</v>
      </c>
      <c r="U1153" s="27">
        <f t="shared" si="52"/>
        <v>-0.48530161928080395</v>
      </c>
      <c r="V1153" s="19">
        <f>VLOOKUP(A1153,[1]Sheet1!$A$2:$Q$1536,17,FALSE)</f>
        <v>18840.40625</v>
      </c>
      <c r="W1153" s="27">
        <f t="shared" si="53"/>
        <v>-0.15708757607071239</v>
      </c>
    </row>
    <row r="1154" spans="1:23" x14ac:dyDescent="0.3">
      <c r="A1154" s="4" t="s">
        <v>1357</v>
      </c>
      <c r="B1154" s="5">
        <v>2016</v>
      </c>
      <c r="C1154" s="5" t="s">
        <v>1089</v>
      </c>
      <c r="D1154" s="15" t="s">
        <v>1328</v>
      </c>
      <c r="E1154" s="6">
        <v>109120</v>
      </c>
      <c r="F1154" s="5" t="s">
        <v>21</v>
      </c>
      <c r="G1154" s="5" t="s">
        <v>28</v>
      </c>
      <c r="H1154" s="5" t="s">
        <v>17</v>
      </c>
      <c r="I1154" s="5" t="s">
        <v>18</v>
      </c>
      <c r="J1154" s="7">
        <v>45454</v>
      </c>
      <c r="K1154" s="5" t="s">
        <v>17</v>
      </c>
      <c r="L1154" s="8">
        <v>44113</v>
      </c>
      <c r="M1154" s="19">
        <v>264</v>
      </c>
      <c r="N1154" s="19">
        <v>314</v>
      </c>
      <c r="O1154" s="24">
        <v>1800</v>
      </c>
      <c r="P1154" s="24">
        <v>6100</v>
      </c>
      <c r="Q1154" t="s">
        <v>1983</v>
      </c>
      <c r="R1154" s="19">
        <f>VLOOKUP(A1154,[1]Sheet1!$A$2:$Q$1536,15,FALSE)</f>
        <v>2113.35498046875</v>
      </c>
      <c r="S1154" s="27">
        <f t="shared" si="51"/>
        <v>-1.8864057654180735</v>
      </c>
      <c r="T1154" s="19">
        <f>VLOOKUP(A1154,[1]Sheet1!$A$2:$Q$1536,16,FALSE)</f>
        <v>8569.2843850793288</v>
      </c>
      <c r="U1154" s="27">
        <f t="shared" si="52"/>
        <v>0.2881552617601067</v>
      </c>
      <c r="V1154" s="19">
        <f>VLOOKUP(A1154,[1]Sheet1!$A$2:$Q$1536,17,FALSE)</f>
        <v>2054.26806640625</v>
      </c>
      <c r="W1154" s="27">
        <f t="shared" si="53"/>
        <v>-1.9694274567931049</v>
      </c>
    </row>
    <row r="1155" spans="1:23" x14ac:dyDescent="0.3">
      <c r="A1155" s="4" t="s">
        <v>1455</v>
      </c>
      <c r="B1155" s="5">
        <v>2018</v>
      </c>
      <c r="C1155" s="5" t="s">
        <v>1086</v>
      </c>
      <c r="D1155" s="15" t="s">
        <v>1439</v>
      </c>
      <c r="E1155" s="6">
        <v>76869</v>
      </c>
      <c r="F1155" s="5" t="s">
        <v>36</v>
      </c>
      <c r="G1155" s="5" t="s">
        <v>28</v>
      </c>
      <c r="H1155" s="5" t="s">
        <v>17</v>
      </c>
      <c r="I1155" s="5" t="s">
        <v>18</v>
      </c>
      <c r="J1155" s="7">
        <v>45552</v>
      </c>
      <c r="K1155" s="5" t="s">
        <v>17</v>
      </c>
      <c r="L1155" s="8">
        <v>44128</v>
      </c>
      <c r="M1155" s="19">
        <v>264</v>
      </c>
      <c r="N1155" s="19">
        <v>314</v>
      </c>
      <c r="O1155" s="24">
        <v>9000</v>
      </c>
      <c r="P1155" s="24">
        <v>10200</v>
      </c>
      <c r="Q1155" t="s">
        <v>1983</v>
      </c>
      <c r="R1155" s="19">
        <f>VLOOKUP(A1155,[1]Sheet1!$A$2:$Q$1536,15,FALSE)</f>
        <v>4028.880126953125</v>
      </c>
      <c r="S1155" s="27">
        <f t="shared" ref="S1155:S1218" si="54">(R1155-$P1155)/R1155</f>
        <v>-1.5317208947871668</v>
      </c>
      <c r="T1155" s="19">
        <f>VLOOKUP(A1155,[1]Sheet1!$A$2:$Q$1536,16,FALSE)</f>
        <v>9024.0688061916735</v>
      </c>
      <c r="U1155" s="27">
        <f t="shared" ref="U1155:U1218" si="55">(T1155-$P1155)/T1155</f>
        <v>-0.13031053054487862</v>
      </c>
      <c r="V1155" s="19">
        <f>VLOOKUP(A1155,[1]Sheet1!$A$2:$Q$1536,17,FALSE)</f>
        <v>3881.8876953125</v>
      </c>
      <c r="W1155" s="27">
        <f t="shared" ref="W1155:W1218" si="56">(V1155-$P1155)/V1155</f>
        <v>-1.6275876070080071</v>
      </c>
    </row>
    <row r="1156" spans="1:23" x14ac:dyDescent="0.3">
      <c r="A1156" s="4" t="s">
        <v>1649</v>
      </c>
      <c r="B1156" s="5">
        <v>2015</v>
      </c>
      <c r="C1156" s="5" t="s">
        <v>391</v>
      </c>
      <c r="D1156" s="15" t="s">
        <v>1056</v>
      </c>
      <c r="E1156" s="6">
        <v>88285</v>
      </c>
      <c r="F1156" s="5" t="s">
        <v>36</v>
      </c>
      <c r="G1156" s="5" t="s">
        <v>28</v>
      </c>
      <c r="H1156" s="5" t="s">
        <v>17</v>
      </c>
      <c r="I1156" s="5" t="s">
        <v>18</v>
      </c>
      <c r="J1156" s="7">
        <v>45566</v>
      </c>
      <c r="K1156" s="5" t="s">
        <v>17</v>
      </c>
      <c r="L1156" s="8">
        <v>44451</v>
      </c>
      <c r="M1156" s="19">
        <v>264</v>
      </c>
      <c r="N1156" s="19">
        <v>314</v>
      </c>
      <c r="O1156" s="24">
        <v>6300</v>
      </c>
      <c r="P1156" s="24">
        <v>8100</v>
      </c>
      <c r="Q1156" t="s">
        <v>1983</v>
      </c>
      <c r="R1156" s="19">
        <f>VLOOKUP(A1156,[1]Sheet1!$A$2:$Q$1536,15,FALSE)</f>
        <v>2237.8173828125</v>
      </c>
      <c r="S1156" s="27">
        <f t="shared" si="54"/>
        <v>-2.6195983024405147</v>
      </c>
      <c r="T1156" s="19">
        <f>VLOOKUP(A1156,[1]Sheet1!$A$2:$Q$1536,16,FALSE)</f>
        <v>9552.7339152136447</v>
      </c>
      <c r="U1156" s="27">
        <f t="shared" si="55"/>
        <v>0.15207519942537356</v>
      </c>
      <c r="V1156" s="19">
        <f>VLOOKUP(A1156,[1]Sheet1!$A$2:$Q$1536,17,FALSE)</f>
        <v>2182.28759765625</v>
      </c>
      <c r="W1156" s="27">
        <f t="shared" si="56"/>
        <v>-2.7117014314242085</v>
      </c>
    </row>
    <row r="1157" spans="1:23" x14ac:dyDescent="0.3">
      <c r="A1157" s="4" t="s">
        <v>284</v>
      </c>
      <c r="B1157" s="5">
        <v>2021</v>
      </c>
      <c r="C1157" s="5" t="s">
        <v>237</v>
      </c>
      <c r="D1157" s="15" t="s">
        <v>245</v>
      </c>
      <c r="E1157" s="6">
        <v>55629</v>
      </c>
      <c r="F1157" s="5" t="s">
        <v>92</v>
      </c>
      <c r="G1157" s="5" t="s">
        <v>28</v>
      </c>
      <c r="H1157" s="5" t="s">
        <v>17</v>
      </c>
      <c r="I1157" s="5" t="s">
        <v>18</v>
      </c>
      <c r="J1157" s="7">
        <v>45328</v>
      </c>
      <c r="K1157" s="5" t="s">
        <v>17</v>
      </c>
      <c r="L1157" s="8">
        <v>44113</v>
      </c>
      <c r="M1157" s="19">
        <v>264</v>
      </c>
      <c r="N1157" s="19">
        <v>314</v>
      </c>
      <c r="O1157" s="24">
        <v>17200</v>
      </c>
      <c r="P1157" s="24">
        <v>34250</v>
      </c>
      <c r="Q1157" t="s">
        <v>1983</v>
      </c>
      <c r="R1157" s="19">
        <f>VLOOKUP(A1157,[1]Sheet1!$A$2:$Q$1536,15,FALSE)</f>
        <v>21206.900390625</v>
      </c>
      <c r="S1157" s="27">
        <f t="shared" si="54"/>
        <v>-0.61504035804973189</v>
      </c>
      <c r="T1157" s="19">
        <f>VLOOKUP(A1157,[1]Sheet1!$A$2:$Q$1536,16,FALSE)</f>
        <v>15425.30477243369</v>
      </c>
      <c r="U1157" s="27">
        <f t="shared" si="55"/>
        <v>-1.2203775228615006</v>
      </c>
      <c r="V1157" s="19">
        <f>VLOOKUP(A1157,[1]Sheet1!$A$2:$Q$1536,17,FALSE)</f>
        <v>20896.673828125</v>
      </c>
      <c r="W1157" s="27">
        <f t="shared" si="56"/>
        <v>-0.63901682543863281</v>
      </c>
    </row>
    <row r="1158" spans="1:23" x14ac:dyDescent="0.3">
      <c r="A1158" s="4" t="s">
        <v>1203</v>
      </c>
      <c r="B1158" s="5">
        <v>2014</v>
      </c>
      <c r="C1158" s="5" t="s">
        <v>684</v>
      </c>
      <c r="D1158" s="15" t="s">
        <v>1193</v>
      </c>
      <c r="E1158" s="6">
        <v>134081</v>
      </c>
      <c r="F1158" s="5" t="s">
        <v>81</v>
      </c>
      <c r="G1158" s="5" t="s">
        <v>25</v>
      </c>
      <c r="H1158" s="5" t="s">
        <v>18</v>
      </c>
      <c r="I1158" s="5" t="s">
        <v>17</v>
      </c>
      <c r="J1158" s="7">
        <v>45393</v>
      </c>
      <c r="K1158" s="5" t="s">
        <v>17</v>
      </c>
      <c r="L1158" s="8">
        <v>44483</v>
      </c>
      <c r="M1158" s="19">
        <v>264</v>
      </c>
      <c r="N1158" s="19">
        <v>314</v>
      </c>
      <c r="O1158" s="24">
        <v>0</v>
      </c>
      <c r="P1158" s="24">
        <v>3000</v>
      </c>
      <c r="Q1158" t="s">
        <v>1983</v>
      </c>
      <c r="R1158" s="19">
        <f>VLOOKUP(A1158,[1]Sheet1!$A$2:$Q$1536,15,FALSE)</f>
        <v>1441.46044921875</v>
      </c>
      <c r="S1158" s="27">
        <f t="shared" si="54"/>
        <v>-1.0812225556559356</v>
      </c>
      <c r="T1158" s="19">
        <f>VLOOKUP(A1158,[1]Sheet1!$A$2:$Q$1536,16,FALSE)</f>
        <v>8923.5901790540229</v>
      </c>
      <c r="U1158" s="27">
        <f t="shared" si="55"/>
        <v>0.66381244097899328</v>
      </c>
      <c r="V1158" s="19">
        <f>VLOOKUP(A1158,[1]Sheet1!$A$2:$Q$1536,17,FALSE)</f>
        <v>1395.367431640625</v>
      </c>
      <c r="W1158" s="27">
        <f t="shared" si="56"/>
        <v>-1.149971349462201</v>
      </c>
    </row>
    <row r="1159" spans="1:23" x14ac:dyDescent="0.3">
      <c r="A1159" s="4" t="s">
        <v>1646</v>
      </c>
      <c r="B1159" s="5">
        <v>2016</v>
      </c>
      <c r="C1159" s="5" t="s">
        <v>391</v>
      </c>
      <c r="D1159" s="15" t="s">
        <v>1056</v>
      </c>
      <c r="E1159" s="6">
        <v>118627</v>
      </c>
      <c r="F1159" s="5" t="s">
        <v>32</v>
      </c>
      <c r="G1159" s="5" t="s">
        <v>25</v>
      </c>
      <c r="H1159" s="5" t="s">
        <v>18</v>
      </c>
      <c r="I1159" s="5" t="s">
        <v>17</v>
      </c>
      <c r="J1159" s="7">
        <v>45608</v>
      </c>
      <c r="K1159" s="5" t="s">
        <v>17</v>
      </c>
      <c r="L1159" s="8">
        <v>44052</v>
      </c>
      <c r="M1159" s="19">
        <v>235</v>
      </c>
      <c r="N1159" s="19">
        <v>285</v>
      </c>
      <c r="O1159" s="24">
        <v>2100</v>
      </c>
      <c r="P1159" s="24">
        <v>4200</v>
      </c>
      <c r="Q1159" t="s">
        <v>1983</v>
      </c>
      <c r="R1159" s="19">
        <f>VLOOKUP(A1159,[1]Sheet1!$A$2:$Q$1536,15,FALSE)</f>
        <v>1592.93505859375</v>
      </c>
      <c r="S1159" s="27">
        <f t="shared" si="54"/>
        <v>-1.6366423272194024</v>
      </c>
      <c r="T1159" s="19">
        <f>VLOOKUP(A1159,[1]Sheet1!$A$2:$Q$1536,16,FALSE)</f>
        <v>9313.6592852679933</v>
      </c>
      <c r="U1159" s="27">
        <f t="shared" si="55"/>
        <v>0.54904942607859764</v>
      </c>
      <c r="V1159" s="19">
        <f>VLOOKUP(A1159,[1]Sheet1!$A$2:$Q$1536,17,FALSE)</f>
        <v>1575.010375976562</v>
      </c>
      <c r="W1159" s="27">
        <f t="shared" si="56"/>
        <v>-1.6666490989913967</v>
      </c>
    </row>
    <row r="1160" spans="1:23" x14ac:dyDescent="0.3">
      <c r="A1160" s="4" t="s">
        <v>595</v>
      </c>
      <c r="B1160" s="5">
        <v>2017</v>
      </c>
      <c r="C1160" s="5" t="s">
        <v>391</v>
      </c>
      <c r="D1160" s="15" t="s">
        <v>594</v>
      </c>
      <c r="E1160" s="6">
        <v>112007</v>
      </c>
      <c r="F1160" s="5" t="s">
        <v>57</v>
      </c>
      <c r="G1160" s="5" t="s">
        <v>33</v>
      </c>
      <c r="H1160" s="5" t="s">
        <v>17</v>
      </c>
      <c r="I1160" s="5" t="s">
        <v>18</v>
      </c>
      <c r="J1160" s="7">
        <v>45568</v>
      </c>
      <c r="K1160" s="5" t="s">
        <v>17</v>
      </c>
      <c r="L1160" s="8">
        <v>44113</v>
      </c>
      <c r="M1160" s="19">
        <v>264</v>
      </c>
      <c r="N1160" s="19">
        <v>314</v>
      </c>
      <c r="O1160" s="24">
        <v>0</v>
      </c>
      <c r="P1160" s="24">
        <v>11500</v>
      </c>
      <c r="Q1160" t="s">
        <v>1983</v>
      </c>
      <c r="R1160" s="19">
        <f>VLOOKUP(A1160,[1]Sheet1!$A$2:$Q$1536,15,FALSE)</f>
        <v>3851.9599609375</v>
      </c>
      <c r="S1160" s="27">
        <f t="shared" si="54"/>
        <v>-1.9854931298925289</v>
      </c>
      <c r="T1160" s="19">
        <f>VLOOKUP(A1160,[1]Sheet1!$A$2:$Q$1536,16,FALSE)</f>
        <v>9340.893233204135</v>
      </c>
      <c r="U1160" s="27">
        <f t="shared" si="55"/>
        <v>-0.23114564238041754</v>
      </c>
      <c r="V1160" s="19">
        <f>VLOOKUP(A1160,[1]Sheet1!$A$2:$Q$1536,17,FALSE)</f>
        <v>3738.947265625</v>
      </c>
      <c r="W1160" s="27">
        <f t="shared" si="56"/>
        <v>-2.0757320665440484</v>
      </c>
    </row>
    <row r="1161" spans="1:23" x14ac:dyDescent="0.3">
      <c r="A1161" s="4" t="s">
        <v>1620</v>
      </c>
      <c r="B1161" s="5">
        <v>2019</v>
      </c>
      <c r="C1161" s="5" t="s">
        <v>519</v>
      </c>
      <c r="D1161" s="15" t="s">
        <v>1607</v>
      </c>
      <c r="E1161" s="6">
        <v>94490</v>
      </c>
      <c r="F1161" s="5" t="s">
        <v>246</v>
      </c>
      <c r="G1161" s="5" t="s">
        <v>16</v>
      </c>
      <c r="H1161" s="5" t="s">
        <v>17</v>
      </c>
      <c r="I1161" s="5" t="s">
        <v>18</v>
      </c>
      <c r="J1161" s="7">
        <v>45692</v>
      </c>
      <c r="K1161" s="5" t="s">
        <v>17</v>
      </c>
      <c r="L1161" s="8">
        <v>43612</v>
      </c>
      <c r="M1161" s="19">
        <v>264</v>
      </c>
      <c r="N1161" s="19">
        <v>314</v>
      </c>
      <c r="O1161" s="24">
        <v>8700</v>
      </c>
      <c r="P1161" s="24">
        <v>14500</v>
      </c>
      <c r="Q1161" t="s">
        <v>1983</v>
      </c>
      <c r="R1161" s="19">
        <f>VLOOKUP(A1161,[1]Sheet1!$A$2:$Q$1536,15,FALSE)</f>
        <v>9192.6279296875</v>
      </c>
      <c r="S1161" s="27">
        <f t="shared" si="54"/>
        <v>-0.57735090671649991</v>
      </c>
      <c r="T1161" s="19">
        <f>VLOOKUP(A1161,[1]Sheet1!$A$2:$Q$1536,16,FALSE)</f>
        <v>10107.876881296421</v>
      </c>
      <c r="U1161" s="27">
        <f t="shared" si="55"/>
        <v>-0.4345247939090699</v>
      </c>
      <c r="V1161" s="19">
        <f>VLOOKUP(A1161,[1]Sheet1!$A$2:$Q$1536,17,FALSE)</f>
        <v>9481.7255859375</v>
      </c>
      <c r="W1161" s="27">
        <f t="shared" si="56"/>
        <v>-0.52925750366633517</v>
      </c>
    </row>
    <row r="1162" spans="1:23" x14ac:dyDescent="0.3">
      <c r="A1162" s="4" t="s">
        <v>1933</v>
      </c>
      <c r="B1162" s="5">
        <v>2016</v>
      </c>
      <c r="C1162" s="5" t="s">
        <v>684</v>
      </c>
      <c r="D1162" s="15" t="s">
        <v>1184</v>
      </c>
      <c r="E1162" s="6">
        <v>161186</v>
      </c>
      <c r="F1162" s="5" t="s">
        <v>73</v>
      </c>
      <c r="G1162" s="5" t="s">
        <v>25</v>
      </c>
      <c r="H1162" s="5" t="s">
        <v>18</v>
      </c>
      <c r="I1162" s="5" t="s">
        <v>17</v>
      </c>
      <c r="J1162" s="7">
        <v>45722</v>
      </c>
      <c r="K1162" s="5" t="s">
        <v>17</v>
      </c>
      <c r="L1162" s="8">
        <v>44430</v>
      </c>
      <c r="M1162" s="19">
        <v>264</v>
      </c>
      <c r="N1162" s="19">
        <v>314</v>
      </c>
      <c r="O1162" s="24">
        <v>0</v>
      </c>
      <c r="P1162" s="24">
        <v>7300</v>
      </c>
      <c r="Q1162" t="s">
        <v>1983</v>
      </c>
      <c r="R1162" s="19">
        <f>VLOOKUP(A1162,[1]Sheet1!$A$2:$Q$1536,15,FALSE)</f>
        <v>930.572265625</v>
      </c>
      <c r="S1162" s="27">
        <f t="shared" si="54"/>
        <v>-6.8446352525852499</v>
      </c>
      <c r="T1162" s="19">
        <f>VLOOKUP(A1162,[1]Sheet1!$A$2:$Q$1536,16,FALSE)</f>
        <v>8806.3539249291716</v>
      </c>
      <c r="U1162" s="27">
        <f t="shared" si="55"/>
        <v>0.17105307574170511</v>
      </c>
      <c r="V1162" s="19">
        <f>VLOOKUP(A1162,[1]Sheet1!$A$2:$Q$1536,17,FALSE)</f>
        <v>1088.946655273438</v>
      </c>
      <c r="W1162" s="27">
        <f t="shared" si="56"/>
        <v>-5.7037259948853487</v>
      </c>
    </row>
    <row r="1163" spans="1:23" x14ac:dyDescent="0.3">
      <c r="A1163" s="4" t="s">
        <v>538</v>
      </c>
      <c r="B1163" s="5">
        <v>2015</v>
      </c>
      <c r="C1163" s="5" t="s">
        <v>535</v>
      </c>
      <c r="D1163" s="15" t="s">
        <v>536</v>
      </c>
      <c r="E1163" s="6">
        <v>82759</v>
      </c>
      <c r="F1163" s="5" t="s">
        <v>73</v>
      </c>
      <c r="G1163" s="5" t="s">
        <v>22</v>
      </c>
      <c r="H1163" s="5" t="s">
        <v>18</v>
      </c>
      <c r="I1163" s="5" t="s">
        <v>17</v>
      </c>
      <c r="J1163" s="7">
        <v>45734</v>
      </c>
      <c r="K1163" s="5" t="s">
        <v>17</v>
      </c>
      <c r="L1163" s="8">
        <v>44451</v>
      </c>
      <c r="M1163" s="19">
        <v>264</v>
      </c>
      <c r="N1163" s="19">
        <v>314</v>
      </c>
      <c r="O1163" s="24">
        <v>0</v>
      </c>
      <c r="P1163" s="24">
        <v>1900</v>
      </c>
      <c r="Q1163" t="s">
        <v>1983</v>
      </c>
      <c r="R1163" s="19">
        <f>VLOOKUP(A1163,[1]Sheet1!$A$2:$Q$1536,15,FALSE)</f>
        <v>4750.92724609375</v>
      </c>
      <c r="S1163" s="27">
        <f t="shared" si="54"/>
        <v>0.60007806864182245</v>
      </c>
      <c r="T1163" s="19">
        <f>VLOOKUP(A1163,[1]Sheet1!$A$2:$Q$1536,16,FALSE)</f>
        <v>9353.8253306152692</v>
      </c>
      <c r="U1163" s="27">
        <f t="shared" si="55"/>
        <v>0.79687454780866396</v>
      </c>
      <c r="V1163" s="19">
        <f>VLOOKUP(A1163,[1]Sheet1!$A$2:$Q$1536,17,FALSE)</f>
        <v>4646.1630859375</v>
      </c>
      <c r="W1163" s="27">
        <f t="shared" si="56"/>
        <v>0.59106041590517711</v>
      </c>
    </row>
    <row r="1164" spans="1:23" x14ac:dyDescent="0.3">
      <c r="A1164" s="4" t="s">
        <v>312</v>
      </c>
      <c r="B1164" s="5">
        <v>2017</v>
      </c>
      <c r="C1164" s="5" t="s">
        <v>237</v>
      </c>
      <c r="D1164" s="15" t="s">
        <v>306</v>
      </c>
      <c r="E1164" s="6">
        <v>127689</v>
      </c>
      <c r="F1164" s="5" t="s">
        <v>77</v>
      </c>
      <c r="G1164" s="5" t="s">
        <v>25</v>
      </c>
      <c r="H1164" s="5" t="s">
        <v>18</v>
      </c>
      <c r="I1164" s="5" t="s">
        <v>17</v>
      </c>
      <c r="J1164" s="7">
        <v>45484</v>
      </c>
      <c r="K1164" s="5" t="s">
        <v>17</v>
      </c>
      <c r="L1164" s="8">
        <v>44135</v>
      </c>
      <c r="M1164" s="19">
        <v>235</v>
      </c>
      <c r="N1164" s="19">
        <v>285</v>
      </c>
      <c r="O1164" s="24">
        <v>0</v>
      </c>
      <c r="P1164" s="24">
        <v>8000</v>
      </c>
      <c r="Q1164" t="s">
        <v>1983</v>
      </c>
      <c r="R1164" s="19">
        <f>VLOOKUP(A1164,[1]Sheet1!$A$2:$Q$1536,15,FALSE)</f>
        <v>7951.48095703125</v>
      </c>
      <c r="S1164" s="27">
        <f t="shared" si="54"/>
        <v>-6.1018875893610863E-3</v>
      </c>
      <c r="T1164" s="19">
        <f>VLOOKUP(A1164,[1]Sheet1!$A$2:$Q$1536,16,FALSE)</f>
        <v>9333.2986627555219</v>
      </c>
      <c r="U1164" s="27">
        <f t="shared" si="55"/>
        <v>0.14285395881265892</v>
      </c>
      <c r="V1164" s="19">
        <f>VLOOKUP(A1164,[1]Sheet1!$A$2:$Q$1536,17,FALSE)</f>
        <v>8013.00537109375</v>
      </c>
      <c r="W1164" s="27">
        <f t="shared" si="56"/>
        <v>1.6230328686245232E-3</v>
      </c>
    </row>
    <row r="1165" spans="1:23" x14ac:dyDescent="0.3">
      <c r="A1165" s="4" t="s">
        <v>1054</v>
      </c>
      <c r="B1165" s="5">
        <v>2021</v>
      </c>
      <c r="C1165" s="5" t="s">
        <v>391</v>
      </c>
      <c r="D1165" s="15" t="s">
        <v>582</v>
      </c>
      <c r="E1165" s="6">
        <v>76640</v>
      </c>
      <c r="F1165" s="5" t="s">
        <v>158</v>
      </c>
      <c r="G1165" s="5" t="s">
        <v>33</v>
      </c>
      <c r="H1165" s="5" t="s">
        <v>17</v>
      </c>
      <c r="I1165" s="5" t="s">
        <v>18</v>
      </c>
      <c r="J1165" s="7">
        <v>45636</v>
      </c>
      <c r="K1165" s="5" t="s">
        <v>17</v>
      </c>
      <c r="L1165" s="8">
        <v>44310</v>
      </c>
      <c r="M1165" s="19">
        <v>235</v>
      </c>
      <c r="N1165" s="19">
        <v>285</v>
      </c>
      <c r="O1165" s="24">
        <v>14200</v>
      </c>
      <c r="P1165" s="24">
        <v>22000</v>
      </c>
      <c r="Q1165" t="s">
        <v>1983</v>
      </c>
      <c r="R1165" s="19">
        <f>VLOOKUP(A1165,[1]Sheet1!$A$2:$Q$1536,15,FALSE)</f>
        <v>16516.01953125</v>
      </c>
      <c r="S1165" s="27">
        <f t="shared" si="54"/>
        <v>-0.33204008135094221</v>
      </c>
      <c r="T1165" s="19">
        <f>VLOOKUP(A1165,[1]Sheet1!$A$2:$Q$1536,16,FALSE)</f>
        <v>12490.955625704881</v>
      </c>
      <c r="U1165" s="27">
        <f t="shared" si="55"/>
        <v>-0.76127436997107345</v>
      </c>
      <c r="V1165" s="19">
        <f>VLOOKUP(A1165,[1]Sheet1!$A$2:$Q$1536,17,FALSE)</f>
        <v>16808.478515625</v>
      </c>
      <c r="W1165" s="27">
        <f t="shared" si="56"/>
        <v>-0.30886326085665705</v>
      </c>
    </row>
    <row r="1166" spans="1:23" x14ac:dyDescent="0.3">
      <c r="A1166" s="4" t="s">
        <v>934</v>
      </c>
      <c r="B1166" s="5">
        <v>2013</v>
      </c>
      <c r="C1166" s="5" t="s">
        <v>932</v>
      </c>
      <c r="D1166" s="15">
        <v>500</v>
      </c>
      <c r="E1166" s="6">
        <v>94060</v>
      </c>
      <c r="F1166" s="5" t="s">
        <v>144</v>
      </c>
      <c r="G1166" s="5" t="s">
        <v>22</v>
      </c>
      <c r="H1166" s="5" t="s">
        <v>18</v>
      </c>
      <c r="I1166" s="5" t="s">
        <v>17</v>
      </c>
      <c r="J1166" s="7">
        <v>45398</v>
      </c>
      <c r="K1166" s="5" t="s">
        <v>17</v>
      </c>
      <c r="L1166" s="8">
        <v>44310</v>
      </c>
      <c r="M1166" s="19">
        <v>235</v>
      </c>
      <c r="N1166" s="19">
        <v>285</v>
      </c>
      <c r="O1166" s="24">
        <v>800</v>
      </c>
      <c r="P1166" s="24">
        <v>3600</v>
      </c>
      <c r="Q1166" t="s">
        <v>1983</v>
      </c>
      <c r="R1166" s="19">
        <f>VLOOKUP(A1166,[1]Sheet1!$A$2:$Q$1536,15,FALSE)</f>
        <v>1930.558349609375</v>
      </c>
      <c r="S1166" s="27">
        <f t="shared" si="54"/>
        <v>-0.86474550263058159</v>
      </c>
      <c r="T1166" s="19">
        <f>VLOOKUP(A1166,[1]Sheet1!$A$2:$Q$1536,16,FALSE)</f>
        <v>9136.3977033454885</v>
      </c>
      <c r="U1166" s="27">
        <f t="shared" si="55"/>
        <v>0.60597161847696468</v>
      </c>
      <c r="V1166" s="19">
        <f>VLOOKUP(A1166,[1]Sheet1!$A$2:$Q$1536,17,FALSE)</f>
        <v>1885.53759765625</v>
      </c>
      <c r="W1166" s="27">
        <f t="shared" si="56"/>
        <v>-0.90926980425892923</v>
      </c>
    </row>
    <row r="1167" spans="1:23" x14ac:dyDescent="0.3">
      <c r="A1167" s="4" t="s">
        <v>1829</v>
      </c>
      <c r="B1167" s="5">
        <v>2016</v>
      </c>
      <c r="C1167" s="5" t="s">
        <v>1830</v>
      </c>
      <c r="D1167" s="15" t="s">
        <v>1831</v>
      </c>
      <c r="E1167" s="6">
        <v>112667</v>
      </c>
      <c r="F1167" s="5" t="s">
        <v>718</v>
      </c>
      <c r="G1167" s="5" t="s">
        <v>22</v>
      </c>
      <c r="H1167" s="5" t="s">
        <v>18</v>
      </c>
      <c r="I1167" s="5" t="s">
        <v>17</v>
      </c>
      <c r="J1167" s="7">
        <v>45314</v>
      </c>
      <c r="K1167" s="5" t="s">
        <v>17</v>
      </c>
      <c r="L1167" s="8">
        <v>44224</v>
      </c>
      <c r="M1167" s="19">
        <v>235</v>
      </c>
      <c r="N1167" s="19">
        <v>285</v>
      </c>
      <c r="O1167" s="24">
        <v>14400</v>
      </c>
      <c r="P1167" s="24">
        <v>34772.972972973002</v>
      </c>
      <c r="Q1167" t="s">
        <v>1983</v>
      </c>
      <c r="R1167" s="19">
        <f>VLOOKUP(A1167,[1]Sheet1!$A$2:$Q$1536,15,FALSE)</f>
        <v>9347.4931640625</v>
      </c>
      <c r="S1167" s="27">
        <f t="shared" si="54"/>
        <v>-2.7200319232820251</v>
      </c>
      <c r="T1167" s="19">
        <f>VLOOKUP(A1167,[1]Sheet1!$A$2:$Q$1536,16,FALSE)</f>
        <v>12112.241826677549</v>
      </c>
      <c r="U1167" s="27">
        <f t="shared" si="55"/>
        <v>-1.8708948740095794</v>
      </c>
      <c r="V1167" s="19">
        <f>VLOOKUP(A1167,[1]Sheet1!$A$2:$Q$1536,17,FALSE)</f>
        <v>9198.5556640625</v>
      </c>
      <c r="W1167" s="27">
        <f t="shared" si="56"/>
        <v>-2.7802644505187111</v>
      </c>
    </row>
    <row r="1168" spans="1:23" x14ac:dyDescent="0.3">
      <c r="A1168" s="4" t="s">
        <v>1661</v>
      </c>
      <c r="B1168" s="5">
        <v>2016</v>
      </c>
      <c r="C1168" s="5" t="s">
        <v>1089</v>
      </c>
      <c r="D1168" s="15" t="s">
        <v>1659</v>
      </c>
      <c r="E1168" s="6">
        <v>133336</v>
      </c>
      <c r="F1168" s="5" t="s">
        <v>81</v>
      </c>
      <c r="G1168" s="5" t="s">
        <v>28</v>
      </c>
      <c r="H1168" s="5" t="s">
        <v>17</v>
      </c>
      <c r="I1168" s="5" t="s">
        <v>18</v>
      </c>
      <c r="J1168" s="7">
        <v>45734</v>
      </c>
      <c r="K1168" s="5" t="s">
        <v>17</v>
      </c>
      <c r="L1168" s="8">
        <v>44067</v>
      </c>
      <c r="M1168" s="19">
        <v>235</v>
      </c>
      <c r="N1168" s="19">
        <v>285</v>
      </c>
      <c r="O1168" s="24">
        <v>0</v>
      </c>
      <c r="P1168" s="24">
        <v>8000</v>
      </c>
      <c r="Q1168" t="s">
        <v>1983</v>
      </c>
      <c r="R1168" s="19">
        <f>VLOOKUP(A1168,[1]Sheet1!$A$2:$Q$1536,15,FALSE)</f>
        <v>1099.516723632812</v>
      </c>
      <c r="S1168" s="27">
        <f t="shared" si="54"/>
        <v>-6.2759238927880387</v>
      </c>
      <c r="T1168" s="19">
        <f>VLOOKUP(A1168,[1]Sheet1!$A$2:$Q$1536,16,FALSE)</f>
        <v>8872.5997088185704</v>
      </c>
      <c r="U1168" s="27">
        <f t="shared" si="55"/>
        <v>9.8347692610462792E-2</v>
      </c>
      <c r="V1168" s="19">
        <f>VLOOKUP(A1168,[1]Sheet1!$A$2:$Q$1536,17,FALSE)</f>
        <v>1169.860107421875</v>
      </c>
      <c r="W1168" s="27">
        <f t="shared" si="56"/>
        <v>-5.8384244827617149</v>
      </c>
    </row>
    <row r="1169" spans="1:23" x14ac:dyDescent="0.3">
      <c r="A1169" s="4" t="s">
        <v>86</v>
      </c>
      <c r="B1169" s="5">
        <v>2016</v>
      </c>
      <c r="C1169" s="5" t="s">
        <v>83</v>
      </c>
      <c r="D1169" s="15" t="s">
        <v>84</v>
      </c>
      <c r="E1169" s="6">
        <v>198770</v>
      </c>
      <c r="F1169" s="5" t="s">
        <v>87</v>
      </c>
      <c r="G1169" s="5" t="s">
        <v>25</v>
      </c>
      <c r="H1169" s="5" t="s">
        <v>18</v>
      </c>
      <c r="I1169" s="5" t="s">
        <v>17</v>
      </c>
      <c r="J1169" s="7">
        <v>45309</v>
      </c>
      <c r="K1169" s="5" t="s">
        <v>17</v>
      </c>
      <c r="L1169" s="8">
        <v>44451</v>
      </c>
      <c r="M1169" s="19">
        <v>264</v>
      </c>
      <c r="N1169" s="19">
        <v>314</v>
      </c>
      <c r="O1169" s="24">
        <v>2500</v>
      </c>
      <c r="P1169" s="24">
        <v>3600</v>
      </c>
      <c r="Q1169" t="s">
        <v>1983</v>
      </c>
      <c r="R1169" s="19">
        <f>VLOOKUP(A1169,[1]Sheet1!$A$2:$Q$1536,15,FALSE)</f>
        <v>2903.7216796875</v>
      </c>
      <c r="S1169" s="27">
        <f t="shared" si="54"/>
        <v>-0.23978824319947697</v>
      </c>
      <c r="T1169" s="19">
        <f>VLOOKUP(A1169,[1]Sheet1!$A$2:$Q$1536,16,FALSE)</f>
        <v>8775.856850885164</v>
      </c>
      <c r="U1169" s="27">
        <f t="shared" si="55"/>
        <v>0.58978364606791744</v>
      </c>
      <c r="V1169" s="19">
        <f>VLOOKUP(A1169,[1]Sheet1!$A$2:$Q$1536,17,FALSE)</f>
        <v>2697.9189453125</v>
      </c>
      <c r="W1169" s="27">
        <f t="shared" si="56"/>
        <v>-0.33436180736816462</v>
      </c>
    </row>
    <row r="1170" spans="1:23" x14ac:dyDescent="0.3">
      <c r="A1170" s="4" t="s">
        <v>1776</v>
      </c>
      <c r="B1170" s="5">
        <v>2018</v>
      </c>
      <c r="C1170" s="5" t="s">
        <v>1086</v>
      </c>
      <c r="D1170" s="15" t="s">
        <v>1758</v>
      </c>
      <c r="E1170" s="6">
        <v>96574</v>
      </c>
      <c r="F1170" s="5" t="s">
        <v>32</v>
      </c>
      <c r="G1170" s="5" t="s">
        <v>25</v>
      </c>
      <c r="H1170" s="5" t="s">
        <v>18</v>
      </c>
      <c r="I1170" s="5" t="s">
        <v>17</v>
      </c>
      <c r="J1170" s="7">
        <v>45400</v>
      </c>
      <c r="K1170" s="5" t="s">
        <v>17</v>
      </c>
      <c r="L1170" s="8">
        <v>44128</v>
      </c>
      <c r="M1170" s="19">
        <v>264</v>
      </c>
      <c r="N1170" s="19">
        <v>314</v>
      </c>
      <c r="O1170" s="24">
        <v>2600</v>
      </c>
      <c r="P1170" s="24">
        <v>5200</v>
      </c>
      <c r="Q1170" t="s">
        <v>1983</v>
      </c>
      <c r="R1170" s="19">
        <f>VLOOKUP(A1170,[1]Sheet1!$A$2:$Q$1536,15,FALSE)</f>
        <v>3213.554931640625</v>
      </c>
      <c r="S1170" s="27">
        <f t="shared" si="54"/>
        <v>-0.61814567064059167</v>
      </c>
      <c r="T1170" s="19">
        <f>VLOOKUP(A1170,[1]Sheet1!$A$2:$Q$1536,16,FALSE)</f>
        <v>8835.5298340568061</v>
      </c>
      <c r="U1170" s="27">
        <f t="shared" si="55"/>
        <v>0.41146709957829025</v>
      </c>
      <c r="V1170" s="19">
        <f>VLOOKUP(A1170,[1]Sheet1!$A$2:$Q$1536,17,FALSE)</f>
        <v>3075.55859375</v>
      </c>
      <c r="W1170" s="27">
        <f t="shared" si="56"/>
        <v>-0.69074977487575295</v>
      </c>
    </row>
    <row r="1171" spans="1:23" x14ac:dyDescent="0.3">
      <c r="A1171" s="4" t="s">
        <v>428</v>
      </c>
      <c r="B1171" s="5">
        <v>2017</v>
      </c>
      <c r="C1171" s="5" t="s">
        <v>391</v>
      </c>
      <c r="D1171" s="15" t="s">
        <v>429</v>
      </c>
      <c r="E1171" s="6">
        <v>47125</v>
      </c>
      <c r="F1171" s="5" t="s">
        <v>161</v>
      </c>
      <c r="G1171" s="5" t="s">
        <v>16</v>
      </c>
      <c r="H1171" s="5" t="s">
        <v>17</v>
      </c>
      <c r="I1171" s="5" t="s">
        <v>18</v>
      </c>
      <c r="J1171" s="7">
        <v>45300</v>
      </c>
      <c r="K1171" s="5" t="s">
        <v>17</v>
      </c>
      <c r="L1171" s="8">
        <v>43935</v>
      </c>
      <c r="M1171" s="19">
        <v>222</v>
      </c>
      <c r="N1171" s="19">
        <v>272</v>
      </c>
      <c r="O1171" s="24">
        <v>0</v>
      </c>
      <c r="P1171" s="24">
        <v>15800</v>
      </c>
      <c r="Q1171" t="s">
        <v>1983</v>
      </c>
      <c r="R1171" s="19">
        <f>VLOOKUP(A1171,[1]Sheet1!$A$2:$Q$1536,15,FALSE)</f>
        <v>16066.2607421875</v>
      </c>
      <c r="S1171" s="27">
        <f t="shared" si="54"/>
        <v>1.6572664072875446E-2</v>
      </c>
      <c r="T1171" s="19">
        <f>VLOOKUP(A1171,[1]Sheet1!$A$2:$Q$1536,16,FALSE)</f>
        <v>13321.079141912751</v>
      </c>
      <c r="U1171" s="27">
        <f t="shared" si="55"/>
        <v>-0.18609009312824376</v>
      </c>
      <c r="V1171" s="19">
        <f>VLOOKUP(A1171,[1]Sheet1!$A$2:$Q$1536,17,FALSE)</f>
        <v>16006.7294921875</v>
      </c>
      <c r="W1171" s="27">
        <f t="shared" si="56"/>
        <v>1.2915161231930589E-2</v>
      </c>
    </row>
    <row r="1172" spans="1:23" x14ac:dyDescent="0.3">
      <c r="A1172" s="4" t="s">
        <v>944</v>
      </c>
      <c r="B1172" s="5">
        <v>2018</v>
      </c>
      <c r="C1172" s="5" t="s">
        <v>96</v>
      </c>
      <c r="D1172" s="15" t="s">
        <v>107</v>
      </c>
      <c r="E1172" s="6">
        <v>115674</v>
      </c>
      <c r="F1172" s="5" t="s">
        <v>144</v>
      </c>
      <c r="G1172" s="5" t="s">
        <v>25</v>
      </c>
      <c r="H1172" s="5" t="s">
        <v>18</v>
      </c>
      <c r="I1172" s="5" t="s">
        <v>17</v>
      </c>
      <c r="J1172" s="7">
        <v>45608</v>
      </c>
      <c r="K1172" s="5" t="s">
        <v>17</v>
      </c>
      <c r="L1172" s="8">
        <v>43612</v>
      </c>
      <c r="M1172" s="19">
        <v>264</v>
      </c>
      <c r="N1172" s="19">
        <v>314</v>
      </c>
      <c r="O1172" s="24">
        <v>6200</v>
      </c>
      <c r="P1172" s="24">
        <v>10100</v>
      </c>
      <c r="Q1172" t="s">
        <v>1983</v>
      </c>
      <c r="R1172" s="19">
        <f>VLOOKUP(A1172,[1]Sheet1!$A$2:$Q$1536,15,FALSE)</f>
        <v>3205.460693359375</v>
      </c>
      <c r="S1172" s="27">
        <f t="shared" si="54"/>
        <v>-2.1508731399900696</v>
      </c>
      <c r="T1172" s="19">
        <f>VLOOKUP(A1172,[1]Sheet1!$A$2:$Q$1536,16,FALSE)</f>
        <v>9320.0847501404551</v>
      </c>
      <c r="U1172" s="27">
        <f t="shared" si="55"/>
        <v>-8.3681132818861068E-2</v>
      </c>
      <c r="V1172" s="19">
        <f>VLOOKUP(A1172,[1]Sheet1!$A$2:$Q$1536,17,FALSE)</f>
        <v>3115.02490234375</v>
      </c>
      <c r="W1172" s="27">
        <f t="shared" si="56"/>
        <v>-2.2423496815067971</v>
      </c>
    </row>
    <row r="1173" spans="1:23" x14ac:dyDescent="0.3">
      <c r="A1173" s="4" t="s">
        <v>653</v>
      </c>
      <c r="B1173" s="5">
        <v>2016</v>
      </c>
      <c r="C1173" s="5" t="s">
        <v>636</v>
      </c>
      <c r="D1173" s="15" t="s">
        <v>646</v>
      </c>
      <c r="E1173" s="6">
        <v>97168</v>
      </c>
      <c r="F1173" s="5" t="s">
        <v>158</v>
      </c>
      <c r="G1173" s="5" t="s">
        <v>16</v>
      </c>
      <c r="H1173" s="5" t="s">
        <v>17</v>
      </c>
      <c r="I1173" s="5" t="s">
        <v>18</v>
      </c>
      <c r="J1173" s="7">
        <v>45720</v>
      </c>
      <c r="K1173" s="5" t="s">
        <v>17</v>
      </c>
      <c r="L1173" s="8">
        <v>43608</v>
      </c>
      <c r="M1173" s="19">
        <v>264</v>
      </c>
      <c r="N1173" s="19">
        <v>314</v>
      </c>
      <c r="O1173" s="24">
        <v>8400</v>
      </c>
      <c r="P1173" s="24">
        <v>8500</v>
      </c>
      <c r="Q1173" t="s">
        <v>1983</v>
      </c>
      <c r="R1173" s="19">
        <f>VLOOKUP(A1173,[1]Sheet1!$A$2:$Q$1536,15,FALSE)</f>
        <v>7644.55078125</v>
      </c>
      <c r="S1173" s="27">
        <f t="shared" si="54"/>
        <v>-0.11190313770276519</v>
      </c>
      <c r="T1173" s="19">
        <f>VLOOKUP(A1173,[1]Sheet1!$A$2:$Q$1536,16,FALSE)</f>
        <v>9787.8776047983065</v>
      </c>
      <c r="U1173" s="27">
        <f t="shared" si="55"/>
        <v>0.13157884240061921</v>
      </c>
      <c r="V1173" s="19">
        <f>VLOOKUP(A1173,[1]Sheet1!$A$2:$Q$1536,17,FALSE)</f>
        <v>7710.37646484375</v>
      </c>
      <c r="W1173" s="27">
        <f t="shared" si="56"/>
        <v>-0.10241050339845521</v>
      </c>
    </row>
    <row r="1174" spans="1:23" x14ac:dyDescent="0.3">
      <c r="A1174" s="4" t="s">
        <v>1172</v>
      </c>
      <c r="B1174" s="5">
        <v>2021</v>
      </c>
      <c r="C1174" s="5" t="s">
        <v>636</v>
      </c>
      <c r="D1174" s="15" t="s">
        <v>1164</v>
      </c>
      <c r="E1174" s="6">
        <v>91390</v>
      </c>
      <c r="F1174" s="5" t="s">
        <v>81</v>
      </c>
      <c r="G1174" s="5" t="s">
        <v>33</v>
      </c>
      <c r="H1174" s="5" t="s">
        <v>17</v>
      </c>
      <c r="I1174" s="5" t="s">
        <v>18</v>
      </c>
      <c r="J1174" s="7">
        <v>45680</v>
      </c>
      <c r="K1174" s="5" t="s">
        <v>17</v>
      </c>
      <c r="L1174" s="8">
        <v>44224</v>
      </c>
      <c r="M1174" s="19">
        <v>235</v>
      </c>
      <c r="N1174" s="19">
        <v>285</v>
      </c>
      <c r="O1174" s="24">
        <v>5300</v>
      </c>
      <c r="P1174" s="24">
        <v>11500</v>
      </c>
      <c r="Q1174" t="s">
        <v>1983</v>
      </c>
      <c r="R1174" s="19">
        <f>VLOOKUP(A1174,[1]Sheet1!$A$2:$Q$1536,15,FALSE)</f>
        <v>5593.71630859375</v>
      </c>
      <c r="S1174" s="27">
        <f t="shared" si="54"/>
        <v>-1.0558783044346198</v>
      </c>
      <c r="T1174" s="19">
        <f>VLOOKUP(A1174,[1]Sheet1!$A$2:$Q$1536,16,FALSE)</f>
        <v>11067.35283126403</v>
      </c>
      <c r="U1174" s="27">
        <f t="shared" si="55"/>
        <v>-3.9092199854132252E-2</v>
      </c>
      <c r="V1174" s="19">
        <f>VLOOKUP(A1174,[1]Sheet1!$A$2:$Q$1536,17,FALSE)</f>
        <v>5292.21240234375</v>
      </c>
      <c r="W1174" s="27">
        <f t="shared" si="56"/>
        <v>-1.1730042420268358</v>
      </c>
    </row>
    <row r="1175" spans="1:23" x14ac:dyDescent="0.3">
      <c r="A1175" s="4" t="s">
        <v>247</v>
      </c>
      <c r="B1175" s="5">
        <v>2017</v>
      </c>
      <c r="C1175" s="5" t="s">
        <v>237</v>
      </c>
      <c r="D1175" s="15" t="s">
        <v>248</v>
      </c>
      <c r="E1175" s="6">
        <v>100617</v>
      </c>
      <c r="F1175" s="5" t="s">
        <v>36</v>
      </c>
      <c r="G1175" s="5" t="s">
        <v>28</v>
      </c>
      <c r="H1175" s="5" t="s">
        <v>17</v>
      </c>
      <c r="I1175" s="5" t="s">
        <v>18</v>
      </c>
      <c r="J1175" s="7">
        <v>45302</v>
      </c>
      <c r="K1175" s="5" t="s">
        <v>17</v>
      </c>
      <c r="L1175" s="8">
        <v>44113</v>
      </c>
      <c r="M1175" s="19">
        <v>264</v>
      </c>
      <c r="N1175" s="19">
        <v>314</v>
      </c>
      <c r="O1175" s="24">
        <v>0</v>
      </c>
      <c r="P1175" s="24">
        <v>2900</v>
      </c>
      <c r="Q1175" t="s">
        <v>1983</v>
      </c>
      <c r="R1175" s="19">
        <f>VLOOKUP(A1175,[1]Sheet1!$A$2:$Q$1536,15,FALSE)</f>
        <v>4887.27099609375</v>
      </c>
      <c r="S1175" s="27">
        <f t="shared" si="54"/>
        <v>0.40662181362198174</v>
      </c>
      <c r="T1175" s="19">
        <f>VLOOKUP(A1175,[1]Sheet1!$A$2:$Q$1536,16,FALSE)</f>
        <v>9376.6650953731332</v>
      </c>
      <c r="U1175" s="27">
        <f t="shared" si="55"/>
        <v>0.69072159765725338</v>
      </c>
      <c r="V1175" s="19">
        <f>VLOOKUP(A1175,[1]Sheet1!$A$2:$Q$1536,17,FALSE)</f>
        <v>4811.94873046875</v>
      </c>
      <c r="W1175" s="27">
        <f t="shared" si="56"/>
        <v>0.39733356225566019</v>
      </c>
    </row>
    <row r="1176" spans="1:23" x14ac:dyDescent="0.3">
      <c r="A1176" s="4" t="s">
        <v>379</v>
      </c>
      <c r="B1176" s="5">
        <v>2018</v>
      </c>
      <c r="C1176" s="5" t="s">
        <v>237</v>
      </c>
      <c r="D1176" s="15" t="s">
        <v>380</v>
      </c>
      <c r="E1176" s="6">
        <v>120576</v>
      </c>
      <c r="F1176" s="5" t="s">
        <v>184</v>
      </c>
      <c r="G1176" s="5" t="s">
        <v>33</v>
      </c>
      <c r="H1176" s="5" t="s">
        <v>17</v>
      </c>
      <c r="I1176" s="5" t="s">
        <v>18</v>
      </c>
      <c r="J1176" s="7">
        <v>45680</v>
      </c>
      <c r="K1176" s="5" t="s">
        <v>17</v>
      </c>
      <c r="L1176" s="8">
        <v>43617</v>
      </c>
      <c r="M1176" s="19">
        <v>264</v>
      </c>
      <c r="N1176" s="19">
        <v>314</v>
      </c>
      <c r="O1176" s="24">
        <v>0</v>
      </c>
      <c r="P1176" s="24">
        <v>22600</v>
      </c>
      <c r="Q1176" t="s">
        <v>1983</v>
      </c>
      <c r="R1176" s="19">
        <f>VLOOKUP(A1176,[1]Sheet1!$A$2:$Q$1536,15,FALSE)</f>
        <v>8582.150390625</v>
      </c>
      <c r="S1176" s="27">
        <f t="shared" si="54"/>
        <v>-1.6333726363835186</v>
      </c>
      <c r="T1176" s="19">
        <f>VLOOKUP(A1176,[1]Sheet1!$A$2:$Q$1536,16,FALSE)</f>
        <v>10110.30526507749</v>
      </c>
      <c r="U1176" s="27">
        <f t="shared" si="55"/>
        <v>-1.2353429898960409</v>
      </c>
      <c r="V1176" s="19">
        <f>VLOOKUP(A1176,[1]Sheet1!$A$2:$Q$1536,17,FALSE)</f>
        <v>8541.11328125</v>
      </c>
      <c r="W1176" s="27">
        <f t="shared" si="56"/>
        <v>-1.6460250854666651</v>
      </c>
    </row>
    <row r="1177" spans="1:23" x14ac:dyDescent="0.3">
      <c r="A1177" s="4" t="s">
        <v>555</v>
      </c>
      <c r="B1177" s="5">
        <v>2017</v>
      </c>
      <c r="C1177" s="5" t="s">
        <v>391</v>
      </c>
      <c r="D1177" s="15" t="s">
        <v>547</v>
      </c>
      <c r="E1177" s="6">
        <v>136007</v>
      </c>
      <c r="F1177" s="5" t="s">
        <v>61</v>
      </c>
      <c r="G1177" s="5" t="s">
        <v>28</v>
      </c>
      <c r="H1177" s="5" t="s">
        <v>17</v>
      </c>
      <c r="I1177" s="5" t="s">
        <v>18</v>
      </c>
      <c r="J1177" s="7">
        <v>45412</v>
      </c>
      <c r="K1177" s="5" t="s">
        <v>17</v>
      </c>
      <c r="L1177" s="8">
        <v>44128</v>
      </c>
      <c r="M1177" s="19">
        <v>264</v>
      </c>
      <c r="N1177" s="19">
        <v>314</v>
      </c>
      <c r="O1177" s="24">
        <v>10500</v>
      </c>
      <c r="P1177" s="24">
        <v>22000</v>
      </c>
      <c r="Q1177" t="s">
        <v>1983</v>
      </c>
      <c r="R1177" s="19">
        <f>VLOOKUP(A1177,[1]Sheet1!$A$2:$Q$1536,15,FALSE)</f>
        <v>6025.73388671875</v>
      </c>
      <c r="S1177" s="27">
        <f t="shared" si="54"/>
        <v>-2.651007564155786</v>
      </c>
      <c r="T1177" s="19">
        <f>VLOOKUP(A1177,[1]Sheet1!$A$2:$Q$1536,16,FALSE)</f>
        <v>10619.92050527852</v>
      </c>
      <c r="U1177" s="27">
        <f t="shared" si="55"/>
        <v>-1.0715785950624706</v>
      </c>
      <c r="V1177" s="19">
        <f>VLOOKUP(A1177,[1]Sheet1!$A$2:$Q$1536,17,FALSE)</f>
        <v>5684.71484375</v>
      </c>
      <c r="W1177" s="27">
        <f t="shared" si="56"/>
        <v>-2.870027011854019</v>
      </c>
    </row>
    <row r="1178" spans="1:23" x14ac:dyDescent="0.3">
      <c r="A1178" s="4" t="s">
        <v>1645</v>
      </c>
      <c r="B1178" s="5">
        <v>2019</v>
      </c>
      <c r="C1178" s="5" t="s">
        <v>391</v>
      </c>
      <c r="D1178" s="15" t="s">
        <v>1056</v>
      </c>
      <c r="E1178" s="6">
        <v>114876</v>
      </c>
      <c r="F1178" s="5" t="s">
        <v>32</v>
      </c>
      <c r="G1178" s="5" t="s">
        <v>25</v>
      </c>
      <c r="H1178" s="5" t="s">
        <v>18</v>
      </c>
      <c r="I1178" s="5" t="s">
        <v>17</v>
      </c>
      <c r="J1178" s="7">
        <v>45468</v>
      </c>
      <c r="K1178" s="5" t="s">
        <v>17</v>
      </c>
      <c r="L1178" s="8">
        <v>44054</v>
      </c>
      <c r="M1178" s="19">
        <v>235</v>
      </c>
      <c r="N1178" s="19">
        <v>285</v>
      </c>
      <c r="O1178" s="24">
        <v>2800</v>
      </c>
      <c r="P1178" s="24">
        <v>13100</v>
      </c>
      <c r="Q1178" t="s">
        <v>1983</v>
      </c>
      <c r="R1178" s="19">
        <f>VLOOKUP(A1178,[1]Sheet1!$A$2:$Q$1536,15,FALSE)</f>
        <v>3056.78466796875</v>
      </c>
      <c r="S1178" s="27">
        <f t="shared" si="54"/>
        <v>-3.2855488439442548</v>
      </c>
      <c r="T1178" s="19">
        <f>VLOOKUP(A1178,[1]Sheet1!$A$2:$Q$1536,16,FALSE)</f>
        <v>9415.545152053226</v>
      </c>
      <c r="U1178" s="27">
        <f t="shared" si="55"/>
        <v>-0.39131614669632947</v>
      </c>
      <c r="V1178" s="19">
        <f>VLOOKUP(A1178,[1]Sheet1!$A$2:$Q$1536,17,FALSE)</f>
        <v>3022.21435546875</v>
      </c>
      <c r="W1178" s="27">
        <f t="shared" si="56"/>
        <v>-3.3345701062849229</v>
      </c>
    </row>
    <row r="1179" spans="1:23" x14ac:dyDescent="0.3">
      <c r="A1179" s="4" t="s">
        <v>1529</v>
      </c>
      <c r="B1179" s="5">
        <v>2015</v>
      </c>
      <c r="C1179" s="5" t="s">
        <v>1139</v>
      </c>
      <c r="D1179" s="15" t="s">
        <v>1528</v>
      </c>
      <c r="E1179" s="6">
        <v>164780</v>
      </c>
      <c r="F1179" s="5" t="s">
        <v>164</v>
      </c>
      <c r="G1179" s="5" t="s">
        <v>25</v>
      </c>
      <c r="H1179" s="5" t="s">
        <v>18</v>
      </c>
      <c r="I1179" s="5" t="s">
        <v>17</v>
      </c>
      <c r="J1179" s="7">
        <v>45708</v>
      </c>
      <c r="K1179" s="5" t="s">
        <v>17</v>
      </c>
      <c r="L1179" s="8">
        <v>44146</v>
      </c>
      <c r="M1179" s="19">
        <v>235</v>
      </c>
      <c r="N1179" s="19">
        <v>285</v>
      </c>
      <c r="O1179" s="24">
        <v>2000</v>
      </c>
      <c r="P1179" s="24">
        <v>9600</v>
      </c>
      <c r="Q1179" t="s">
        <v>1983</v>
      </c>
      <c r="R1179" s="19">
        <f>VLOOKUP(A1179,[1]Sheet1!$A$2:$Q$1536,15,FALSE)</f>
        <v>3858.65576171875</v>
      </c>
      <c r="S1179" s="27">
        <f t="shared" si="54"/>
        <v>-1.4879130435112717</v>
      </c>
      <c r="T1179" s="19">
        <f>VLOOKUP(A1179,[1]Sheet1!$A$2:$Q$1536,16,FALSE)</f>
        <v>9112.0132177759333</v>
      </c>
      <c r="U1179" s="27">
        <f t="shared" si="55"/>
        <v>-5.3554222383269859E-2</v>
      </c>
      <c r="V1179" s="19">
        <f>VLOOKUP(A1179,[1]Sheet1!$A$2:$Q$1536,17,FALSE)</f>
        <v>3803.46435546875</v>
      </c>
      <c r="W1179" s="27">
        <f t="shared" si="56"/>
        <v>-1.5240147146894631</v>
      </c>
    </row>
    <row r="1180" spans="1:23" x14ac:dyDescent="0.3">
      <c r="A1180" s="4" t="s">
        <v>1813</v>
      </c>
      <c r="B1180" s="5">
        <v>2018</v>
      </c>
      <c r="C1180" s="5" t="s">
        <v>237</v>
      </c>
      <c r="D1180" s="15" t="s">
        <v>1808</v>
      </c>
      <c r="E1180" s="6">
        <v>67735</v>
      </c>
      <c r="F1180" s="5" t="s">
        <v>81</v>
      </c>
      <c r="G1180" s="5" t="s">
        <v>25</v>
      </c>
      <c r="H1180" s="5" t="s">
        <v>18</v>
      </c>
      <c r="I1180" s="5" t="s">
        <v>17</v>
      </c>
      <c r="J1180" s="7">
        <v>45580</v>
      </c>
      <c r="K1180" s="5" t="s">
        <v>17</v>
      </c>
      <c r="L1180" s="8">
        <v>44128</v>
      </c>
      <c r="M1180" s="19">
        <v>264</v>
      </c>
      <c r="N1180" s="19">
        <v>314</v>
      </c>
      <c r="O1180" s="24">
        <v>7100</v>
      </c>
      <c r="P1180" s="24">
        <v>10500</v>
      </c>
      <c r="Q1180" t="s">
        <v>1983</v>
      </c>
      <c r="R1180" s="19">
        <f>VLOOKUP(A1180,[1]Sheet1!$A$2:$Q$1536,15,FALSE)</f>
        <v>7442.63037109375</v>
      </c>
      <c r="S1180" s="27">
        <f t="shared" si="54"/>
        <v>-0.41079154498666132</v>
      </c>
      <c r="T1180" s="19">
        <f>VLOOKUP(A1180,[1]Sheet1!$A$2:$Q$1536,16,FALSE)</f>
        <v>10116.172262375139</v>
      </c>
      <c r="U1180" s="27">
        <f t="shared" si="55"/>
        <v>-3.7941993045375759E-2</v>
      </c>
      <c r="V1180" s="19">
        <f>VLOOKUP(A1180,[1]Sheet1!$A$2:$Q$1536,17,FALSE)</f>
        <v>7263.35302734375</v>
      </c>
      <c r="W1180" s="27">
        <f t="shared" si="56"/>
        <v>-0.44561333594436486</v>
      </c>
    </row>
    <row r="1181" spans="1:23" x14ac:dyDescent="0.3">
      <c r="A1181" s="4" t="s">
        <v>1950</v>
      </c>
      <c r="B1181" s="5">
        <v>2017</v>
      </c>
      <c r="C1181" s="5" t="s">
        <v>96</v>
      </c>
      <c r="D1181" s="15" t="s">
        <v>1951</v>
      </c>
      <c r="E1181" s="6">
        <v>51149</v>
      </c>
      <c r="F1181" s="5" t="s">
        <v>199</v>
      </c>
      <c r="G1181" s="5" t="s">
        <v>16</v>
      </c>
      <c r="H1181" s="5" t="s">
        <v>17</v>
      </c>
      <c r="I1181" s="5" t="s">
        <v>18</v>
      </c>
      <c r="J1181" s="7">
        <v>45356</v>
      </c>
      <c r="K1181" s="5" t="s">
        <v>17</v>
      </c>
      <c r="L1181" s="8">
        <v>44067</v>
      </c>
      <c r="M1181" s="19">
        <v>235</v>
      </c>
      <c r="N1181" s="19">
        <v>285</v>
      </c>
      <c r="O1181" s="24">
        <v>12500</v>
      </c>
      <c r="P1181" s="24">
        <v>15400</v>
      </c>
      <c r="Q1181" t="s">
        <v>1983</v>
      </c>
      <c r="R1181" s="19">
        <f>VLOOKUP(A1181,[1]Sheet1!$A$2:$Q$1536,15,FALSE)</f>
        <v>14749.951171875</v>
      </c>
      <c r="S1181" s="27">
        <f t="shared" si="54"/>
        <v>-4.4071252884179304E-2</v>
      </c>
      <c r="T1181" s="19">
        <f>VLOOKUP(A1181,[1]Sheet1!$A$2:$Q$1536,16,FALSE)</f>
        <v>12262.25180429494</v>
      </c>
      <c r="U1181" s="27">
        <f t="shared" si="55"/>
        <v>-0.25588678537868892</v>
      </c>
      <c r="V1181" s="19">
        <f>VLOOKUP(A1181,[1]Sheet1!$A$2:$Q$1536,17,FALSE)</f>
        <v>15282.5029296875</v>
      </c>
      <c r="W1181" s="27">
        <f t="shared" si="56"/>
        <v>-7.6883394593860949E-3</v>
      </c>
    </row>
    <row r="1182" spans="1:23" x14ac:dyDescent="0.3">
      <c r="A1182" s="4" t="s">
        <v>1018</v>
      </c>
      <c r="B1182" s="5">
        <v>2019</v>
      </c>
      <c r="C1182" s="5" t="s">
        <v>237</v>
      </c>
      <c r="D1182" s="15" t="s">
        <v>1019</v>
      </c>
      <c r="E1182" s="6">
        <v>90853</v>
      </c>
      <c r="F1182" s="5" t="s">
        <v>59</v>
      </c>
      <c r="G1182" s="5" t="s">
        <v>16</v>
      </c>
      <c r="H1182" s="5" t="s">
        <v>17</v>
      </c>
      <c r="I1182" s="5" t="s">
        <v>18</v>
      </c>
      <c r="J1182" s="7">
        <v>45594</v>
      </c>
      <c r="K1182" s="5" t="s">
        <v>17</v>
      </c>
      <c r="L1182" s="8">
        <v>44113</v>
      </c>
      <c r="M1182" s="19">
        <v>264</v>
      </c>
      <c r="N1182" s="19">
        <v>314</v>
      </c>
      <c r="O1182" s="24">
        <v>0</v>
      </c>
      <c r="P1182" s="24">
        <v>11500</v>
      </c>
      <c r="Q1182" t="s">
        <v>1983</v>
      </c>
      <c r="R1182" s="19">
        <f>VLOOKUP(A1182,[1]Sheet1!$A$2:$Q$1536,15,FALSE)</f>
        <v>12984.0283203125</v>
      </c>
      <c r="S1182" s="27">
        <f t="shared" si="54"/>
        <v>0.11429644819788735</v>
      </c>
      <c r="T1182" s="19">
        <f>VLOOKUP(A1182,[1]Sheet1!$A$2:$Q$1536,16,FALSE)</f>
        <v>10276.57136000233</v>
      </c>
      <c r="U1182" s="27">
        <f t="shared" si="55"/>
        <v>-0.11905027437063334</v>
      </c>
      <c r="V1182" s="19">
        <f>VLOOKUP(A1182,[1]Sheet1!$A$2:$Q$1536,17,FALSE)</f>
        <v>13098.421875</v>
      </c>
      <c r="W1182" s="27">
        <f t="shared" si="56"/>
        <v>0.12203163787622316</v>
      </c>
    </row>
    <row r="1183" spans="1:23" x14ac:dyDescent="0.3">
      <c r="A1183" s="4" t="s">
        <v>149</v>
      </c>
      <c r="B1183" s="5">
        <v>2016</v>
      </c>
      <c r="C1183" s="5" t="s">
        <v>96</v>
      </c>
      <c r="D1183" s="15" t="s">
        <v>140</v>
      </c>
      <c r="E1183" s="6">
        <v>100880</v>
      </c>
      <c r="F1183" s="5" t="s">
        <v>57</v>
      </c>
      <c r="G1183" s="5" t="s">
        <v>25</v>
      </c>
      <c r="H1183" s="5" t="s">
        <v>18</v>
      </c>
      <c r="I1183" s="5" t="s">
        <v>17</v>
      </c>
      <c r="J1183" s="7">
        <v>45701</v>
      </c>
      <c r="K1183" s="5" t="s">
        <v>17</v>
      </c>
      <c r="L1183" s="8">
        <v>44224</v>
      </c>
      <c r="M1183" s="19">
        <v>235</v>
      </c>
      <c r="N1183" s="19">
        <v>285</v>
      </c>
      <c r="O1183" s="24">
        <v>0</v>
      </c>
      <c r="P1183" s="24">
        <v>10500</v>
      </c>
      <c r="Q1183" t="s">
        <v>1983</v>
      </c>
      <c r="R1183" s="19">
        <f>VLOOKUP(A1183,[1]Sheet1!$A$2:$Q$1536,15,FALSE)</f>
        <v>3474.266357421875</v>
      </c>
      <c r="S1183" s="27">
        <f t="shared" si="54"/>
        <v>-2.0222207855679963</v>
      </c>
      <c r="T1183" s="19">
        <f>VLOOKUP(A1183,[1]Sheet1!$A$2:$Q$1536,16,FALSE)</f>
        <v>9180.2645530847603</v>
      </c>
      <c r="U1183" s="27">
        <f t="shared" si="55"/>
        <v>-0.14375788837934753</v>
      </c>
      <c r="V1183" s="19">
        <f>VLOOKUP(A1183,[1]Sheet1!$A$2:$Q$1536,17,FALSE)</f>
        <v>3388.529296875</v>
      </c>
      <c r="W1183" s="27">
        <f t="shared" si="56"/>
        <v>-2.0986894549453665</v>
      </c>
    </row>
    <row r="1184" spans="1:23" x14ac:dyDescent="0.3">
      <c r="A1184" s="4" t="s">
        <v>537</v>
      </c>
      <c r="B1184" s="5">
        <v>2014</v>
      </c>
      <c r="C1184" s="5" t="s">
        <v>535</v>
      </c>
      <c r="D1184" s="15" t="s">
        <v>536</v>
      </c>
      <c r="E1184" s="6">
        <v>92209</v>
      </c>
      <c r="F1184" s="5" t="s">
        <v>246</v>
      </c>
      <c r="G1184" s="5" t="s">
        <v>25</v>
      </c>
      <c r="H1184" s="5" t="s">
        <v>18</v>
      </c>
      <c r="I1184" s="5" t="s">
        <v>17</v>
      </c>
      <c r="J1184" s="7">
        <v>45720</v>
      </c>
      <c r="K1184" s="5" t="s">
        <v>17</v>
      </c>
      <c r="L1184" s="8">
        <v>43608</v>
      </c>
      <c r="M1184" s="19">
        <v>264</v>
      </c>
      <c r="N1184" s="19">
        <v>314</v>
      </c>
      <c r="O1184" s="24">
        <v>7200</v>
      </c>
      <c r="P1184" s="24">
        <v>8000</v>
      </c>
      <c r="Q1184" t="s">
        <v>1983</v>
      </c>
      <c r="R1184" s="19">
        <f>VLOOKUP(A1184,[1]Sheet1!$A$2:$Q$1536,15,FALSE)</f>
        <v>7806.6162109375</v>
      </c>
      <c r="S1184" s="27">
        <f t="shared" si="54"/>
        <v>-2.4771781247752214E-2</v>
      </c>
      <c r="T1184" s="19">
        <f>VLOOKUP(A1184,[1]Sheet1!$A$2:$Q$1536,16,FALSE)</f>
        <v>10222.8879440687</v>
      </c>
      <c r="U1184" s="27">
        <f t="shared" si="55"/>
        <v>0.21744226839133213</v>
      </c>
      <c r="V1184" s="19">
        <f>VLOOKUP(A1184,[1]Sheet1!$A$2:$Q$1536,17,FALSE)</f>
        <v>7566.962890625</v>
      </c>
      <c r="W1184" s="27">
        <f t="shared" si="56"/>
        <v>-5.7227333559611647E-2</v>
      </c>
    </row>
    <row r="1185" spans="1:23" x14ac:dyDescent="0.3">
      <c r="A1185" s="4" t="s">
        <v>1893</v>
      </c>
      <c r="B1185" s="5">
        <v>2013</v>
      </c>
      <c r="C1185" s="5" t="s">
        <v>1894</v>
      </c>
      <c r="D1185" s="15" t="s">
        <v>1895</v>
      </c>
      <c r="E1185" s="6">
        <v>117120</v>
      </c>
      <c r="F1185" s="5" t="s">
        <v>42</v>
      </c>
      <c r="G1185" s="5" t="s">
        <v>25</v>
      </c>
      <c r="H1185" s="5" t="s">
        <v>18</v>
      </c>
      <c r="I1185" s="5" t="s">
        <v>17</v>
      </c>
      <c r="J1185" s="7">
        <v>45568</v>
      </c>
      <c r="K1185" s="5" t="s">
        <v>17</v>
      </c>
      <c r="L1185" s="8">
        <v>43612</v>
      </c>
      <c r="M1185" s="19">
        <v>264</v>
      </c>
      <c r="N1185" s="19">
        <v>314</v>
      </c>
      <c r="O1185" s="24"/>
      <c r="P1185" s="24">
        <v>5000</v>
      </c>
      <c r="R1185" s="19">
        <f>VLOOKUP(A1185,[1]Sheet1!$A$2:$Q$1536,15,FALSE)</f>
        <v>2097.89599609375</v>
      </c>
      <c r="S1185" s="27">
        <f t="shared" si="54"/>
        <v>-1.3833402653467679</v>
      </c>
      <c r="T1185" s="19">
        <f>VLOOKUP(A1185,[1]Sheet1!$A$2:$Q$1536,16,FALSE)</f>
        <v>9295.3222408439142</v>
      </c>
      <c r="U1185" s="27">
        <f t="shared" si="55"/>
        <v>0.46209503334592794</v>
      </c>
      <c r="V1185" s="19">
        <f>VLOOKUP(A1185,[1]Sheet1!$A$2:$Q$1536,17,FALSE)</f>
        <v>2082.649169921875</v>
      </c>
      <c r="W1185" s="27">
        <f t="shared" si="56"/>
        <v>-1.400788415164308</v>
      </c>
    </row>
    <row r="1186" spans="1:23" x14ac:dyDescent="0.3">
      <c r="A1186" s="4" t="s">
        <v>430</v>
      </c>
      <c r="B1186" s="5">
        <v>2016</v>
      </c>
      <c r="C1186" s="5" t="s">
        <v>391</v>
      </c>
      <c r="D1186" s="15" t="s">
        <v>429</v>
      </c>
      <c r="E1186" s="6">
        <v>77831</v>
      </c>
      <c r="F1186" s="5" t="s">
        <v>36</v>
      </c>
      <c r="G1186" s="5" t="s">
        <v>28</v>
      </c>
      <c r="H1186" s="5" t="s">
        <v>17</v>
      </c>
      <c r="I1186" s="5" t="s">
        <v>18</v>
      </c>
      <c r="J1186" s="7">
        <v>45398</v>
      </c>
      <c r="K1186" s="5" t="s">
        <v>17</v>
      </c>
      <c r="L1186" s="8">
        <v>44077</v>
      </c>
      <c r="M1186" s="19">
        <v>280</v>
      </c>
      <c r="N1186" s="19">
        <v>330</v>
      </c>
      <c r="O1186" s="24">
        <v>13900</v>
      </c>
      <c r="P1186" s="24">
        <v>17000</v>
      </c>
      <c r="Q1186" t="s">
        <v>1983</v>
      </c>
      <c r="R1186" s="19">
        <f>VLOOKUP(A1186,[1]Sheet1!$A$2:$Q$1536,15,FALSE)</f>
        <v>6212.7705078125</v>
      </c>
      <c r="S1186" s="27">
        <f t="shared" si="54"/>
        <v>-1.7362993657375017</v>
      </c>
      <c r="T1186" s="19">
        <f>VLOOKUP(A1186,[1]Sheet1!$A$2:$Q$1536,16,FALSE)</f>
        <v>9847.960757533252</v>
      </c>
      <c r="U1186" s="27">
        <f t="shared" si="55"/>
        <v>-0.72624570899064111</v>
      </c>
      <c r="V1186" s="19">
        <f>VLOOKUP(A1186,[1]Sheet1!$A$2:$Q$1536,17,FALSE)</f>
        <v>6192.2958984375</v>
      </c>
      <c r="W1186" s="27">
        <f t="shared" si="56"/>
        <v>-1.7453468436948572</v>
      </c>
    </row>
    <row r="1187" spans="1:23" x14ac:dyDescent="0.3">
      <c r="A1187" s="4" t="s">
        <v>1410</v>
      </c>
      <c r="B1187" s="5">
        <v>2015</v>
      </c>
      <c r="C1187" s="5" t="s">
        <v>1086</v>
      </c>
      <c r="D1187" s="15" t="s">
        <v>1411</v>
      </c>
      <c r="E1187" s="6">
        <v>115765</v>
      </c>
      <c r="F1187" s="5" t="s">
        <v>21</v>
      </c>
      <c r="G1187" s="5" t="s">
        <v>22</v>
      </c>
      <c r="H1187" s="5" t="s">
        <v>18</v>
      </c>
      <c r="I1187" s="5" t="s">
        <v>17</v>
      </c>
      <c r="J1187" s="7">
        <v>45426</v>
      </c>
      <c r="K1187" s="5" t="s">
        <v>17</v>
      </c>
      <c r="L1187" s="8">
        <v>44035</v>
      </c>
      <c r="M1187" s="19">
        <v>222</v>
      </c>
      <c r="N1187" s="19">
        <v>272</v>
      </c>
      <c r="O1187" s="24">
        <v>1100</v>
      </c>
      <c r="P1187" s="24">
        <v>8500</v>
      </c>
      <c r="Q1187" t="s">
        <v>1983</v>
      </c>
      <c r="R1187" s="19">
        <f>VLOOKUP(A1187,[1]Sheet1!$A$2:$Q$1536,15,FALSE)</f>
        <v>1592.109252929688</v>
      </c>
      <c r="S1187" s="27">
        <f t="shared" si="54"/>
        <v>-4.3388295962471766</v>
      </c>
      <c r="T1187" s="19">
        <f>VLOOKUP(A1187,[1]Sheet1!$A$2:$Q$1536,16,FALSE)</f>
        <v>8543.723584232861</v>
      </c>
      <c r="U1187" s="27">
        <f t="shared" si="55"/>
        <v>5.1176262670238164E-3</v>
      </c>
      <c r="V1187" s="19">
        <f>VLOOKUP(A1187,[1]Sheet1!$A$2:$Q$1536,17,FALSE)</f>
        <v>1570.739379882812</v>
      </c>
      <c r="W1187" s="27">
        <f t="shared" si="56"/>
        <v>-4.4114642498070928</v>
      </c>
    </row>
    <row r="1188" spans="1:23" x14ac:dyDescent="0.3">
      <c r="A1188" s="4" t="s">
        <v>1141</v>
      </c>
      <c r="B1188" s="5">
        <v>2017</v>
      </c>
      <c r="C1188" s="5" t="s">
        <v>636</v>
      </c>
      <c r="D1188" s="15" t="s">
        <v>1142</v>
      </c>
      <c r="E1188" s="6">
        <v>55758</v>
      </c>
      <c r="F1188" s="5" t="s">
        <v>57</v>
      </c>
      <c r="G1188" s="5" t="s">
        <v>33</v>
      </c>
      <c r="H1188" s="5" t="s">
        <v>17</v>
      </c>
      <c r="I1188" s="5" t="s">
        <v>18</v>
      </c>
      <c r="J1188" s="7">
        <v>45454</v>
      </c>
      <c r="K1188" s="5" t="s">
        <v>17</v>
      </c>
      <c r="L1188" s="8">
        <v>43612</v>
      </c>
      <c r="M1188" s="19">
        <v>264</v>
      </c>
      <c r="N1188" s="19">
        <v>314</v>
      </c>
      <c r="O1188" s="24">
        <v>6900</v>
      </c>
      <c r="P1188" s="24">
        <v>7500</v>
      </c>
      <c r="Q1188" t="s">
        <v>1983</v>
      </c>
      <c r="R1188" s="19">
        <f>VLOOKUP(A1188,[1]Sheet1!$A$2:$Q$1536,15,FALSE)</f>
        <v>5333.55615234375</v>
      </c>
      <c r="S1188" s="27">
        <f t="shared" si="54"/>
        <v>-0.40619125134817213</v>
      </c>
      <c r="T1188" s="19">
        <f>VLOOKUP(A1188,[1]Sheet1!$A$2:$Q$1536,16,FALSE)</f>
        <v>10753.26960589083</v>
      </c>
      <c r="U1188" s="27">
        <f t="shared" si="55"/>
        <v>0.30253771412079461</v>
      </c>
      <c r="V1188" s="19">
        <f>VLOOKUP(A1188,[1]Sheet1!$A$2:$Q$1536,17,FALSE)</f>
        <v>5027.3564453125</v>
      </c>
      <c r="W1188" s="27">
        <f t="shared" si="56"/>
        <v>-0.49183772457451058</v>
      </c>
    </row>
    <row r="1189" spans="1:23" x14ac:dyDescent="0.3">
      <c r="A1189" s="4" t="s">
        <v>1763</v>
      </c>
      <c r="B1189" s="5">
        <v>2020</v>
      </c>
      <c r="C1189" s="5" t="s">
        <v>1086</v>
      </c>
      <c r="D1189" s="15" t="s">
        <v>1758</v>
      </c>
      <c r="E1189" s="6">
        <v>15019</v>
      </c>
      <c r="F1189" s="5" t="s">
        <v>15</v>
      </c>
      <c r="G1189" s="5" t="s">
        <v>16</v>
      </c>
      <c r="H1189" s="5" t="s">
        <v>17</v>
      </c>
      <c r="I1189" s="5" t="s">
        <v>18</v>
      </c>
      <c r="J1189" s="7">
        <v>45449</v>
      </c>
      <c r="K1189" s="5" t="s">
        <v>17</v>
      </c>
      <c r="L1189" s="8">
        <v>44307</v>
      </c>
      <c r="M1189" s="19">
        <v>235</v>
      </c>
      <c r="N1189" s="19">
        <v>285</v>
      </c>
      <c r="O1189" s="24">
        <v>13300</v>
      </c>
      <c r="P1189" s="24">
        <v>13800</v>
      </c>
      <c r="Q1189" t="s">
        <v>1983</v>
      </c>
      <c r="R1189" s="19">
        <f>VLOOKUP(A1189,[1]Sheet1!$A$2:$Q$1536,15,FALSE)</f>
        <v>17948.388671875</v>
      </c>
      <c r="S1189" s="27">
        <f t="shared" si="54"/>
        <v>0.23112875187372647</v>
      </c>
      <c r="T1189" s="19">
        <f>VLOOKUP(A1189,[1]Sheet1!$A$2:$Q$1536,16,FALSE)</f>
        <v>13258.314009078331</v>
      </c>
      <c r="U1189" s="27">
        <f t="shared" si="55"/>
        <v>-4.0856325363146616E-2</v>
      </c>
      <c r="V1189" s="19">
        <f>VLOOKUP(A1189,[1]Sheet1!$A$2:$Q$1536,17,FALSE)</f>
        <v>17773.84765625</v>
      </c>
      <c r="W1189" s="27">
        <f t="shared" si="56"/>
        <v>0.22357835698297071</v>
      </c>
    </row>
    <row r="1190" spans="1:23" x14ac:dyDescent="0.3">
      <c r="A1190" s="4" t="s">
        <v>141</v>
      </c>
      <c r="B1190" s="5">
        <v>2015</v>
      </c>
      <c r="C1190" s="5" t="s">
        <v>96</v>
      </c>
      <c r="D1190" s="15" t="s">
        <v>140</v>
      </c>
      <c r="E1190" s="6">
        <v>123561</v>
      </c>
      <c r="F1190" s="5" t="s">
        <v>73</v>
      </c>
      <c r="G1190" s="5" t="s">
        <v>25</v>
      </c>
      <c r="H1190" s="5" t="s">
        <v>18</v>
      </c>
      <c r="I1190" s="5" t="s">
        <v>17</v>
      </c>
      <c r="J1190" s="7">
        <v>45617</v>
      </c>
      <c r="K1190" s="5" t="s">
        <v>17</v>
      </c>
      <c r="L1190" s="8">
        <v>44444</v>
      </c>
      <c r="M1190" s="19">
        <v>264</v>
      </c>
      <c r="N1190" s="19">
        <v>314</v>
      </c>
      <c r="O1190" s="24">
        <v>0</v>
      </c>
      <c r="P1190" s="24">
        <v>9600</v>
      </c>
      <c r="Q1190" t="s">
        <v>1983</v>
      </c>
      <c r="R1190" s="19">
        <f>VLOOKUP(A1190,[1]Sheet1!$A$2:$Q$1536,15,FALSE)</f>
        <v>2839.744873046875</v>
      </c>
      <c r="S1190" s="27">
        <f t="shared" si="54"/>
        <v>-2.3805853797351095</v>
      </c>
      <c r="T1190" s="19">
        <f>VLOOKUP(A1190,[1]Sheet1!$A$2:$Q$1536,16,FALSE)</f>
        <v>9196.4892335764544</v>
      </c>
      <c r="U1190" s="27">
        <f t="shared" si="55"/>
        <v>-4.3876609451172374E-2</v>
      </c>
      <c r="V1190" s="19">
        <f>VLOOKUP(A1190,[1]Sheet1!$A$2:$Q$1536,17,FALSE)</f>
        <v>2671.37451171875</v>
      </c>
      <c r="W1190" s="27">
        <f t="shared" si="56"/>
        <v>-2.5936556098318855</v>
      </c>
    </row>
    <row r="1191" spans="1:23" x14ac:dyDescent="0.3">
      <c r="A1191" s="4" t="s">
        <v>1266</v>
      </c>
      <c r="B1191" s="5">
        <v>2017</v>
      </c>
      <c r="C1191" s="5" t="s">
        <v>519</v>
      </c>
      <c r="D1191" s="15" t="s">
        <v>1267</v>
      </c>
      <c r="E1191" s="6">
        <v>113122</v>
      </c>
      <c r="F1191" s="5" t="s">
        <v>24</v>
      </c>
      <c r="G1191" s="5" t="s">
        <v>25</v>
      </c>
      <c r="H1191" s="5" t="s">
        <v>18</v>
      </c>
      <c r="I1191" s="5" t="s">
        <v>17</v>
      </c>
      <c r="J1191" s="7">
        <v>45664</v>
      </c>
      <c r="K1191" s="5" t="s">
        <v>17</v>
      </c>
      <c r="L1191" s="8">
        <v>44907</v>
      </c>
      <c r="M1191" s="19">
        <v>128</v>
      </c>
      <c r="N1191" s="19">
        <v>158</v>
      </c>
      <c r="O1191" s="24">
        <v>6200</v>
      </c>
      <c r="P1191" s="24">
        <v>12300</v>
      </c>
      <c r="Q1191" t="s">
        <v>1983</v>
      </c>
      <c r="R1191" s="19">
        <f>VLOOKUP(A1191,[1]Sheet1!$A$2:$Q$1536,15,FALSE)</f>
        <v>2870.773681640625</v>
      </c>
      <c r="S1191" s="27">
        <f t="shared" si="54"/>
        <v>-3.2845592735720794</v>
      </c>
      <c r="T1191" s="19">
        <f>VLOOKUP(A1191,[1]Sheet1!$A$2:$Q$1536,16,FALSE)</f>
        <v>9054.4935934040259</v>
      </c>
      <c r="U1191" s="27">
        <f t="shared" si="55"/>
        <v>-0.35844151559842563</v>
      </c>
      <c r="V1191" s="19">
        <f>VLOOKUP(A1191,[1]Sheet1!$A$2:$Q$1536,17,FALSE)</f>
        <v>2692.84326171875</v>
      </c>
      <c r="W1191" s="27">
        <f t="shared" si="56"/>
        <v>-3.5676628026799189</v>
      </c>
    </row>
    <row r="1192" spans="1:23" x14ac:dyDescent="0.3">
      <c r="A1192" s="4" t="s">
        <v>874</v>
      </c>
      <c r="B1192" s="5">
        <v>2020</v>
      </c>
      <c r="C1192" s="5" t="s">
        <v>391</v>
      </c>
      <c r="D1192" s="15" t="s">
        <v>580</v>
      </c>
      <c r="E1192" s="6">
        <v>103400</v>
      </c>
      <c r="F1192" s="5" t="s">
        <v>103</v>
      </c>
      <c r="G1192" s="5" t="s">
        <v>28</v>
      </c>
      <c r="H1192" s="5" t="s">
        <v>17</v>
      </c>
      <c r="I1192" s="5" t="s">
        <v>18</v>
      </c>
      <c r="J1192" s="7">
        <v>45575</v>
      </c>
      <c r="K1192" s="5" t="s">
        <v>17</v>
      </c>
      <c r="L1192" s="8">
        <v>44444</v>
      </c>
      <c r="M1192" s="19">
        <v>264</v>
      </c>
      <c r="N1192" s="19">
        <v>314</v>
      </c>
      <c r="O1192" s="24">
        <v>0</v>
      </c>
      <c r="P1192" s="24">
        <v>17400</v>
      </c>
      <c r="Q1192" t="s">
        <v>1983</v>
      </c>
      <c r="R1192" s="19">
        <f>VLOOKUP(A1192,[1]Sheet1!$A$2:$Q$1536,15,FALSE)</f>
        <v>11022.92578125</v>
      </c>
      <c r="S1192" s="27">
        <f t="shared" si="54"/>
        <v>-0.57852827328270728</v>
      </c>
      <c r="T1192" s="19">
        <f>VLOOKUP(A1192,[1]Sheet1!$A$2:$Q$1536,16,FALSE)</f>
        <v>10932.85469798741</v>
      </c>
      <c r="U1192" s="27">
        <f t="shared" si="55"/>
        <v>-0.59153308816983574</v>
      </c>
      <c r="V1192" s="19">
        <f>VLOOKUP(A1192,[1]Sheet1!$A$2:$Q$1536,17,FALSE)</f>
        <v>11070.955078125</v>
      </c>
      <c r="W1192" s="27">
        <f t="shared" si="56"/>
        <v>-0.57168011948494879</v>
      </c>
    </row>
    <row r="1193" spans="1:23" x14ac:dyDescent="0.3">
      <c r="A1193" s="4" t="s">
        <v>772</v>
      </c>
      <c r="B1193" s="5">
        <v>2014</v>
      </c>
      <c r="C1193" s="5" t="s">
        <v>237</v>
      </c>
      <c r="D1193" s="15" t="s">
        <v>773</v>
      </c>
      <c r="E1193" s="6">
        <v>135548</v>
      </c>
      <c r="F1193" s="5" t="s">
        <v>112</v>
      </c>
      <c r="G1193" s="5" t="s">
        <v>134</v>
      </c>
      <c r="H1193" s="5" t="s">
        <v>18</v>
      </c>
      <c r="I1193" s="5" t="s">
        <v>17</v>
      </c>
      <c r="J1193" s="7">
        <v>45701</v>
      </c>
      <c r="K1193" s="5" t="s">
        <v>17</v>
      </c>
      <c r="L1193" s="8">
        <v>44128</v>
      </c>
      <c r="M1193" s="19">
        <v>264</v>
      </c>
      <c r="N1193" s="19">
        <v>314</v>
      </c>
      <c r="O1193" s="24">
        <v>0</v>
      </c>
      <c r="P1193" s="24">
        <v>2900</v>
      </c>
      <c r="Q1193" t="s">
        <v>1983</v>
      </c>
      <c r="R1193" s="19">
        <f>VLOOKUP(A1193,[1]Sheet1!$A$2:$Q$1536,15,FALSE)</f>
        <v>1758.700073242188</v>
      </c>
      <c r="S1193" s="27">
        <f t="shared" si="54"/>
        <v>-0.64894517497449677</v>
      </c>
      <c r="T1193" s="19">
        <f>VLOOKUP(A1193,[1]Sheet1!$A$2:$Q$1536,16,FALSE)</f>
        <v>9190.1972929737076</v>
      </c>
      <c r="U1193" s="27">
        <f t="shared" si="55"/>
        <v>0.68444638264543334</v>
      </c>
      <c r="V1193" s="19">
        <f>VLOOKUP(A1193,[1]Sheet1!$A$2:$Q$1536,17,FALSE)</f>
        <v>1717.7763671875</v>
      </c>
      <c r="W1193" s="27">
        <f t="shared" si="56"/>
        <v>-0.68822907067242067</v>
      </c>
    </row>
    <row r="1194" spans="1:23" x14ac:dyDescent="0.3">
      <c r="A1194" s="4" t="s">
        <v>1204</v>
      </c>
      <c r="B1194" s="5">
        <v>2015</v>
      </c>
      <c r="C1194" s="5" t="s">
        <v>684</v>
      </c>
      <c r="D1194" s="15" t="s">
        <v>1187</v>
      </c>
      <c r="E1194" s="6">
        <v>133336</v>
      </c>
      <c r="F1194" s="5" t="s">
        <v>103</v>
      </c>
      <c r="G1194" s="5" t="s">
        <v>25</v>
      </c>
      <c r="H1194" s="5" t="s">
        <v>18</v>
      </c>
      <c r="I1194" s="5" t="s">
        <v>17</v>
      </c>
      <c r="J1194" s="7">
        <v>45666</v>
      </c>
      <c r="K1194" s="5" t="s">
        <v>17</v>
      </c>
      <c r="L1194" s="8">
        <v>44662</v>
      </c>
      <c r="M1194" s="19">
        <v>235</v>
      </c>
      <c r="N1194" s="19">
        <v>285</v>
      </c>
      <c r="O1194" s="24">
        <v>3300</v>
      </c>
      <c r="P1194" s="24">
        <v>4500</v>
      </c>
      <c r="Q1194" t="s">
        <v>1983</v>
      </c>
      <c r="R1194" s="19">
        <f>VLOOKUP(A1194,[1]Sheet1!$A$2:$Q$1536,15,FALSE)</f>
        <v>3181.325439453125</v>
      </c>
      <c r="S1194" s="27">
        <f t="shared" si="54"/>
        <v>-0.41450476716194029</v>
      </c>
      <c r="T1194" s="19">
        <f>VLOOKUP(A1194,[1]Sheet1!$A$2:$Q$1536,16,FALSE)</f>
        <v>8936.3605561875611</v>
      </c>
      <c r="U1194" s="27">
        <f t="shared" si="55"/>
        <v>0.49643929744036713</v>
      </c>
      <c r="V1194" s="19">
        <f>VLOOKUP(A1194,[1]Sheet1!$A$2:$Q$1536,17,FALSE)</f>
        <v>3044.94580078125</v>
      </c>
      <c r="W1194" s="27">
        <f t="shared" si="56"/>
        <v>-0.47785881733770852</v>
      </c>
    </row>
    <row r="1195" spans="1:23" x14ac:dyDescent="0.3">
      <c r="A1195" s="4" t="s">
        <v>1744</v>
      </c>
      <c r="B1195" s="5">
        <v>2015</v>
      </c>
      <c r="C1195" s="5" t="s">
        <v>1086</v>
      </c>
      <c r="D1195" s="15" t="s">
        <v>1411</v>
      </c>
      <c r="E1195" s="6">
        <v>131638</v>
      </c>
      <c r="F1195" s="5" t="s">
        <v>112</v>
      </c>
      <c r="G1195" s="5" t="s">
        <v>22</v>
      </c>
      <c r="H1195" s="5" t="s">
        <v>18</v>
      </c>
      <c r="I1195" s="5" t="s">
        <v>17</v>
      </c>
      <c r="J1195" s="7">
        <v>45715</v>
      </c>
      <c r="K1195" s="5" t="s">
        <v>17</v>
      </c>
      <c r="L1195" s="8">
        <v>44307</v>
      </c>
      <c r="M1195" s="19">
        <v>235</v>
      </c>
      <c r="N1195" s="19">
        <v>285</v>
      </c>
      <c r="O1195" s="24">
        <v>900</v>
      </c>
      <c r="P1195" s="24">
        <v>1400</v>
      </c>
      <c r="Q1195" t="s">
        <v>1983</v>
      </c>
      <c r="R1195" s="19">
        <f>VLOOKUP(A1195,[1]Sheet1!$A$2:$Q$1536,15,FALSE)</f>
        <v>928.0894775390625</v>
      </c>
      <c r="S1195" s="27">
        <f t="shared" si="54"/>
        <v>-0.50847524283139522</v>
      </c>
      <c r="T1195" s="19">
        <f>VLOOKUP(A1195,[1]Sheet1!$A$2:$Q$1536,16,FALSE)</f>
        <v>8517.1996414880796</v>
      </c>
      <c r="U1195" s="27">
        <f t="shared" si="55"/>
        <v>0.83562672487087553</v>
      </c>
      <c r="V1195" s="19">
        <f>VLOOKUP(A1195,[1]Sheet1!$A$2:$Q$1536,17,FALSE)</f>
        <v>1093.274536132812</v>
      </c>
      <c r="W1195" s="27">
        <f t="shared" si="56"/>
        <v>-0.28055667056158951</v>
      </c>
    </row>
    <row r="1196" spans="1:23" x14ac:dyDescent="0.3">
      <c r="A1196" s="4" t="s">
        <v>952</v>
      </c>
      <c r="B1196" s="5">
        <v>2018</v>
      </c>
      <c r="C1196" s="5" t="s">
        <v>96</v>
      </c>
      <c r="D1196" s="15" t="s">
        <v>107</v>
      </c>
      <c r="E1196" s="6">
        <v>127778</v>
      </c>
      <c r="F1196" s="5" t="s">
        <v>92</v>
      </c>
      <c r="G1196" s="5" t="s">
        <v>25</v>
      </c>
      <c r="H1196" s="5" t="s">
        <v>18</v>
      </c>
      <c r="I1196" s="5" t="s">
        <v>17</v>
      </c>
      <c r="J1196" s="7">
        <v>45678</v>
      </c>
      <c r="K1196" s="5" t="s">
        <v>17</v>
      </c>
      <c r="L1196" s="8">
        <v>44224</v>
      </c>
      <c r="M1196" s="19">
        <v>235</v>
      </c>
      <c r="N1196" s="19">
        <v>285</v>
      </c>
      <c r="O1196" s="24">
        <v>7100</v>
      </c>
      <c r="P1196" s="24">
        <v>14800</v>
      </c>
      <c r="Q1196" t="s">
        <v>1983</v>
      </c>
      <c r="R1196" s="19">
        <f>VLOOKUP(A1196,[1]Sheet1!$A$2:$Q$1536,15,FALSE)</f>
        <v>7014.26220703125</v>
      </c>
      <c r="S1196" s="27">
        <f t="shared" si="54"/>
        <v>-1.109986704683517</v>
      </c>
      <c r="T1196" s="19">
        <f>VLOOKUP(A1196,[1]Sheet1!$A$2:$Q$1536,16,FALSE)</f>
        <v>10144.261907711099</v>
      </c>
      <c r="U1196" s="27">
        <f t="shared" si="55"/>
        <v>-0.45895286760585996</v>
      </c>
      <c r="V1196" s="19">
        <f>VLOOKUP(A1196,[1]Sheet1!$A$2:$Q$1536,17,FALSE)</f>
        <v>6943.591796875</v>
      </c>
      <c r="W1196" s="27">
        <f t="shared" si="56"/>
        <v>-1.1314617035322869</v>
      </c>
    </row>
    <row r="1197" spans="1:23" x14ac:dyDescent="0.3">
      <c r="A1197" s="4" t="s">
        <v>1015</v>
      </c>
      <c r="B1197" s="5">
        <v>2020</v>
      </c>
      <c r="C1197" s="5" t="s">
        <v>237</v>
      </c>
      <c r="D1197" s="15" t="s">
        <v>241</v>
      </c>
      <c r="E1197" s="6">
        <v>117890</v>
      </c>
      <c r="F1197" s="5" t="s">
        <v>199</v>
      </c>
      <c r="G1197" s="5" t="s">
        <v>16</v>
      </c>
      <c r="H1197" s="5" t="s">
        <v>17</v>
      </c>
      <c r="I1197" s="5" t="s">
        <v>18</v>
      </c>
      <c r="J1197" s="7">
        <v>45692</v>
      </c>
      <c r="K1197" s="5" t="s">
        <v>17</v>
      </c>
      <c r="L1197" s="8">
        <v>44035</v>
      </c>
      <c r="M1197" s="19">
        <v>222</v>
      </c>
      <c r="N1197" s="19">
        <v>272</v>
      </c>
      <c r="O1197" s="24">
        <v>6000</v>
      </c>
      <c r="P1197" s="24">
        <v>18800</v>
      </c>
      <c r="Q1197" t="s">
        <v>1983</v>
      </c>
      <c r="R1197" s="19">
        <f>VLOOKUP(A1197,[1]Sheet1!$A$2:$Q$1536,15,FALSE)</f>
        <v>11970.375</v>
      </c>
      <c r="S1197" s="27">
        <f t="shared" si="54"/>
        <v>-0.5705439470359116</v>
      </c>
      <c r="T1197" s="19">
        <f>VLOOKUP(A1197,[1]Sheet1!$A$2:$Q$1536,16,FALSE)</f>
        <v>11412.23917918261</v>
      </c>
      <c r="U1197" s="27">
        <f t="shared" si="55"/>
        <v>-0.64735418744934947</v>
      </c>
      <c r="V1197" s="19">
        <f>VLOOKUP(A1197,[1]Sheet1!$A$2:$Q$1536,17,FALSE)</f>
        <v>11637.9228515625</v>
      </c>
      <c r="W1197" s="27">
        <f t="shared" si="56"/>
        <v>-0.61540854324153937</v>
      </c>
    </row>
    <row r="1198" spans="1:23" x14ac:dyDescent="0.3">
      <c r="A1198" s="4" t="s">
        <v>1611</v>
      </c>
      <c r="B1198" s="5">
        <v>2017</v>
      </c>
      <c r="C1198" s="5" t="s">
        <v>519</v>
      </c>
      <c r="D1198" s="15" t="s">
        <v>1607</v>
      </c>
      <c r="E1198" s="6">
        <v>98175</v>
      </c>
      <c r="F1198" s="5" t="s">
        <v>57</v>
      </c>
      <c r="G1198" s="5" t="s">
        <v>25</v>
      </c>
      <c r="H1198" s="5" t="s">
        <v>18</v>
      </c>
      <c r="I1198" s="5" t="s">
        <v>17</v>
      </c>
      <c r="J1198" s="7">
        <v>45664</v>
      </c>
      <c r="K1198" s="5" t="s">
        <v>17</v>
      </c>
      <c r="L1198" s="8">
        <v>44430</v>
      </c>
      <c r="M1198" s="19">
        <v>264</v>
      </c>
      <c r="N1198" s="19">
        <v>314</v>
      </c>
      <c r="O1198" s="24">
        <v>5700</v>
      </c>
      <c r="P1198" s="24">
        <v>9000</v>
      </c>
      <c r="Q1198" t="s">
        <v>1983</v>
      </c>
      <c r="R1198" s="19">
        <f>VLOOKUP(A1198,[1]Sheet1!$A$2:$Q$1536,15,FALSE)</f>
        <v>3532.489990234375</v>
      </c>
      <c r="S1198" s="27">
        <f t="shared" si="54"/>
        <v>-1.5477779200735582</v>
      </c>
      <c r="T1198" s="19">
        <f>VLOOKUP(A1198,[1]Sheet1!$A$2:$Q$1536,16,FALSE)</f>
        <v>9209.9676328458518</v>
      </c>
      <c r="U1198" s="27">
        <f t="shared" si="55"/>
        <v>2.279786870227821E-2</v>
      </c>
      <c r="V1198" s="19">
        <f>VLOOKUP(A1198,[1]Sheet1!$A$2:$Q$1536,17,FALSE)</f>
        <v>3454.8212890625</v>
      </c>
      <c r="W1198" s="27">
        <f t="shared" si="56"/>
        <v>-1.6050551524887238</v>
      </c>
    </row>
    <row r="1199" spans="1:23" x14ac:dyDescent="0.3">
      <c r="A1199" s="4" t="s">
        <v>1852</v>
      </c>
      <c r="B1199" s="5">
        <v>2012</v>
      </c>
      <c r="C1199" s="5" t="s">
        <v>1845</v>
      </c>
      <c r="D1199" s="15" t="s">
        <v>1853</v>
      </c>
      <c r="E1199" s="6">
        <v>95173</v>
      </c>
      <c r="F1199" s="5" t="s">
        <v>87</v>
      </c>
      <c r="G1199" s="5" t="s">
        <v>22</v>
      </c>
      <c r="H1199" s="5" t="s">
        <v>18</v>
      </c>
      <c r="I1199" s="5" t="s">
        <v>17</v>
      </c>
      <c r="J1199" s="7">
        <v>45482</v>
      </c>
      <c r="K1199" s="5" t="s">
        <v>17</v>
      </c>
      <c r="L1199" s="8">
        <v>44113</v>
      </c>
      <c r="M1199" s="19">
        <v>264</v>
      </c>
      <c r="N1199" s="19">
        <v>314</v>
      </c>
      <c r="O1199" s="24">
        <v>2000</v>
      </c>
      <c r="P1199" s="24">
        <v>3600</v>
      </c>
      <c r="Q1199" t="s">
        <v>1983</v>
      </c>
      <c r="R1199" s="19">
        <f>VLOOKUP(A1199,[1]Sheet1!$A$2:$Q$1536,15,FALSE)</f>
        <v>2830.19580078125</v>
      </c>
      <c r="S1199" s="27">
        <f t="shared" si="54"/>
        <v>-0.27199679930492882</v>
      </c>
      <c r="T1199" s="19">
        <f>VLOOKUP(A1199,[1]Sheet1!$A$2:$Q$1536,16,FALSE)</f>
        <v>9156.4152025944768</v>
      </c>
      <c r="U1199" s="27">
        <f t="shared" si="55"/>
        <v>0.60683303232252539</v>
      </c>
      <c r="V1199" s="19">
        <f>VLOOKUP(A1199,[1]Sheet1!$A$2:$Q$1536,17,FALSE)</f>
        <v>2664.12353515625</v>
      </c>
      <c r="W1199" s="27">
        <f t="shared" si="56"/>
        <v>-0.35128868931705193</v>
      </c>
    </row>
    <row r="1200" spans="1:23" x14ac:dyDescent="0.3">
      <c r="A1200" s="4" t="s">
        <v>1392</v>
      </c>
      <c r="B1200" s="5">
        <v>2013</v>
      </c>
      <c r="C1200" s="5" t="s">
        <v>1089</v>
      </c>
      <c r="D1200" s="15" t="s">
        <v>1363</v>
      </c>
      <c r="E1200" s="6">
        <v>116096</v>
      </c>
      <c r="F1200" s="5" t="s">
        <v>27</v>
      </c>
      <c r="G1200" s="5" t="s">
        <v>25</v>
      </c>
      <c r="H1200" s="5" t="s">
        <v>18</v>
      </c>
      <c r="I1200" s="5" t="s">
        <v>17</v>
      </c>
      <c r="J1200" s="7">
        <v>45701</v>
      </c>
      <c r="K1200" s="5" t="s">
        <v>17</v>
      </c>
      <c r="L1200" s="8">
        <v>44067</v>
      </c>
      <c r="M1200" s="19">
        <v>235</v>
      </c>
      <c r="N1200" s="19">
        <v>285</v>
      </c>
      <c r="O1200" s="24">
        <v>2000</v>
      </c>
      <c r="P1200" s="24">
        <v>3500</v>
      </c>
      <c r="Q1200" t="s">
        <v>1983</v>
      </c>
      <c r="R1200" s="19">
        <f>VLOOKUP(A1200,[1]Sheet1!$A$2:$Q$1536,15,FALSE)</f>
        <v>791.76654052734375</v>
      </c>
      <c r="S1200" s="27">
        <f t="shared" si="54"/>
        <v>-3.4204949576031334</v>
      </c>
      <c r="T1200" s="19">
        <f>VLOOKUP(A1200,[1]Sheet1!$A$2:$Q$1536,16,FALSE)</f>
        <v>8556.4587647161297</v>
      </c>
      <c r="U1200" s="27">
        <f t="shared" si="55"/>
        <v>0.59095227403738715</v>
      </c>
      <c r="V1200" s="19">
        <f>VLOOKUP(A1200,[1]Sheet1!$A$2:$Q$1536,17,FALSE)</f>
        <v>1089.763549804688</v>
      </c>
      <c r="W1200" s="27">
        <f t="shared" si="56"/>
        <v>-2.2117058793417019</v>
      </c>
    </row>
    <row r="1201" spans="1:23" x14ac:dyDescent="0.3">
      <c r="A1201" s="4" t="s">
        <v>892</v>
      </c>
      <c r="B1201" s="5">
        <v>2017</v>
      </c>
      <c r="C1201" s="5" t="s">
        <v>391</v>
      </c>
      <c r="D1201" s="15" t="s">
        <v>590</v>
      </c>
      <c r="E1201" s="6">
        <v>99999</v>
      </c>
      <c r="F1201" s="5" t="s">
        <v>79</v>
      </c>
      <c r="G1201" s="5" t="s">
        <v>22</v>
      </c>
      <c r="H1201" s="5" t="s">
        <v>18</v>
      </c>
      <c r="I1201" s="5" t="s">
        <v>17</v>
      </c>
      <c r="J1201" s="7">
        <v>45701</v>
      </c>
      <c r="K1201" s="5" t="s">
        <v>17</v>
      </c>
      <c r="L1201" s="8">
        <v>44451</v>
      </c>
      <c r="M1201" s="19">
        <v>264</v>
      </c>
      <c r="N1201" s="19">
        <v>314</v>
      </c>
      <c r="O1201" s="24">
        <v>0</v>
      </c>
      <c r="P1201" s="24">
        <v>9400</v>
      </c>
      <c r="Q1201" t="s">
        <v>1983</v>
      </c>
      <c r="R1201" s="19">
        <f>VLOOKUP(A1201,[1]Sheet1!$A$2:$Q$1536,15,FALSE)</f>
        <v>4147.6279296875</v>
      </c>
      <c r="S1201" s="27">
        <f t="shared" si="54"/>
        <v>-1.2663556517973964</v>
      </c>
      <c r="T1201" s="19">
        <f>VLOOKUP(A1201,[1]Sheet1!$A$2:$Q$1536,16,FALSE)</f>
        <v>9450.3834563422988</v>
      </c>
      <c r="U1201" s="27">
        <f t="shared" si="55"/>
        <v>5.3313663487893391E-3</v>
      </c>
      <c r="V1201" s="19">
        <f>VLOOKUP(A1201,[1]Sheet1!$A$2:$Q$1536,17,FALSE)</f>
        <v>4161.70166015625</v>
      </c>
      <c r="W1201" s="27">
        <f t="shared" si="56"/>
        <v>-1.2586914602732671</v>
      </c>
    </row>
    <row r="1202" spans="1:23" x14ac:dyDescent="0.3">
      <c r="A1202" s="4" t="s">
        <v>879</v>
      </c>
      <c r="B1202" s="5">
        <v>2019</v>
      </c>
      <c r="C1202" s="5" t="s">
        <v>391</v>
      </c>
      <c r="D1202" s="15" t="s">
        <v>590</v>
      </c>
      <c r="E1202" s="6">
        <v>133008</v>
      </c>
      <c r="F1202" s="5" t="s">
        <v>36</v>
      </c>
      <c r="G1202" s="5" t="s">
        <v>28</v>
      </c>
      <c r="H1202" s="5" t="s">
        <v>17</v>
      </c>
      <c r="I1202" s="5" t="s">
        <v>18</v>
      </c>
      <c r="J1202" s="7">
        <v>45715</v>
      </c>
      <c r="K1202" s="5" t="s">
        <v>17</v>
      </c>
      <c r="L1202" s="8">
        <v>43612</v>
      </c>
      <c r="M1202" s="19">
        <v>264</v>
      </c>
      <c r="N1202" s="19">
        <v>314</v>
      </c>
      <c r="O1202" s="24">
        <v>0</v>
      </c>
      <c r="P1202" s="24">
        <v>13400</v>
      </c>
      <c r="Q1202" t="s">
        <v>1983</v>
      </c>
      <c r="R1202" s="19">
        <f>VLOOKUP(A1202,[1]Sheet1!$A$2:$Q$1536,15,FALSE)</f>
        <v>4693.39306640625</v>
      </c>
      <c r="S1202" s="27">
        <f t="shared" si="54"/>
        <v>-1.8550772991746105</v>
      </c>
      <c r="T1202" s="19">
        <f>VLOOKUP(A1202,[1]Sheet1!$A$2:$Q$1536,16,FALSE)</f>
        <v>9566.3992866075478</v>
      </c>
      <c r="U1202" s="27">
        <f t="shared" si="55"/>
        <v>-0.40073601347157756</v>
      </c>
      <c r="V1202" s="19">
        <f>VLOOKUP(A1202,[1]Sheet1!$A$2:$Q$1536,17,FALSE)</f>
        <v>4760.8662109375</v>
      </c>
      <c r="W1202" s="27">
        <f t="shared" si="56"/>
        <v>-1.8146138551877726</v>
      </c>
    </row>
    <row r="1203" spans="1:23" x14ac:dyDescent="0.3">
      <c r="A1203" s="4" t="s">
        <v>1325</v>
      </c>
      <c r="B1203" s="5">
        <v>2017</v>
      </c>
      <c r="C1203" s="5" t="s">
        <v>1089</v>
      </c>
      <c r="D1203" s="15" t="s">
        <v>1326</v>
      </c>
      <c r="E1203" s="6">
        <v>72327</v>
      </c>
      <c r="F1203" s="5" t="s">
        <v>32</v>
      </c>
      <c r="G1203" s="5" t="s">
        <v>25</v>
      </c>
      <c r="H1203" s="5" t="s">
        <v>18</v>
      </c>
      <c r="I1203" s="5" t="s">
        <v>17</v>
      </c>
      <c r="J1203" s="7">
        <v>45468</v>
      </c>
      <c r="K1203" s="5" t="s">
        <v>17</v>
      </c>
      <c r="L1203" s="8">
        <v>44128</v>
      </c>
      <c r="M1203" s="19">
        <v>264</v>
      </c>
      <c r="N1203" s="19">
        <v>314</v>
      </c>
      <c r="O1203" s="24">
        <v>2900</v>
      </c>
      <c r="P1203" s="24">
        <v>12500</v>
      </c>
      <c r="Q1203" t="s">
        <v>1983</v>
      </c>
      <c r="R1203" s="19">
        <f>VLOOKUP(A1203,[1]Sheet1!$A$2:$Q$1536,15,FALSE)</f>
        <v>3421.537841796875</v>
      </c>
      <c r="S1203" s="27">
        <f t="shared" si="54"/>
        <v>-2.6533279998550086</v>
      </c>
      <c r="T1203" s="19">
        <f>VLOOKUP(A1203,[1]Sheet1!$A$2:$Q$1536,16,FALSE)</f>
        <v>9048.4838559232539</v>
      </c>
      <c r="U1203" s="27">
        <f t="shared" si="55"/>
        <v>-0.38144690304302631</v>
      </c>
      <c r="V1203" s="19">
        <f>VLOOKUP(A1203,[1]Sheet1!$A$2:$Q$1536,17,FALSE)</f>
        <v>3291.81689453125</v>
      </c>
      <c r="W1203" s="27">
        <f t="shared" si="56"/>
        <v>-2.7972950502704017</v>
      </c>
    </row>
    <row r="1204" spans="1:23" x14ac:dyDescent="0.3">
      <c r="A1204" s="4" t="s">
        <v>434</v>
      </c>
      <c r="B1204" s="5">
        <v>2013</v>
      </c>
      <c r="C1204" s="5" t="s">
        <v>391</v>
      </c>
      <c r="D1204" s="15" t="s">
        <v>432</v>
      </c>
      <c r="E1204" s="6">
        <v>99999</v>
      </c>
      <c r="F1204" s="5" t="s">
        <v>79</v>
      </c>
      <c r="G1204" s="5" t="s">
        <v>25</v>
      </c>
      <c r="H1204" s="5" t="s">
        <v>18</v>
      </c>
      <c r="I1204" s="5" t="s">
        <v>17</v>
      </c>
      <c r="J1204" s="7">
        <v>45512</v>
      </c>
      <c r="K1204" s="5" t="s">
        <v>17</v>
      </c>
      <c r="L1204" s="8">
        <v>44483</v>
      </c>
      <c r="M1204" s="19">
        <v>264</v>
      </c>
      <c r="N1204" s="19">
        <v>314</v>
      </c>
      <c r="O1204" s="24">
        <v>1000</v>
      </c>
      <c r="P1204" s="24">
        <v>3800</v>
      </c>
      <c r="Q1204" t="s">
        <v>1983</v>
      </c>
      <c r="R1204" s="19">
        <f>VLOOKUP(A1204,[1]Sheet1!$A$2:$Q$1536,15,FALSE)</f>
        <v>2636.803466796875</v>
      </c>
      <c r="S1204" s="27">
        <f t="shared" si="54"/>
        <v>-0.44113888192666401</v>
      </c>
      <c r="T1204" s="19">
        <f>VLOOKUP(A1204,[1]Sheet1!$A$2:$Q$1536,16,FALSE)</f>
        <v>9290.7858802272222</v>
      </c>
      <c r="U1204" s="27">
        <f t="shared" si="55"/>
        <v>0.59099261903266853</v>
      </c>
      <c r="V1204" s="19">
        <f>VLOOKUP(A1204,[1]Sheet1!$A$2:$Q$1536,17,FALSE)</f>
        <v>2542.6708984375</v>
      </c>
      <c r="W1204" s="27">
        <f t="shared" si="56"/>
        <v>-0.49449148229727369</v>
      </c>
    </row>
    <row r="1205" spans="1:23" x14ac:dyDescent="0.3">
      <c r="A1205" s="4" t="s">
        <v>155</v>
      </c>
      <c r="B1205" s="5">
        <v>2016</v>
      </c>
      <c r="C1205" s="5" t="s">
        <v>96</v>
      </c>
      <c r="D1205" s="15" t="s">
        <v>156</v>
      </c>
      <c r="E1205" s="6">
        <v>52567</v>
      </c>
      <c r="F1205" s="5" t="s">
        <v>40</v>
      </c>
      <c r="G1205" s="5" t="s">
        <v>28</v>
      </c>
      <c r="H1205" s="5" t="s">
        <v>17</v>
      </c>
      <c r="I1205" s="5" t="s">
        <v>18</v>
      </c>
      <c r="J1205" s="7">
        <v>45393</v>
      </c>
      <c r="K1205" s="5" t="s">
        <v>17</v>
      </c>
      <c r="L1205" s="8">
        <v>44113</v>
      </c>
      <c r="M1205" s="19">
        <v>264</v>
      </c>
      <c r="N1205" s="19">
        <v>314</v>
      </c>
      <c r="O1205" s="24">
        <v>0</v>
      </c>
      <c r="P1205" s="24">
        <v>11500</v>
      </c>
      <c r="Q1205" t="s">
        <v>1983</v>
      </c>
      <c r="R1205" s="19">
        <f>VLOOKUP(A1205,[1]Sheet1!$A$2:$Q$1536,15,FALSE)</f>
        <v>7974.69287109375</v>
      </c>
      <c r="S1205" s="27">
        <f t="shared" si="54"/>
        <v>-0.44206180550032204</v>
      </c>
      <c r="T1205" s="19">
        <f>VLOOKUP(A1205,[1]Sheet1!$A$2:$Q$1536,16,FALSE)</f>
        <v>11588.28938053031</v>
      </c>
      <c r="U1205" s="27">
        <f t="shared" si="55"/>
        <v>7.6188449935196394E-3</v>
      </c>
      <c r="V1205" s="19">
        <f>VLOOKUP(A1205,[1]Sheet1!$A$2:$Q$1536,17,FALSE)</f>
        <v>7556.7421875</v>
      </c>
      <c r="W1205" s="27">
        <f t="shared" si="56"/>
        <v>-0.52181981529325527</v>
      </c>
    </row>
    <row r="1206" spans="1:23" x14ac:dyDescent="0.3">
      <c r="A1206" s="4" t="s">
        <v>1422</v>
      </c>
      <c r="B1206" s="5">
        <v>2018</v>
      </c>
      <c r="C1206" s="5" t="s">
        <v>1086</v>
      </c>
      <c r="D1206" s="15" t="s">
        <v>1411</v>
      </c>
      <c r="E1206" s="6">
        <v>98567</v>
      </c>
      <c r="F1206" s="5" t="s">
        <v>73</v>
      </c>
      <c r="G1206" s="5" t="s">
        <v>28</v>
      </c>
      <c r="H1206" s="5" t="s">
        <v>17</v>
      </c>
      <c r="I1206" s="5" t="s">
        <v>18</v>
      </c>
      <c r="J1206" s="7">
        <v>45302</v>
      </c>
      <c r="K1206" s="5" t="s">
        <v>17</v>
      </c>
      <c r="L1206" s="8">
        <v>44113</v>
      </c>
      <c r="M1206" s="19">
        <v>264</v>
      </c>
      <c r="N1206" s="19">
        <v>314</v>
      </c>
      <c r="O1206" s="24">
        <v>4200</v>
      </c>
      <c r="P1206" s="24">
        <v>12300</v>
      </c>
      <c r="Q1206" t="s">
        <v>1983</v>
      </c>
      <c r="R1206" s="19">
        <f>VLOOKUP(A1206,[1]Sheet1!$A$2:$Q$1536,15,FALSE)</f>
        <v>4050.139892578125</v>
      </c>
      <c r="S1206" s="27">
        <f t="shared" si="54"/>
        <v>-2.0369321372182059</v>
      </c>
      <c r="T1206" s="19">
        <f>VLOOKUP(A1206,[1]Sheet1!$A$2:$Q$1536,16,FALSE)</f>
        <v>8834.1633138349043</v>
      </c>
      <c r="U1206" s="27">
        <f t="shared" si="55"/>
        <v>-0.39232200753379309</v>
      </c>
      <c r="V1206" s="19">
        <f>VLOOKUP(A1206,[1]Sheet1!$A$2:$Q$1536,17,FALSE)</f>
        <v>3902.81396484375</v>
      </c>
      <c r="W1206" s="27">
        <f t="shared" si="56"/>
        <v>-2.1515722016979186</v>
      </c>
    </row>
    <row r="1207" spans="1:23" x14ac:dyDescent="0.3">
      <c r="A1207" s="4" t="s">
        <v>1072</v>
      </c>
      <c r="B1207" s="5">
        <v>2022</v>
      </c>
      <c r="C1207" s="5" t="s">
        <v>391</v>
      </c>
      <c r="D1207" s="15" t="s">
        <v>1071</v>
      </c>
      <c r="E1207" s="6">
        <v>46376</v>
      </c>
      <c r="F1207" s="5" t="s">
        <v>36</v>
      </c>
      <c r="G1207" s="5" t="s">
        <v>28</v>
      </c>
      <c r="H1207" s="5" t="s">
        <v>17</v>
      </c>
      <c r="I1207" s="5" t="s">
        <v>18</v>
      </c>
      <c r="J1207" s="7">
        <v>45426</v>
      </c>
      <c r="K1207" s="5" t="s">
        <v>17</v>
      </c>
      <c r="L1207" s="8">
        <v>44067</v>
      </c>
      <c r="M1207" s="19">
        <v>235</v>
      </c>
      <c r="N1207" s="19">
        <v>285</v>
      </c>
      <c r="O1207" s="24">
        <v>21500</v>
      </c>
      <c r="P1207" s="24">
        <v>26300</v>
      </c>
      <c r="Q1207" t="s">
        <v>1983</v>
      </c>
      <c r="R1207" s="19">
        <f>VLOOKUP(A1207,[1]Sheet1!$A$2:$Q$1536,15,FALSE)</f>
        <v>12942.400390625</v>
      </c>
      <c r="S1207" s="27">
        <f t="shared" si="54"/>
        <v>-1.0320805419565566</v>
      </c>
      <c r="T1207" s="19">
        <f>VLOOKUP(A1207,[1]Sheet1!$A$2:$Q$1536,16,FALSE)</f>
        <v>14319.565336369709</v>
      </c>
      <c r="U1207" s="27">
        <f t="shared" si="55"/>
        <v>-0.83664792765752805</v>
      </c>
      <c r="V1207" s="19">
        <f>VLOOKUP(A1207,[1]Sheet1!$A$2:$Q$1536,17,FALSE)</f>
        <v>12300.2958984375</v>
      </c>
      <c r="W1207" s="27">
        <f t="shared" si="56"/>
        <v>-1.138159944862861</v>
      </c>
    </row>
    <row r="1208" spans="1:23" x14ac:dyDescent="0.3">
      <c r="A1208" s="4" t="s">
        <v>1722</v>
      </c>
      <c r="B1208" s="5">
        <v>2013</v>
      </c>
      <c r="C1208" s="5" t="s">
        <v>1089</v>
      </c>
      <c r="D1208" s="15" t="s">
        <v>1720</v>
      </c>
      <c r="E1208" s="6">
        <v>140436</v>
      </c>
      <c r="F1208" s="5" t="s">
        <v>79</v>
      </c>
      <c r="G1208" s="5" t="s">
        <v>22</v>
      </c>
      <c r="H1208" s="5" t="s">
        <v>18</v>
      </c>
      <c r="I1208" s="5" t="s">
        <v>17</v>
      </c>
      <c r="J1208" s="7">
        <v>45449</v>
      </c>
      <c r="K1208" s="5" t="s">
        <v>17</v>
      </c>
      <c r="L1208" s="8">
        <v>43605</v>
      </c>
      <c r="M1208" s="19">
        <v>264</v>
      </c>
      <c r="N1208" s="19">
        <v>314</v>
      </c>
      <c r="O1208" s="24">
        <v>500</v>
      </c>
      <c r="P1208" s="24">
        <v>2700</v>
      </c>
      <c r="Q1208" t="s">
        <v>1983</v>
      </c>
      <c r="R1208" s="19">
        <f>VLOOKUP(A1208,[1]Sheet1!$A$2:$Q$1536,15,FALSE)</f>
        <v>827.93341064453125</v>
      </c>
      <c r="S1208" s="27">
        <f t="shared" si="54"/>
        <v>-2.2611318317231559</v>
      </c>
      <c r="T1208" s="19">
        <f>VLOOKUP(A1208,[1]Sheet1!$A$2:$Q$1536,16,FALSE)</f>
        <v>8608.5636880548427</v>
      </c>
      <c r="U1208" s="27">
        <f t="shared" si="55"/>
        <v>0.68635882850625907</v>
      </c>
      <c r="V1208" s="19">
        <f>VLOOKUP(A1208,[1]Sheet1!$A$2:$Q$1536,17,FALSE)</f>
        <v>1094.4677734375</v>
      </c>
      <c r="W1208" s="27">
        <f t="shared" si="56"/>
        <v>-1.4669524909992104</v>
      </c>
    </row>
    <row r="1209" spans="1:23" x14ac:dyDescent="0.3">
      <c r="A1209" s="4" t="s">
        <v>498</v>
      </c>
      <c r="B1209" s="5">
        <v>2019</v>
      </c>
      <c r="C1209" s="5" t="s">
        <v>391</v>
      </c>
      <c r="D1209" s="15" t="s">
        <v>394</v>
      </c>
      <c r="E1209" s="6">
        <v>111803</v>
      </c>
      <c r="F1209" s="5" t="s">
        <v>92</v>
      </c>
      <c r="G1209" s="5" t="s">
        <v>16</v>
      </c>
      <c r="H1209" s="5" t="s">
        <v>17</v>
      </c>
      <c r="I1209" s="5" t="s">
        <v>18</v>
      </c>
      <c r="J1209" s="7">
        <v>45720</v>
      </c>
      <c r="K1209" s="5" t="s">
        <v>17</v>
      </c>
      <c r="L1209" s="8">
        <v>43612</v>
      </c>
      <c r="M1209" s="19">
        <v>264</v>
      </c>
      <c r="N1209" s="19">
        <v>314</v>
      </c>
      <c r="O1209" s="24">
        <v>9300</v>
      </c>
      <c r="P1209" s="24">
        <v>17800</v>
      </c>
      <c r="Q1209" t="s">
        <v>1983</v>
      </c>
      <c r="R1209" s="19">
        <f>VLOOKUP(A1209,[1]Sheet1!$A$2:$Q$1536,15,FALSE)</f>
        <v>6290.05029296875</v>
      </c>
      <c r="S1209" s="27">
        <f t="shared" si="54"/>
        <v>-1.8298660854743078</v>
      </c>
      <c r="T1209" s="19">
        <f>VLOOKUP(A1209,[1]Sheet1!$A$2:$Q$1536,16,FALSE)</f>
        <v>10337.358303016221</v>
      </c>
      <c r="U1209" s="27">
        <f t="shared" si="55"/>
        <v>-0.72190993851943197</v>
      </c>
      <c r="V1209" s="19">
        <f>VLOOKUP(A1209,[1]Sheet1!$A$2:$Q$1536,17,FALSE)</f>
        <v>6071.4033203125</v>
      </c>
      <c r="W1209" s="27">
        <f t="shared" si="56"/>
        <v>-1.9317768991640338</v>
      </c>
    </row>
    <row r="1210" spans="1:23" x14ac:dyDescent="0.3">
      <c r="A1210" s="4" t="s">
        <v>214</v>
      </c>
      <c r="B1210" s="5">
        <v>2014</v>
      </c>
      <c r="C1210" s="5" t="s">
        <v>96</v>
      </c>
      <c r="D1210" s="15" t="s">
        <v>211</v>
      </c>
      <c r="E1210" s="6">
        <v>130971</v>
      </c>
      <c r="F1210" s="5" t="s">
        <v>73</v>
      </c>
      <c r="G1210" s="5" t="s">
        <v>28</v>
      </c>
      <c r="H1210" s="5" t="s">
        <v>17</v>
      </c>
      <c r="I1210" s="5" t="s">
        <v>18</v>
      </c>
      <c r="J1210" s="7">
        <v>45608</v>
      </c>
      <c r="K1210" s="5" t="s">
        <v>17</v>
      </c>
      <c r="L1210" s="8">
        <v>44310</v>
      </c>
      <c r="M1210" s="19">
        <v>235</v>
      </c>
      <c r="N1210" s="19">
        <v>285</v>
      </c>
      <c r="O1210" s="24">
        <v>4400</v>
      </c>
      <c r="P1210" s="24">
        <v>6100</v>
      </c>
      <c r="Q1210" t="s">
        <v>1983</v>
      </c>
      <c r="R1210" s="19">
        <f>VLOOKUP(A1210,[1]Sheet1!$A$2:$Q$1536,15,FALSE)</f>
        <v>2172.670166015625</v>
      </c>
      <c r="S1210" s="27">
        <f t="shared" si="54"/>
        <v>-1.8076051742297137</v>
      </c>
      <c r="T1210" s="19">
        <f>VLOOKUP(A1210,[1]Sheet1!$A$2:$Q$1536,16,FALSE)</f>
        <v>8840.463244475628</v>
      </c>
      <c r="U1210" s="27">
        <f t="shared" si="55"/>
        <v>0.3099909098302211</v>
      </c>
      <c r="V1210" s="19">
        <f>VLOOKUP(A1210,[1]Sheet1!$A$2:$Q$1536,17,FALSE)</f>
        <v>2103.21630859375</v>
      </c>
      <c r="W1210" s="27">
        <f t="shared" si="56"/>
        <v>-1.9003198458833628</v>
      </c>
    </row>
    <row r="1211" spans="1:23" x14ac:dyDescent="0.3">
      <c r="A1211" s="4" t="s">
        <v>1745</v>
      </c>
      <c r="B1211" s="5">
        <v>2013</v>
      </c>
      <c r="C1211" s="5" t="s">
        <v>1086</v>
      </c>
      <c r="D1211" s="15" t="s">
        <v>1411</v>
      </c>
      <c r="E1211" s="6">
        <v>121714</v>
      </c>
      <c r="F1211" s="5" t="s">
        <v>251</v>
      </c>
      <c r="G1211" s="5" t="s">
        <v>22</v>
      </c>
      <c r="H1211" s="5" t="s">
        <v>18</v>
      </c>
      <c r="I1211" s="5" t="s">
        <v>17</v>
      </c>
      <c r="J1211" s="7">
        <v>45538</v>
      </c>
      <c r="K1211" s="5" t="s">
        <v>17</v>
      </c>
      <c r="L1211" s="8">
        <v>44135</v>
      </c>
      <c r="M1211" s="19">
        <v>235</v>
      </c>
      <c r="N1211" s="19">
        <v>285</v>
      </c>
      <c r="O1211" s="24">
        <v>600</v>
      </c>
      <c r="P1211" s="24">
        <v>800</v>
      </c>
      <c r="Q1211" t="s">
        <v>1983</v>
      </c>
      <c r="R1211" s="19">
        <f>VLOOKUP(A1211,[1]Sheet1!$A$2:$Q$1536,15,FALSE)</f>
        <v>786.166259765625</v>
      </c>
      <c r="S1211" s="27">
        <f t="shared" si="54"/>
        <v>-1.7596456299840659E-2</v>
      </c>
      <c r="T1211" s="19">
        <f>VLOOKUP(A1211,[1]Sheet1!$A$2:$Q$1536,16,FALSE)</f>
        <v>8551.3003874688329</v>
      </c>
      <c r="U1211" s="27">
        <f t="shared" si="55"/>
        <v>0.90644697721385992</v>
      </c>
      <c r="V1211" s="19">
        <f>VLOOKUP(A1211,[1]Sheet1!$A$2:$Q$1536,17,FALSE)</f>
        <v>933.41363525390625</v>
      </c>
      <c r="W1211" s="27">
        <f t="shared" si="56"/>
        <v>0.14293088317444089</v>
      </c>
    </row>
    <row r="1212" spans="1:23" x14ac:dyDescent="0.3">
      <c r="A1212" s="4" t="s">
        <v>1061</v>
      </c>
      <c r="B1212" s="5">
        <v>2018</v>
      </c>
      <c r="C1212" s="5" t="s">
        <v>391</v>
      </c>
      <c r="D1212" s="15" t="s">
        <v>1056</v>
      </c>
      <c r="E1212" s="6">
        <v>107949</v>
      </c>
      <c r="F1212" s="5" t="s">
        <v>61</v>
      </c>
      <c r="G1212" s="5" t="s">
        <v>22</v>
      </c>
      <c r="H1212" s="5" t="s">
        <v>18</v>
      </c>
      <c r="I1212" s="5" t="s">
        <v>17</v>
      </c>
      <c r="J1212" s="7">
        <v>45370</v>
      </c>
      <c r="K1212" s="5" t="s">
        <v>17</v>
      </c>
      <c r="L1212" s="8">
        <v>44067</v>
      </c>
      <c r="M1212" s="19">
        <v>235</v>
      </c>
      <c r="N1212" s="19">
        <v>285</v>
      </c>
      <c r="O1212" s="24">
        <v>4100</v>
      </c>
      <c r="P1212" s="24">
        <v>9800</v>
      </c>
      <c r="Q1212" t="s">
        <v>1983</v>
      </c>
      <c r="R1212" s="19">
        <f>VLOOKUP(A1212,[1]Sheet1!$A$2:$Q$1536,15,FALSE)</f>
        <v>2744.503662109375</v>
      </c>
      <c r="S1212" s="27">
        <f t="shared" si="54"/>
        <v>-2.5707731548326302</v>
      </c>
      <c r="T1212" s="19">
        <f>VLOOKUP(A1212,[1]Sheet1!$A$2:$Q$1536,16,FALSE)</f>
        <v>9351.2847731104266</v>
      </c>
      <c r="U1212" s="27">
        <f t="shared" si="55"/>
        <v>-4.798433988234984E-2</v>
      </c>
      <c r="V1212" s="19">
        <f>VLOOKUP(A1212,[1]Sheet1!$A$2:$Q$1536,17,FALSE)</f>
        <v>2645.82568359375</v>
      </c>
      <c r="W1212" s="27">
        <f t="shared" si="56"/>
        <v>-2.7039477168763959</v>
      </c>
    </row>
    <row r="1213" spans="1:23" x14ac:dyDescent="0.3">
      <c r="A1213" s="4" t="s">
        <v>1293</v>
      </c>
      <c r="B1213" s="5">
        <v>2014</v>
      </c>
      <c r="C1213" s="5" t="s">
        <v>636</v>
      </c>
      <c r="D1213" s="15" t="s">
        <v>1294</v>
      </c>
      <c r="E1213" s="6">
        <v>99999</v>
      </c>
      <c r="F1213" s="5" t="s">
        <v>219</v>
      </c>
      <c r="G1213" s="5" t="s">
        <v>22</v>
      </c>
      <c r="H1213" s="5" t="s">
        <v>18</v>
      </c>
      <c r="I1213" s="5" t="s">
        <v>17</v>
      </c>
      <c r="J1213" s="7">
        <v>45533</v>
      </c>
      <c r="K1213" s="5" t="s">
        <v>17</v>
      </c>
      <c r="L1213" s="8">
        <v>44310</v>
      </c>
      <c r="M1213" s="19">
        <v>235</v>
      </c>
      <c r="N1213" s="19">
        <v>285</v>
      </c>
      <c r="O1213" s="24">
        <v>0</v>
      </c>
      <c r="P1213" s="24">
        <v>9300</v>
      </c>
      <c r="Q1213" t="s">
        <v>1983</v>
      </c>
      <c r="R1213" s="19">
        <f>VLOOKUP(A1213,[1]Sheet1!$A$2:$Q$1536,15,FALSE)</f>
        <v>2001.443603515625</v>
      </c>
      <c r="S1213" s="27">
        <f t="shared" si="54"/>
        <v>-3.6466460427184333</v>
      </c>
      <c r="T1213" s="19">
        <f>VLOOKUP(A1213,[1]Sheet1!$A$2:$Q$1536,16,FALSE)</f>
        <v>8889.2545783381393</v>
      </c>
      <c r="U1213" s="27">
        <f t="shared" si="55"/>
        <v>-4.6206958979753993E-2</v>
      </c>
      <c r="V1213" s="19">
        <f>VLOOKUP(A1213,[1]Sheet1!$A$2:$Q$1536,17,FALSE)</f>
        <v>1926.197143554688</v>
      </c>
      <c r="W1213" s="27">
        <f t="shared" si="56"/>
        <v>-3.8281662295674348</v>
      </c>
    </row>
    <row r="1214" spans="1:23" x14ac:dyDescent="0.3">
      <c r="A1214" s="4" t="s">
        <v>728</v>
      </c>
      <c r="B1214" s="5">
        <v>2017</v>
      </c>
      <c r="C1214" s="5" t="s">
        <v>83</v>
      </c>
      <c r="D1214" s="15" t="s">
        <v>729</v>
      </c>
      <c r="E1214" s="6">
        <v>140149</v>
      </c>
      <c r="F1214" s="5" t="s">
        <v>77</v>
      </c>
      <c r="G1214" s="5" t="s">
        <v>33</v>
      </c>
      <c r="H1214" s="5" t="s">
        <v>17</v>
      </c>
      <c r="I1214" s="5" t="s">
        <v>18</v>
      </c>
      <c r="J1214" s="7">
        <v>45729</v>
      </c>
      <c r="K1214" s="5" t="s">
        <v>17</v>
      </c>
      <c r="L1214" s="8">
        <v>43608</v>
      </c>
      <c r="M1214" s="19">
        <v>264</v>
      </c>
      <c r="N1214" s="19">
        <v>314</v>
      </c>
      <c r="O1214" s="24">
        <v>0</v>
      </c>
      <c r="P1214" s="24">
        <v>40500</v>
      </c>
      <c r="Q1214" t="s">
        <v>1983</v>
      </c>
      <c r="R1214" s="19">
        <f>VLOOKUP(A1214,[1]Sheet1!$A$2:$Q$1536,15,FALSE)</f>
        <v>6111.697265625</v>
      </c>
      <c r="S1214" s="27">
        <f t="shared" si="54"/>
        <v>-5.626637125466055</v>
      </c>
      <c r="T1214" s="19">
        <f>VLOOKUP(A1214,[1]Sheet1!$A$2:$Q$1536,16,FALSE)</f>
        <v>9016.2490365439862</v>
      </c>
      <c r="U1214" s="27">
        <f t="shared" si="55"/>
        <v>-3.4918901236920616</v>
      </c>
      <c r="V1214" s="19">
        <f>VLOOKUP(A1214,[1]Sheet1!$A$2:$Q$1536,17,FALSE)</f>
        <v>6084.98291015625</v>
      </c>
      <c r="W1214" s="27">
        <f t="shared" si="56"/>
        <v>-5.6557294569230008</v>
      </c>
    </row>
    <row r="1215" spans="1:23" x14ac:dyDescent="0.3">
      <c r="A1215" s="4" t="s">
        <v>756</v>
      </c>
      <c r="B1215" s="5">
        <v>2019</v>
      </c>
      <c r="C1215" s="5" t="s">
        <v>83</v>
      </c>
      <c r="D1215" s="15" t="s">
        <v>744</v>
      </c>
      <c r="E1215" s="6">
        <v>114459</v>
      </c>
      <c r="F1215" s="5" t="s">
        <v>158</v>
      </c>
      <c r="G1215" s="5" t="s">
        <v>16</v>
      </c>
      <c r="H1215" s="5" t="s">
        <v>17</v>
      </c>
      <c r="I1215" s="5" t="s">
        <v>18</v>
      </c>
      <c r="J1215" s="7">
        <v>45370</v>
      </c>
      <c r="K1215" s="5" t="s">
        <v>17</v>
      </c>
      <c r="L1215" s="8">
        <v>43612</v>
      </c>
      <c r="M1215" s="19">
        <v>264</v>
      </c>
      <c r="N1215" s="19">
        <v>314</v>
      </c>
      <c r="O1215" s="24">
        <v>11600</v>
      </c>
      <c r="P1215" s="24">
        <v>12800</v>
      </c>
      <c r="Q1215" t="s">
        <v>1983</v>
      </c>
      <c r="R1215" s="19">
        <f>VLOOKUP(A1215,[1]Sheet1!$A$2:$Q$1536,15,FALSE)</f>
        <v>12173.1044921875</v>
      </c>
      <c r="S1215" s="27">
        <f t="shared" si="54"/>
        <v>-5.1498408496766894E-2</v>
      </c>
      <c r="T1215" s="19">
        <f>VLOOKUP(A1215,[1]Sheet1!$A$2:$Q$1536,16,FALSE)</f>
        <v>9949.4078328496071</v>
      </c>
      <c r="U1215" s="27">
        <f t="shared" si="55"/>
        <v>-0.28650872645291448</v>
      </c>
      <c r="V1215" s="19">
        <f>VLOOKUP(A1215,[1]Sheet1!$A$2:$Q$1536,17,FALSE)</f>
        <v>12452.2919921875</v>
      </c>
      <c r="W1215" s="27">
        <f t="shared" si="56"/>
        <v>-2.7923213496009416E-2</v>
      </c>
    </row>
    <row r="1216" spans="1:23" x14ac:dyDescent="0.3">
      <c r="A1216" s="4" t="s">
        <v>1630</v>
      </c>
      <c r="B1216" s="5">
        <v>2015</v>
      </c>
      <c r="C1216" s="5" t="s">
        <v>519</v>
      </c>
      <c r="D1216" s="15" t="s">
        <v>1607</v>
      </c>
      <c r="E1216" s="6">
        <v>127845</v>
      </c>
      <c r="F1216" s="5" t="s">
        <v>144</v>
      </c>
      <c r="G1216" s="5" t="s">
        <v>25</v>
      </c>
      <c r="H1216" s="5" t="s">
        <v>18</v>
      </c>
      <c r="I1216" s="5" t="s">
        <v>17</v>
      </c>
      <c r="J1216" s="7">
        <v>45566</v>
      </c>
      <c r="K1216" s="5" t="s">
        <v>17</v>
      </c>
      <c r="L1216" s="8">
        <v>44451</v>
      </c>
      <c r="M1216" s="19">
        <v>264</v>
      </c>
      <c r="N1216" s="19">
        <v>314</v>
      </c>
      <c r="O1216" s="24">
        <v>4100</v>
      </c>
      <c r="P1216" s="24">
        <v>7000</v>
      </c>
      <c r="Q1216" t="s">
        <v>1983</v>
      </c>
      <c r="R1216" s="19">
        <f>VLOOKUP(A1216,[1]Sheet1!$A$2:$Q$1536,15,FALSE)</f>
        <v>1641.185668945312</v>
      </c>
      <c r="S1216" s="27">
        <f t="shared" si="54"/>
        <v>-3.265209069549373</v>
      </c>
      <c r="T1216" s="19">
        <f>VLOOKUP(A1216,[1]Sheet1!$A$2:$Q$1536,16,FALSE)</f>
        <v>9018.3372640404395</v>
      </c>
      <c r="U1216" s="27">
        <f t="shared" si="55"/>
        <v>0.22380370182964018</v>
      </c>
      <c r="V1216" s="19">
        <f>VLOOKUP(A1216,[1]Sheet1!$A$2:$Q$1536,17,FALSE)</f>
        <v>1601.173217773438</v>
      </c>
      <c r="W1216" s="27">
        <f t="shared" si="56"/>
        <v>-3.3717943332415166</v>
      </c>
    </row>
    <row r="1217" spans="1:23" x14ac:dyDescent="0.3">
      <c r="A1217" s="4" t="s">
        <v>1550</v>
      </c>
      <c r="B1217" s="5">
        <v>2019</v>
      </c>
      <c r="C1217" s="5" t="s">
        <v>636</v>
      </c>
      <c r="D1217" s="15" t="s">
        <v>1551</v>
      </c>
      <c r="E1217" s="6">
        <v>109550</v>
      </c>
      <c r="F1217" s="5" t="s">
        <v>32</v>
      </c>
      <c r="G1217" s="5" t="s">
        <v>25</v>
      </c>
      <c r="H1217" s="5" t="s">
        <v>18</v>
      </c>
      <c r="I1217" s="5" t="s">
        <v>17</v>
      </c>
      <c r="J1217" s="7">
        <v>45594</v>
      </c>
      <c r="K1217" s="5" t="s">
        <v>17</v>
      </c>
      <c r="L1217" s="8">
        <v>44128</v>
      </c>
      <c r="M1217" s="19">
        <v>264</v>
      </c>
      <c r="N1217" s="19">
        <v>314</v>
      </c>
      <c r="O1217" s="24">
        <v>2500</v>
      </c>
      <c r="P1217" s="24">
        <v>7500</v>
      </c>
      <c r="Q1217" t="s">
        <v>1983</v>
      </c>
      <c r="R1217" s="19">
        <f>VLOOKUP(A1217,[1]Sheet1!$A$2:$Q$1536,15,FALSE)</f>
        <v>2805.269775390625</v>
      </c>
      <c r="S1217" s="27">
        <f t="shared" si="54"/>
        <v>-1.6735396594631076</v>
      </c>
      <c r="T1217" s="19">
        <f>VLOOKUP(A1217,[1]Sheet1!$A$2:$Q$1536,16,FALSE)</f>
        <v>8932.0241662365042</v>
      </c>
      <c r="U1217" s="27">
        <f t="shared" si="55"/>
        <v>0.16032470799280044</v>
      </c>
      <c r="V1217" s="19">
        <f>VLOOKUP(A1217,[1]Sheet1!$A$2:$Q$1536,17,FALSE)</f>
        <v>2601.28369140625</v>
      </c>
      <c r="W1217" s="27">
        <f t="shared" si="56"/>
        <v>-1.8831918736035713</v>
      </c>
    </row>
    <row r="1218" spans="1:23" x14ac:dyDescent="0.3">
      <c r="A1218" s="4" t="s">
        <v>619</v>
      </c>
      <c r="B1218" s="5">
        <v>2014</v>
      </c>
      <c r="C1218" s="5" t="s">
        <v>30</v>
      </c>
      <c r="D1218" s="15" t="s">
        <v>614</v>
      </c>
      <c r="E1218" s="6">
        <v>71661</v>
      </c>
      <c r="F1218" s="5" t="s">
        <v>32</v>
      </c>
      <c r="G1218" s="5" t="s">
        <v>33</v>
      </c>
      <c r="H1218" s="5" t="s">
        <v>17</v>
      </c>
      <c r="I1218" s="5" t="s">
        <v>18</v>
      </c>
      <c r="J1218" s="7">
        <v>45552</v>
      </c>
      <c r="K1218" s="5" t="s">
        <v>17</v>
      </c>
      <c r="L1218" s="8">
        <v>44067</v>
      </c>
      <c r="M1218" s="19">
        <v>235</v>
      </c>
      <c r="N1218" s="19">
        <v>285</v>
      </c>
      <c r="O1218" s="24">
        <v>5200</v>
      </c>
      <c r="P1218" s="24">
        <v>12700</v>
      </c>
      <c r="Q1218" t="s">
        <v>1983</v>
      </c>
      <c r="R1218" s="19">
        <f>VLOOKUP(A1218,[1]Sheet1!$A$2:$Q$1536,15,FALSE)</f>
        <v>4735.8046875</v>
      </c>
      <c r="S1218" s="27">
        <f t="shared" si="54"/>
        <v>-1.6816984310018592</v>
      </c>
      <c r="T1218" s="19">
        <f>VLOOKUP(A1218,[1]Sheet1!$A$2:$Q$1536,16,FALSE)</f>
        <v>9201.6444728789484</v>
      </c>
      <c r="U1218" s="27">
        <f t="shared" si="55"/>
        <v>-0.38018807805845489</v>
      </c>
      <c r="V1218" s="19">
        <f>VLOOKUP(A1218,[1]Sheet1!$A$2:$Q$1536,17,FALSE)</f>
        <v>4646.1630859375</v>
      </c>
      <c r="W1218" s="27">
        <f t="shared" si="56"/>
        <v>-1.733438272633816</v>
      </c>
    </row>
    <row r="1219" spans="1:23" x14ac:dyDescent="0.3">
      <c r="A1219" s="4" t="s">
        <v>793</v>
      </c>
      <c r="B1219" s="5">
        <v>2014</v>
      </c>
      <c r="C1219" s="5" t="s">
        <v>391</v>
      </c>
      <c r="D1219" s="15" t="s">
        <v>429</v>
      </c>
      <c r="E1219" s="6">
        <v>107207</v>
      </c>
      <c r="F1219" s="5" t="s">
        <v>79</v>
      </c>
      <c r="G1219" s="5" t="s">
        <v>25</v>
      </c>
      <c r="H1219" s="5" t="s">
        <v>18</v>
      </c>
      <c r="I1219" s="5" t="s">
        <v>17</v>
      </c>
      <c r="J1219" s="7">
        <v>45524</v>
      </c>
      <c r="K1219" s="5" t="s">
        <v>17</v>
      </c>
      <c r="L1219" s="8">
        <v>44067</v>
      </c>
      <c r="M1219" s="19">
        <v>235</v>
      </c>
      <c r="N1219" s="19">
        <v>285</v>
      </c>
      <c r="O1219" s="24">
        <v>9300</v>
      </c>
      <c r="P1219" s="24">
        <v>22500</v>
      </c>
      <c r="Q1219" t="s">
        <v>1983</v>
      </c>
      <c r="R1219" s="19">
        <f>VLOOKUP(A1219,[1]Sheet1!$A$2:$Q$1536,15,FALSE)</f>
        <v>3083.3544921875</v>
      </c>
      <c r="S1219" s="27">
        <f t="shared" ref="S1219:S1282" si="57">(R1219-$P1219)/R1219</f>
        <v>-6.2972472211708848</v>
      </c>
      <c r="T1219" s="19">
        <f>VLOOKUP(A1219,[1]Sheet1!$A$2:$Q$1536,16,FALSE)</f>
        <v>9335.8234238796322</v>
      </c>
      <c r="U1219" s="27">
        <f t="shared" ref="U1219:U1282" si="58">(T1219-$P1219)/T1219</f>
        <v>-1.4100712897427328</v>
      </c>
      <c r="V1219" s="19">
        <f>VLOOKUP(A1219,[1]Sheet1!$A$2:$Q$1536,17,FALSE)</f>
        <v>2992.80126953125</v>
      </c>
      <c r="W1219" s="27">
        <f t="shared" ref="W1219:W1282" si="59">(V1219-$P1219)/V1219</f>
        <v>-6.5180401148132638</v>
      </c>
    </row>
    <row r="1220" spans="1:23" x14ac:dyDescent="0.3">
      <c r="A1220" s="4" t="s">
        <v>1253</v>
      </c>
      <c r="B1220" s="5">
        <v>2019</v>
      </c>
      <c r="C1220" s="5" t="s">
        <v>1223</v>
      </c>
      <c r="D1220" s="15" t="s">
        <v>1254</v>
      </c>
      <c r="E1220" s="6">
        <v>42880</v>
      </c>
      <c r="F1220" s="5" t="s">
        <v>161</v>
      </c>
      <c r="G1220" s="5" t="s">
        <v>16</v>
      </c>
      <c r="H1220" s="5" t="s">
        <v>17</v>
      </c>
      <c r="I1220" s="5" t="s">
        <v>18</v>
      </c>
      <c r="J1220" s="7">
        <v>45594</v>
      </c>
      <c r="K1220" s="5" t="s">
        <v>17</v>
      </c>
      <c r="L1220" s="8">
        <v>44451</v>
      </c>
      <c r="M1220" s="19">
        <v>264</v>
      </c>
      <c r="N1220" s="19">
        <v>314</v>
      </c>
      <c r="O1220" s="24">
        <v>0</v>
      </c>
      <c r="P1220" s="24">
        <v>19000</v>
      </c>
      <c r="Q1220" t="s">
        <v>1983</v>
      </c>
      <c r="R1220" s="19">
        <f>VLOOKUP(A1220,[1]Sheet1!$A$2:$Q$1536,15,FALSE)</f>
        <v>20429.734375</v>
      </c>
      <c r="S1220" s="27">
        <f t="shared" si="57"/>
        <v>6.9983013423296159E-2</v>
      </c>
      <c r="T1220" s="19">
        <f>VLOOKUP(A1220,[1]Sheet1!$A$2:$Q$1536,16,FALSE)</f>
        <v>13122.76465323197</v>
      </c>
      <c r="U1220" s="27">
        <f t="shared" si="58"/>
        <v>-0.447865636706404</v>
      </c>
      <c r="V1220" s="19">
        <f>VLOOKUP(A1220,[1]Sheet1!$A$2:$Q$1536,17,FALSE)</f>
        <v>20992.533203125</v>
      </c>
      <c r="W1220" s="27">
        <f t="shared" si="59"/>
        <v>9.4916282082068426E-2</v>
      </c>
    </row>
    <row r="1221" spans="1:23" x14ac:dyDescent="0.3">
      <c r="A1221" s="4" t="s">
        <v>1836</v>
      </c>
      <c r="B1221" s="5">
        <v>2018</v>
      </c>
      <c r="C1221" s="5" t="s">
        <v>519</v>
      </c>
      <c r="D1221" s="15" t="s">
        <v>1837</v>
      </c>
      <c r="E1221" s="6">
        <v>80940</v>
      </c>
      <c r="F1221" s="5" t="s">
        <v>32</v>
      </c>
      <c r="G1221" s="5" t="s">
        <v>33</v>
      </c>
      <c r="H1221" s="5" t="s">
        <v>17</v>
      </c>
      <c r="I1221" s="5" t="s">
        <v>18</v>
      </c>
      <c r="J1221" s="7">
        <v>45426</v>
      </c>
      <c r="K1221" s="5" t="s">
        <v>17</v>
      </c>
      <c r="L1221" s="8">
        <v>44135</v>
      </c>
      <c r="M1221" s="19">
        <v>235</v>
      </c>
      <c r="N1221" s="19">
        <v>285</v>
      </c>
      <c r="O1221" s="24">
        <v>0</v>
      </c>
      <c r="P1221" s="24">
        <v>8800</v>
      </c>
      <c r="Q1221" t="s">
        <v>1983</v>
      </c>
      <c r="R1221" s="19">
        <f>VLOOKUP(A1221,[1]Sheet1!$A$2:$Q$1536,15,FALSE)</f>
        <v>4377.55126953125</v>
      </c>
      <c r="S1221" s="27">
        <f t="shared" si="57"/>
        <v>-1.0102562958542591</v>
      </c>
      <c r="T1221" s="19">
        <f>VLOOKUP(A1221,[1]Sheet1!$A$2:$Q$1536,16,FALSE)</f>
        <v>9309.7954307281398</v>
      </c>
      <c r="U1221" s="27">
        <f t="shared" si="58"/>
        <v>5.4759036814653994E-2</v>
      </c>
      <c r="V1221" s="19">
        <f>VLOOKUP(A1221,[1]Sheet1!$A$2:$Q$1536,17,FALSE)</f>
        <v>4356.724609375</v>
      </c>
      <c r="W1221" s="27">
        <f t="shared" si="59"/>
        <v>-1.0198660206944814</v>
      </c>
    </row>
    <row r="1222" spans="1:23" x14ac:dyDescent="0.3">
      <c r="A1222" s="4" t="s">
        <v>1967</v>
      </c>
      <c r="B1222" s="5">
        <v>2015</v>
      </c>
      <c r="C1222" s="5" t="s">
        <v>96</v>
      </c>
      <c r="D1222" s="15" t="s">
        <v>1951</v>
      </c>
      <c r="E1222" s="6">
        <v>116142</v>
      </c>
      <c r="F1222" s="5" t="s">
        <v>66</v>
      </c>
      <c r="G1222" s="5" t="s">
        <v>25</v>
      </c>
      <c r="H1222" s="5" t="s">
        <v>18</v>
      </c>
      <c r="I1222" s="5" t="s">
        <v>17</v>
      </c>
      <c r="J1222" s="7">
        <v>45566</v>
      </c>
      <c r="K1222" s="5" t="s">
        <v>17</v>
      </c>
      <c r="L1222" s="8">
        <v>44430</v>
      </c>
      <c r="M1222" s="19">
        <v>264</v>
      </c>
      <c r="N1222" s="19">
        <v>314</v>
      </c>
      <c r="O1222" s="24">
        <v>6000</v>
      </c>
      <c r="P1222" s="24">
        <v>7800</v>
      </c>
      <c r="Q1222" t="s">
        <v>1983</v>
      </c>
      <c r="R1222" s="19">
        <f>VLOOKUP(A1222,[1]Sheet1!$A$2:$Q$1536,15,FALSE)</f>
        <v>2333.068603515625</v>
      </c>
      <c r="S1222" s="27">
        <f t="shared" si="57"/>
        <v>-2.3432364518756259</v>
      </c>
      <c r="T1222" s="19">
        <f>VLOOKUP(A1222,[1]Sheet1!$A$2:$Q$1536,16,FALSE)</f>
        <v>9072.2755364481745</v>
      </c>
      <c r="U1222" s="27">
        <f t="shared" si="58"/>
        <v>0.14023775306831945</v>
      </c>
      <c r="V1222" s="19">
        <f>VLOOKUP(A1222,[1]Sheet1!$A$2:$Q$1536,17,FALSE)</f>
        <v>2226.78125</v>
      </c>
      <c r="W1222" s="27">
        <f t="shared" si="59"/>
        <v>-2.5028137586482733</v>
      </c>
    </row>
    <row r="1223" spans="1:23" x14ac:dyDescent="0.3">
      <c r="A1223" s="4" t="s">
        <v>709</v>
      </c>
      <c r="B1223" s="5">
        <v>2010</v>
      </c>
      <c r="C1223" s="5" t="s">
        <v>237</v>
      </c>
      <c r="D1223" s="15" t="s">
        <v>245</v>
      </c>
      <c r="E1223" s="6">
        <v>118340</v>
      </c>
      <c r="F1223" s="5" t="s">
        <v>59</v>
      </c>
      <c r="G1223" s="5" t="s">
        <v>16</v>
      </c>
      <c r="H1223" s="5" t="s">
        <v>17</v>
      </c>
      <c r="I1223" s="5" t="s">
        <v>18</v>
      </c>
      <c r="J1223" s="7">
        <v>45412</v>
      </c>
      <c r="K1223" s="5" t="s">
        <v>17</v>
      </c>
      <c r="L1223" s="8">
        <v>44128</v>
      </c>
      <c r="M1223" s="19">
        <v>264</v>
      </c>
      <c r="N1223" s="19">
        <v>314</v>
      </c>
      <c r="O1223" s="24">
        <v>7800</v>
      </c>
      <c r="P1223" s="24">
        <v>15545.3246753247</v>
      </c>
      <c r="Q1223" t="s">
        <v>1983</v>
      </c>
      <c r="R1223" s="19">
        <f>VLOOKUP(A1223,[1]Sheet1!$A$2:$Q$1536,15,FALSE)</f>
        <v>6217.37548828125</v>
      </c>
      <c r="S1223" s="27">
        <f t="shared" si="57"/>
        <v>-1.5003033361303544</v>
      </c>
      <c r="T1223" s="19">
        <f>VLOOKUP(A1223,[1]Sheet1!$A$2:$Q$1536,16,FALSE)</f>
        <v>10702.614139162981</v>
      </c>
      <c r="U1223" s="27">
        <f t="shared" si="58"/>
        <v>-0.45247922359839959</v>
      </c>
      <c r="V1223" s="19">
        <f>VLOOKUP(A1223,[1]Sheet1!$A$2:$Q$1536,17,FALSE)</f>
        <v>5812.80322265625</v>
      </c>
      <c r="W1223" s="27">
        <f t="shared" si="59"/>
        <v>-1.6743249478555418</v>
      </c>
    </row>
    <row r="1224" spans="1:23" x14ac:dyDescent="0.3">
      <c r="A1224" s="4" t="s">
        <v>1195</v>
      </c>
      <c r="B1224" s="5">
        <v>2018</v>
      </c>
      <c r="C1224" s="5" t="s">
        <v>684</v>
      </c>
      <c r="D1224" s="15" t="s">
        <v>1196</v>
      </c>
      <c r="E1224" s="6">
        <v>71953</v>
      </c>
      <c r="F1224" s="5" t="s">
        <v>81</v>
      </c>
      <c r="G1224" s="5" t="s">
        <v>28</v>
      </c>
      <c r="H1224" s="5" t="s">
        <v>17</v>
      </c>
      <c r="I1224" s="5" t="s">
        <v>18</v>
      </c>
      <c r="J1224" s="7">
        <v>45538</v>
      </c>
      <c r="K1224" s="5" t="s">
        <v>17</v>
      </c>
      <c r="L1224" s="8">
        <v>44113</v>
      </c>
      <c r="M1224" s="19">
        <v>264</v>
      </c>
      <c r="N1224" s="19">
        <v>314</v>
      </c>
      <c r="O1224" s="24">
        <v>0</v>
      </c>
      <c r="P1224" s="24">
        <v>15000</v>
      </c>
      <c r="Q1224" t="s">
        <v>1983</v>
      </c>
      <c r="R1224" s="19">
        <f>VLOOKUP(A1224,[1]Sheet1!$A$2:$Q$1536,15,FALSE)</f>
        <v>5013.5859375</v>
      </c>
      <c r="S1224" s="27">
        <f t="shared" si="57"/>
        <v>-1.9918705268029526</v>
      </c>
      <c r="T1224" s="19">
        <f>VLOOKUP(A1224,[1]Sheet1!$A$2:$Q$1536,16,FALSE)</f>
        <v>9195.9362656801022</v>
      </c>
      <c r="U1224" s="27">
        <f t="shared" si="58"/>
        <v>-0.6311552806190146</v>
      </c>
      <c r="V1224" s="19">
        <f>VLOOKUP(A1224,[1]Sheet1!$A$2:$Q$1536,17,FALSE)</f>
        <v>4910.44580078125</v>
      </c>
      <c r="W1224" s="27">
        <f t="shared" si="59"/>
        <v>-2.0547124657426226</v>
      </c>
    </row>
    <row r="1225" spans="1:23" x14ac:dyDescent="0.3">
      <c r="A1225" s="4" t="s">
        <v>1880</v>
      </c>
      <c r="B1225" s="5">
        <v>2018</v>
      </c>
      <c r="C1225" s="5" t="s">
        <v>1401</v>
      </c>
      <c r="D1225" s="15" t="s">
        <v>1881</v>
      </c>
      <c r="E1225" s="6">
        <v>73541</v>
      </c>
      <c r="F1225" s="5" t="s">
        <v>24</v>
      </c>
      <c r="G1225" s="5" t="s">
        <v>33</v>
      </c>
      <c r="H1225" s="5" t="s">
        <v>17</v>
      </c>
      <c r="I1225" s="5" t="s">
        <v>18</v>
      </c>
      <c r="J1225" s="7">
        <v>45636</v>
      </c>
      <c r="K1225" s="5" t="s">
        <v>17</v>
      </c>
      <c r="L1225" s="8">
        <v>44128</v>
      </c>
      <c r="M1225" s="19">
        <v>264</v>
      </c>
      <c r="N1225" s="19">
        <v>314</v>
      </c>
      <c r="O1225" s="24">
        <v>11700</v>
      </c>
      <c r="P1225" s="24">
        <v>15942.857142857099</v>
      </c>
      <c r="Q1225" t="s">
        <v>1983</v>
      </c>
      <c r="R1225" s="19">
        <f>VLOOKUP(A1225,[1]Sheet1!$A$2:$Q$1536,15,FALSE)</f>
        <v>7407.97119140625</v>
      </c>
      <c r="S1225" s="27">
        <f t="shared" si="57"/>
        <v>-1.1521219144793513</v>
      </c>
      <c r="T1225" s="19">
        <f>VLOOKUP(A1225,[1]Sheet1!$A$2:$Q$1536,16,FALSE)</f>
        <v>9786.4698258365097</v>
      </c>
      <c r="U1225" s="27">
        <f t="shared" si="58"/>
        <v>-0.62907130217349494</v>
      </c>
      <c r="V1225" s="19">
        <f>VLOOKUP(A1225,[1]Sheet1!$A$2:$Q$1536,17,FALSE)</f>
        <v>7442.0830078125</v>
      </c>
      <c r="W1225" s="27">
        <f t="shared" si="59"/>
        <v>-1.1422573661326694</v>
      </c>
    </row>
    <row r="1226" spans="1:23" x14ac:dyDescent="0.3">
      <c r="A1226" s="4" t="s">
        <v>301</v>
      </c>
      <c r="B1226" s="5">
        <v>2013</v>
      </c>
      <c r="C1226" s="5" t="s">
        <v>237</v>
      </c>
      <c r="D1226" s="15" t="s">
        <v>286</v>
      </c>
      <c r="E1226" s="6">
        <v>134020</v>
      </c>
      <c r="F1226" s="5" t="s">
        <v>73</v>
      </c>
      <c r="G1226" s="5" t="s">
        <v>25</v>
      </c>
      <c r="H1226" s="5" t="s">
        <v>18</v>
      </c>
      <c r="I1226" s="5" t="s">
        <v>17</v>
      </c>
      <c r="J1226" s="7">
        <v>45398</v>
      </c>
      <c r="K1226" s="5" t="s">
        <v>17</v>
      </c>
      <c r="L1226" s="8">
        <v>43612</v>
      </c>
      <c r="M1226" s="19">
        <v>264</v>
      </c>
      <c r="N1226" s="19">
        <v>314</v>
      </c>
      <c r="O1226" s="24">
        <v>4100</v>
      </c>
      <c r="P1226" s="24">
        <v>11200</v>
      </c>
      <c r="Q1226" t="s">
        <v>1983</v>
      </c>
      <c r="R1226" s="19">
        <f>VLOOKUP(A1226,[1]Sheet1!$A$2:$Q$1536,15,FALSE)</f>
        <v>2277.178466796875</v>
      </c>
      <c r="S1226" s="27">
        <f t="shared" si="57"/>
        <v>-3.9183672528548654</v>
      </c>
      <c r="T1226" s="19">
        <f>VLOOKUP(A1226,[1]Sheet1!$A$2:$Q$1536,16,FALSE)</f>
        <v>9167.0502406143187</v>
      </c>
      <c r="U1226" s="27">
        <f t="shared" si="58"/>
        <v>-0.22176705767126303</v>
      </c>
      <c r="V1226" s="19">
        <f>VLOOKUP(A1226,[1]Sheet1!$A$2:$Q$1536,17,FALSE)</f>
        <v>2178.560791015625</v>
      </c>
      <c r="W1226" s="27">
        <f t="shared" si="59"/>
        <v>-4.1410087091389647</v>
      </c>
    </row>
    <row r="1227" spans="1:23" x14ac:dyDescent="0.3">
      <c r="A1227" s="4" t="s">
        <v>459</v>
      </c>
      <c r="B1227" s="5">
        <v>2015</v>
      </c>
      <c r="C1227" s="5" t="s">
        <v>391</v>
      </c>
      <c r="D1227" s="15" t="s">
        <v>413</v>
      </c>
      <c r="E1227" s="6">
        <v>107650</v>
      </c>
      <c r="F1227" s="5" t="s">
        <v>81</v>
      </c>
      <c r="G1227" s="5" t="s">
        <v>28</v>
      </c>
      <c r="H1227" s="5" t="s">
        <v>17</v>
      </c>
      <c r="I1227" s="5" t="s">
        <v>18</v>
      </c>
      <c r="J1227" s="7">
        <v>45435</v>
      </c>
      <c r="K1227" s="5" t="s">
        <v>17</v>
      </c>
      <c r="L1227" s="8">
        <v>43605</v>
      </c>
      <c r="M1227" s="19">
        <v>264</v>
      </c>
      <c r="N1227" s="19">
        <v>314</v>
      </c>
      <c r="O1227" s="24">
        <v>3700</v>
      </c>
      <c r="P1227" s="24">
        <v>8000</v>
      </c>
      <c r="Q1227" t="s">
        <v>1983</v>
      </c>
      <c r="R1227" s="19">
        <f>VLOOKUP(A1227,[1]Sheet1!$A$2:$Q$1536,15,FALSE)</f>
        <v>3165.624755859375</v>
      </c>
      <c r="S1227" s="27">
        <f t="shared" si="57"/>
        <v>-1.5271472827575334</v>
      </c>
      <c r="T1227" s="19">
        <f>VLOOKUP(A1227,[1]Sheet1!$A$2:$Q$1536,16,FALSE)</f>
        <v>9318.217021935272</v>
      </c>
      <c r="U1227" s="27">
        <f t="shared" si="58"/>
        <v>0.14146665814202034</v>
      </c>
      <c r="V1227" s="19">
        <f>VLOOKUP(A1227,[1]Sheet1!$A$2:$Q$1536,17,FALSE)</f>
        <v>3089.48779296875</v>
      </c>
      <c r="W1227" s="27">
        <f t="shared" si="59"/>
        <v>-1.5894259942398548</v>
      </c>
    </row>
    <row r="1228" spans="1:23" x14ac:dyDescent="0.3">
      <c r="A1228" s="4" t="s">
        <v>1080</v>
      </c>
      <c r="B1228" s="5">
        <v>2016</v>
      </c>
      <c r="C1228" s="5" t="s">
        <v>535</v>
      </c>
      <c r="D1228" s="15" t="s">
        <v>1076</v>
      </c>
      <c r="E1228" s="6">
        <v>127608</v>
      </c>
      <c r="F1228" s="5" t="s">
        <v>32</v>
      </c>
      <c r="G1228" s="5" t="s">
        <v>25</v>
      </c>
      <c r="H1228" s="5" t="s">
        <v>18</v>
      </c>
      <c r="I1228" s="5" t="s">
        <v>17</v>
      </c>
      <c r="J1228" s="7">
        <v>45482</v>
      </c>
      <c r="K1228" s="5" t="s">
        <v>17</v>
      </c>
      <c r="L1228" s="8">
        <v>43935</v>
      </c>
      <c r="M1228" s="19">
        <v>222</v>
      </c>
      <c r="N1228" s="19">
        <v>272</v>
      </c>
      <c r="O1228" s="24">
        <v>5200</v>
      </c>
      <c r="P1228" s="24">
        <v>14700</v>
      </c>
      <c r="Q1228" t="s">
        <v>1983</v>
      </c>
      <c r="R1228" s="19">
        <f>VLOOKUP(A1228,[1]Sheet1!$A$2:$Q$1536,15,FALSE)</f>
        <v>2888.47314453125</v>
      </c>
      <c r="S1228" s="27">
        <f t="shared" si="57"/>
        <v>-4.0891939320369062</v>
      </c>
      <c r="T1228" s="19">
        <f>VLOOKUP(A1228,[1]Sheet1!$A$2:$Q$1536,16,FALSE)</f>
        <v>9033.7260485984116</v>
      </c>
      <c r="U1228" s="27">
        <f t="shared" si="58"/>
        <v>-0.62723553060154114</v>
      </c>
      <c r="V1228" s="19">
        <f>VLOOKUP(A1228,[1]Sheet1!$A$2:$Q$1536,17,FALSE)</f>
        <v>2692.84326171875</v>
      </c>
      <c r="W1228" s="27">
        <f t="shared" si="59"/>
        <v>-4.4589140812516108</v>
      </c>
    </row>
    <row r="1229" spans="1:23" x14ac:dyDescent="0.3">
      <c r="A1229" s="4" t="s">
        <v>588</v>
      </c>
      <c r="B1229" s="5">
        <v>2014</v>
      </c>
      <c r="C1229" s="5" t="s">
        <v>391</v>
      </c>
      <c r="D1229" s="15" t="s">
        <v>582</v>
      </c>
      <c r="E1229" s="6">
        <v>117555</v>
      </c>
      <c r="F1229" s="5" t="s">
        <v>24</v>
      </c>
      <c r="G1229" s="5" t="s">
        <v>28</v>
      </c>
      <c r="H1229" s="5" t="s">
        <v>17</v>
      </c>
      <c r="I1229" s="5" t="s">
        <v>18</v>
      </c>
      <c r="J1229" s="7">
        <v>45720</v>
      </c>
      <c r="K1229" s="5" t="s">
        <v>17</v>
      </c>
      <c r="L1229" s="8">
        <v>44128</v>
      </c>
      <c r="M1229" s="19">
        <v>264</v>
      </c>
      <c r="N1229" s="19">
        <v>314</v>
      </c>
      <c r="O1229" s="24">
        <v>5900</v>
      </c>
      <c r="P1229" s="24">
        <v>8000</v>
      </c>
      <c r="Q1229" t="s">
        <v>1983</v>
      </c>
      <c r="R1229" s="19">
        <f>VLOOKUP(A1229,[1]Sheet1!$A$2:$Q$1536,15,FALSE)</f>
        <v>1848.0732421875</v>
      </c>
      <c r="S1229" s="27">
        <f t="shared" si="57"/>
        <v>-3.3288327634302406</v>
      </c>
      <c r="T1229" s="19">
        <f>VLOOKUP(A1229,[1]Sheet1!$A$2:$Q$1536,16,FALSE)</f>
        <v>9383.1771879786029</v>
      </c>
      <c r="U1229" s="27">
        <f t="shared" si="58"/>
        <v>0.14741032384539013</v>
      </c>
      <c r="V1229" s="19">
        <f>VLOOKUP(A1229,[1]Sheet1!$A$2:$Q$1536,17,FALSE)</f>
        <v>1822.751098632812</v>
      </c>
      <c r="W1229" s="27">
        <f t="shared" si="59"/>
        <v>-3.3889700606959154</v>
      </c>
    </row>
    <row r="1230" spans="1:23" x14ac:dyDescent="0.3">
      <c r="A1230" s="4" t="s">
        <v>1828</v>
      </c>
      <c r="B1230" s="5">
        <v>2016</v>
      </c>
      <c r="C1230" s="5" t="s">
        <v>1826</v>
      </c>
      <c r="D1230" s="15" t="s">
        <v>1827</v>
      </c>
      <c r="E1230" s="6">
        <v>73356</v>
      </c>
      <c r="F1230" s="5" t="s">
        <v>57</v>
      </c>
      <c r="G1230" s="5" t="s">
        <v>25</v>
      </c>
      <c r="H1230" s="5" t="s">
        <v>18</v>
      </c>
      <c r="I1230" s="5" t="s">
        <v>17</v>
      </c>
      <c r="J1230" s="7">
        <v>45454</v>
      </c>
      <c r="K1230" s="5" t="s">
        <v>17</v>
      </c>
      <c r="L1230" s="8">
        <v>43608</v>
      </c>
      <c r="M1230" s="19">
        <v>264</v>
      </c>
      <c r="N1230" s="19">
        <v>314</v>
      </c>
      <c r="O1230" s="24">
        <v>5100</v>
      </c>
      <c r="P1230" s="24">
        <v>8058.3333333333303</v>
      </c>
      <c r="Q1230" t="s">
        <v>1983</v>
      </c>
      <c r="R1230" s="19">
        <f>VLOOKUP(A1230,[1]Sheet1!$A$2:$Q$1536,15,FALSE)</f>
        <v>5657.86279296875</v>
      </c>
      <c r="S1230" s="27">
        <f t="shared" si="57"/>
        <v>-0.42427160717784462</v>
      </c>
      <c r="T1230" s="19">
        <f>VLOOKUP(A1230,[1]Sheet1!$A$2:$Q$1536,16,FALSE)</f>
        <v>9310.225349272634</v>
      </c>
      <c r="U1230" s="27">
        <f t="shared" si="58"/>
        <v>0.13446420134579326</v>
      </c>
      <c r="V1230" s="19">
        <f>VLOOKUP(A1230,[1]Sheet1!$A$2:$Q$1536,17,FALSE)</f>
        <v>5648.3291015625</v>
      </c>
      <c r="W1230" s="27">
        <f t="shared" si="59"/>
        <v>-0.42667560413647809</v>
      </c>
    </row>
    <row r="1231" spans="1:23" x14ac:dyDescent="0.3">
      <c r="A1231" s="4" t="s">
        <v>1499</v>
      </c>
      <c r="B1231" s="5">
        <v>2014</v>
      </c>
      <c r="C1231" s="5" t="s">
        <v>1228</v>
      </c>
      <c r="D1231" s="15" t="s">
        <v>1232</v>
      </c>
      <c r="E1231" s="6">
        <v>157064</v>
      </c>
      <c r="F1231" s="5" t="s">
        <v>27</v>
      </c>
      <c r="G1231" s="5" t="s">
        <v>25</v>
      </c>
      <c r="H1231" s="5" t="s">
        <v>18</v>
      </c>
      <c r="I1231" s="5" t="s">
        <v>17</v>
      </c>
      <c r="J1231" s="7">
        <v>45400</v>
      </c>
      <c r="K1231" s="5" t="s">
        <v>17</v>
      </c>
      <c r="L1231" s="8">
        <v>44310</v>
      </c>
      <c r="M1231" s="19">
        <v>235</v>
      </c>
      <c r="N1231" s="19">
        <v>285</v>
      </c>
      <c r="O1231" s="24">
        <v>1500</v>
      </c>
      <c r="P1231" s="24">
        <v>4400</v>
      </c>
      <c r="Q1231" t="s">
        <v>1983</v>
      </c>
      <c r="R1231" s="19">
        <f>VLOOKUP(A1231,[1]Sheet1!$A$2:$Q$1536,15,FALSE)</f>
        <v>2025.6328125</v>
      </c>
      <c r="S1231" s="27">
        <f t="shared" si="57"/>
        <v>-1.1721607059522294</v>
      </c>
      <c r="T1231" s="19">
        <f>VLOOKUP(A1231,[1]Sheet1!$A$2:$Q$1536,16,FALSE)</f>
        <v>8932.8038446111805</v>
      </c>
      <c r="U1231" s="27">
        <f t="shared" si="58"/>
        <v>0.50743349159577122</v>
      </c>
      <c r="V1231" s="19">
        <f>VLOOKUP(A1231,[1]Sheet1!$A$2:$Q$1536,17,FALSE)</f>
        <v>1967.080444335938</v>
      </c>
      <c r="W1231" s="27">
        <f t="shared" si="59"/>
        <v>-1.2368175194204554</v>
      </c>
    </row>
    <row r="1232" spans="1:23" x14ac:dyDescent="0.3">
      <c r="A1232" s="4" t="s">
        <v>1190</v>
      </c>
      <c r="B1232" s="5">
        <v>2014</v>
      </c>
      <c r="C1232" s="5" t="s">
        <v>684</v>
      </c>
      <c r="D1232" s="15" t="s">
        <v>1187</v>
      </c>
      <c r="E1232" s="6">
        <v>87093</v>
      </c>
      <c r="F1232" s="5" t="s">
        <v>92</v>
      </c>
      <c r="G1232" s="5" t="s">
        <v>22</v>
      </c>
      <c r="H1232" s="5" t="s">
        <v>18</v>
      </c>
      <c r="I1232" s="5" t="s">
        <v>17</v>
      </c>
      <c r="J1232" s="7">
        <v>45524</v>
      </c>
      <c r="K1232" s="5" t="s">
        <v>17</v>
      </c>
      <c r="L1232" s="8">
        <v>44113</v>
      </c>
      <c r="M1232" s="19">
        <v>264</v>
      </c>
      <c r="N1232" s="19">
        <v>314</v>
      </c>
      <c r="O1232" s="24">
        <v>0</v>
      </c>
      <c r="P1232" s="24">
        <v>3800</v>
      </c>
      <c r="Q1232" t="s">
        <v>1983</v>
      </c>
      <c r="R1232" s="19">
        <f>VLOOKUP(A1232,[1]Sheet1!$A$2:$Q$1536,15,FALSE)</f>
        <v>5638.97119140625</v>
      </c>
      <c r="S1232" s="27">
        <f t="shared" si="57"/>
        <v>0.32611821003959524</v>
      </c>
      <c r="T1232" s="19">
        <f>VLOOKUP(A1232,[1]Sheet1!$A$2:$Q$1536,16,FALSE)</f>
        <v>9835.643004654401</v>
      </c>
      <c r="U1232" s="27">
        <f t="shared" si="58"/>
        <v>0.61365006861251747</v>
      </c>
      <c r="V1232" s="19">
        <f>VLOOKUP(A1232,[1]Sheet1!$A$2:$Q$1536,17,FALSE)</f>
        <v>5713.1025390625</v>
      </c>
      <c r="W1232" s="27">
        <f t="shared" si="59"/>
        <v>0.33486227946758212</v>
      </c>
    </row>
    <row r="1233" spans="1:23" x14ac:dyDescent="0.3">
      <c r="A1233" s="4" t="s">
        <v>1095</v>
      </c>
      <c r="B1233" s="5">
        <v>2020</v>
      </c>
      <c r="C1233" s="5" t="s">
        <v>1086</v>
      </c>
      <c r="D1233" s="15" t="s">
        <v>1093</v>
      </c>
      <c r="E1233" s="6">
        <v>75331</v>
      </c>
      <c r="F1233" s="5" t="s">
        <v>24</v>
      </c>
      <c r="G1233" s="5" t="s">
        <v>22</v>
      </c>
      <c r="H1233" s="5" t="s">
        <v>18</v>
      </c>
      <c r="I1233" s="5" t="s">
        <v>17</v>
      </c>
      <c r="J1233" s="7">
        <v>45470</v>
      </c>
      <c r="K1233" s="5" t="s">
        <v>17</v>
      </c>
      <c r="L1233" s="8">
        <v>44310</v>
      </c>
      <c r="M1233" s="19">
        <v>235</v>
      </c>
      <c r="N1233" s="19">
        <v>285</v>
      </c>
      <c r="O1233" s="24">
        <v>4000</v>
      </c>
      <c r="P1233" s="24">
        <v>14500</v>
      </c>
      <c r="Q1233" t="s">
        <v>1983</v>
      </c>
      <c r="R1233" s="19">
        <f>VLOOKUP(A1233,[1]Sheet1!$A$2:$Q$1536,15,FALSE)</f>
        <v>5575.02587890625</v>
      </c>
      <c r="S1233" s="27">
        <f t="shared" si="57"/>
        <v>-1.6008847877930779</v>
      </c>
      <c r="T1233" s="19">
        <f>VLOOKUP(A1233,[1]Sheet1!$A$2:$Q$1536,16,FALSE)</f>
        <v>10303.02662997848</v>
      </c>
      <c r="U1233" s="27">
        <f t="shared" si="58"/>
        <v>-0.40735344290091258</v>
      </c>
      <c r="V1233" s="19">
        <f>VLOOKUP(A1233,[1]Sheet1!$A$2:$Q$1536,17,FALSE)</f>
        <v>5233.70654296875</v>
      </c>
      <c r="W1233" s="27">
        <f t="shared" si="59"/>
        <v>-1.770503061445067</v>
      </c>
    </row>
    <row r="1234" spans="1:23" x14ac:dyDescent="0.3">
      <c r="A1234" s="4" t="s">
        <v>1010</v>
      </c>
      <c r="B1234" s="5">
        <v>2017</v>
      </c>
      <c r="C1234" s="5" t="s">
        <v>237</v>
      </c>
      <c r="D1234" s="15" t="s">
        <v>241</v>
      </c>
      <c r="E1234" s="6">
        <v>66059</v>
      </c>
      <c r="F1234" s="5" t="s">
        <v>170</v>
      </c>
      <c r="G1234" s="5" t="s">
        <v>25</v>
      </c>
      <c r="H1234" s="5" t="s">
        <v>18</v>
      </c>
      <c r="I1234" s="5" t="s">
        <v>17</v>
      </c>
      <c r="J1234" s="7">
        <v>45356</v>
      </c>
      <c r="K1234" s="5" t="s">
        <v>17</v>
      </c>
      <c r="L1234" s="8">
        <v>44310</v>
      </c>
      <c r="M1234" s="19">
        <v>235</v>
      </c>
      <c r="N1234" s="19">
        <v>285</v>
      </c>
      <c r="O1234" s="24">
        <v>7200</v>
      </c>
      <c r="P1234" s="24">
        <v>9100</v>
      </c>
      <c r="Q1234" t="s">
        <v>1983</v>
      </c>
      <c r="R1234" s="19">
        <f>VLOOKUP(A1234,[1]Sheet1!$A$2:$Q$1536,15,FALSE)</f>
        <v>12226.5869140625</v>
      </c>
      <c r="S1234" s="27">
        <f t="shared" si="57"/>
        <v>0.25572033602169325</v>
      </c>
      <c r="T1234" s="19">
        <f>VLOOKUP(A1234,[1]Sheet1!$A$2:$Q$1536,16,FALSE)</f>
        <v>10577.552972047921</v>
      </c>
      <c r="U1234" s="27">
        <f t="shared" si="58"/>
        <v>0.139687598441008</v>
      </c>
      <c r="V1234" s="19">
        <f>VLOOKUP(A1234,[1]Sheet1!$A$2:$Q$1536,17,FALSE)</f>
        <v>12337.619140625</v>
      </c>
      <c r="W1234" s="27">
        <f t="shared" si="59"/>
        <v>0.26241847018637898</v>
      </c>
    </row>
    <row r="1235" spans="1:23" x14ac:dyDescent="0.3">
      <c r="A1235" s="4" t="s">
        <v>1045</v>
      </c>
      <c r="B1235" s="5">
        <v>2022</v>
      </c>
      <c r="C1235" s="5" t="s">
        <v>391</v>
      </c>
      <c r="D1235" s="15" t="s">
        <v>1046</v>
      </c>
      <c r="E1235" s="6">
        <v>26233</v>
      </c>
      <c r="F1235" s="5" t="s">
        <v>246</v>
      </c>
      <c r="G1235" s="5" t="s">
        <v>16</v>
      </c>
      <c r="H1235" s="5" t="s">
        <v>17</v>
      </c>
      <c r="I1235" s="5" t="s">
        <v>18</v>
      </c>
      <c r="J1235" s="7">
        <v>45715</v>
      </c>
      <c r="K1235" s="5" t="s">
        <v>17</v>
      </c>
      <c r="L1235" s="8">
        <v>44028</v>
      </c>
      <c r="M1235" s="19">
        <v>235</v>
      </c>
      <c r="N1235" s="19">
        <v>285</v>
      </c>
      <c r="O1235" s="24">
        <v>0</v>
      </c>
      <c r="P1235" s="24">
        <v>21800</v>
      </c>
      <c r="Q1235" t="s">
        <v>1983</v>
      </c>
      <c r="R1235" s="19">
        <f>VLOOKUP(A1235,[1]Sheet1!$A$2:$Q$1536,15,FALSE)</f>
        <v>24650.908203125</v>
      </c>
      <c r="S1235" s="27">
        <f t="shared" si="57"/>
        <v>0.1156512441502496</v>
      </c>
      <c r="T1235" s="19">
        <f>VLOOKUP(A1235,[1]Sheet1!$A$2:$Q$1536,16,FALSE)</f>
        <v>15025.457416593939</v>
      </c>
      <c r="U1235" s="27">
        <f t="shared" si="58"/>
        <v>-0.45087097155021283</v>
      </c>
      <c r="V1235" s="19">
        <f>VLOOKUP(A1235,[1]Sheet1!$A$2:$Q$1536,17,FALSE)</f>
        <v>24371.5234375</v>
      </c>
      <c r="W1235" s="27">
        <f t="shared" si="59"/>
        <v>0.10551344662940708</v>
      </c>
    </row>
    <row r="1236" spans="1:23" x14ac:dyDescent="0.3">
      <c r="A1236" s="4" t="s">
        <v>80</v>
      </c>
      <c r="B1236" s="5">
        <v>2016</v>
      </c>
      <c r="C1236" s="5" t="s">
        <v>46</v>
      </c>
      <c r="D1236" s="15">
        <v>200</v>
      </c>
      <c r="E1236" s="6">
        <v>64127</v>
      </c>
      <c r="F1236" s="5" t="s">
        <v>81</v>
      </c>
      <c r="G1236" s="5" t="s">
        <v>33</v>
      </c>
      <c r="H1236" s="5" t="s">
        <v>17</v>
      </c>
      <c r="I1236" s="5" t="s">
        <v>18</v>
      </c>
      <c r="J1236" s="7">
        <v>45538</v>
      </c>
      <c r="K1236" s="5" t="s">
        <v>17</v>
      </c>
      <c r="L1236" s="8">
        <v>44028</v>
      </c>
      <c r="M1236" s="19">
        <v>235</v>
      </c>
      <c r="N1236" s="19">
        <v>285</v>
      </c>
      <c r="O1236" s="24">
        <v>10000</v>
      </c>
      <c r="P1236" s="24">
        <v>11000</v>
      </c>
      <c r="Q1236" t="s">
        <v>1983</v>
      </c>
      <c r="R1236" s="19">
        <f>VLOOKUP(A1236,[1]Sheet1!$A$2:$Q$1536,15,FALSE)</f>
        <v>6378.5966796875</v>
      </c>
      <c r="S1236" s="27">
        <f t="shared" si="57"/>
        <v>-0.72451724922963956</v>
      </c>
      <c r="T1236" s="19">
        <f>VLOOKUP(A1236,[1]Sheet1!$A$2:$Q$1536,16,FALSE)</f>
        <v>11142.81117681071</v>
      </c>
      <c r="U1236" s="27">
        <f t="shared" si="58"/>
        <v>1.2816440532341987E-2</v>
      </c>
      <c r="V1236" s="19">
        <f>VLOOKUP(A1236,[1]Sheet1!$A$2:$Q$1536,17,FALSE)</f>
        <v>6052.29443359375</v>
      </c>
      <c r="W1236" s="27">
        <f t="shared" si="59"/>
        <v>-0.81749254281873829</v>
      </c>
    </row>
    <row r="1237" spans="1:23" x14ac:dyDescent="0.3">
      <c r="A1237" s="4" t="s">
        <v>1217</v>
      </c>
      <c r="B1237" s="5">
        <v>2014</v>
      </c>
      <c r="C1237" s="5" t="s">
        <v>684</v>
      </c>
      <c r="D1237" s="15" t="s">
        <v>1215</v>
      </c>
      <c r="E1237" s="6">
        <v>117578</v>
      </c>
      <c r="F1237" s="5" t="s">
        <v>42</v>
      </c>
      <c r="G1237" s="5" t="s">
        <v>28</v>
      </c>
      <c r="H1237" s="5" t="s">
        <v>17</v>
      </c>
      <c r="I1237" s="5" t="s">
        <v>18</v>
      </c>
      <c r="J1237" s="7">
        <v>45398</v>
      </c>
      <c r="K1237" s="5" t="s">
        <v>17</v>
      </c>
      <c r="L1237" s="8">
        <v>44310</v>
      </c>
      <c r="M1237" s="19">
        <v>235</v>
      </c>
      <c r="N1237" s="19">
        <v>285</v>
      </c>
      <c r="O1237" s="24">
        <v>0</v>
      </c>
      <c r="P1237" s="24">
        <v>3100</v>
      </c>
      <c r="Q1237" t="s">
        <v>1983</v>
      </c>
      <c r="R1237" s="19">
        <f>VLOOKUP(A1237,[1]Sheet1!$A$2:$Q$1536,15,FALSE)</f>
        <v>1766.054443359375</v>
      </c>
      <c r="S1237" s="27">
        <f t="shared" si="57"/>
        <v>-0.75532527417626161</v>
      </c>
      <c r="T1237" s="19">
        <f>VLOOKUP(A1237,[1]Sheet1!$A$2:$Q$1536,16,FALSE)</f>
        <v>8923.5901790540229</v>
      </c>
      <c r="U1237" s="27">
        <f t="shared" si="58"/>
        <v>0.65260618901162637</v>
      </c>
      <c r="V1237" s="19">
        <f>VLOOKUP(A1237,[1]Sheet1!$A$2:$Q$1536,17,FALSE)</f>
        <v>1710.525390625</v>
      </c>
      <c r="W1237" s="27">
        <f t="shared" si="59"/>
        <v>-0.81230867252271954</v>
      </c>
    </row>
    <row r="1238" spans="1:23" x14ac:dyDescent="0.3">
      <c r="A1238" s="4" t="s">
        <v>692</v>
      </c>
      <c r="B1238" s="5">
        <v>2015</v>
      </c>
      <c r="C1238" s="5" t="s">
        <v>684</v>
      </c>
      <c r="D1238" s="15" t="s">
        <v>693</v>
      </c>
      <c r="E1238" s="6">
        <v>124744</v>
      </c>
      <c r="F1238" s="5" t="s">
        <v>158</v>
      </c>
      <c r="G1238" s="5" t="s">
        <v>25</v>
      </c>
      <c r="H1238" s="5" t="s">
        <v>18</v>
      </c>
      <c r="I1238" s="5" t="s">
        <v>17</v>
      </c>
      <c r="J1238" s="7">
        <v>45692</v>
      </c>
      <c r="K1238" s="5" t="s">
        <v>17</v>
      </c>
      <c r="L1238" s="8">
        <v>44054</v>
      </c>
      <c r="M1238" s="19">
        <v>235</v>
      </c>
      <c r="N1238" s="19">
        <v>285</v>
      </c>
      <c r="O1238" s="24">
        <v>3300</v>
      </c>
      <c r="P1238" s="24">
        <v>5700</v>
      </c>
      <c r="Q1238" t="s">
        <v>1983</v>
      </c>
      <c r="R1238" s="19">
        <f>VLOOKUP(A1238,[1]Sheet1!$A$2:$Q$1536,15,FALSE)</f>
        <v>4504.146484375</v>
      </c>
      <c r="S1238" s="27">
        <f t="shared" si="57"/>
        <v>-0.26550058257950682</v>
      </c>
      <c r="T1238" s="19">
        <f>VLOOKUP(A1238,[1]Sheet1!$A$2:$Q$1536,16,FALSE)</f>
        <v>9503.3893848758489</v>
      </c>
      <c r="U1238" s="27">
        <f t="shared" si="58"/>
        <v>0.40021399006640157</v>
      </c>
      <c r="V1238" s="19">
        <f>VLOOKUP(A1238,[1]Sheet1!$A$2:$Q$1536,17,FALSE)</f>
        <v>4499.12060546875</v>
      </c>
      <c r="W1238" s="27">
        <f t="shared" si="59"/>
        <v>-0.26691424832478655</v>
      </c>
    </row>
    <row r="1239" spans="1:23" x14ac:dyDescent="0.3">
      <c r="A1239" s="4" t="s">
        <v>1078</v>
      </c>
      <c r="B1239" s="5">
        <v>2012</v>
      </c>
      <c r="C1239" s="5" t="s">
        <v>535</v>
      </c>
      <c r="D1239" s="15" t="s">
        <v>1076</v>
      </c>
      <c r="E1239" s="6">
        <v>122924</v>
      </c>
      <c r="F1239" s="5" t="s">
        <v>42</v>
      </c>
      <c r="G1239" s="5" t="s">
        <v>25</v>
      </c>
      <c r="H1239" s="5" t="s">
        <v>18</v>
      </c>
      <c r="I1239" s="5" t="s">
        <v>17</v>
      </c>
      <c r="J1239" s="7">
        <v>45692</v>
      </c>
      <c r="K1239" s="5" t="s">
        <v>17</v>
      </c>
      <c r="L1239" s="8">
        <v>44035</v>
      </c>
      <c r="M1239" s="19">
        <v>222</v>
      </c>
      <c r="N1239" s="19">
        <v>272</v>
      </c>
      <c r="O1239" s="24">
        <v>3600</v>
      </c>
      <c r="P1239" s="24">
        <v>8300</v>
      </c>
      <c r="Q1239" t="s">
        <v>1983</v>
      </c>
      <c r="R1239" s="19">
        <f>VLOOKUP(A1239,[1]Sheet1!$A$2:$Q$1536,15,FALSE)</f>
        <v>1699.723266601562</v>
      </c>
      <c r="S1239" s="27">
        <f t="shared" si="57"/>
        <v>-3.8831478412336349</v>
      </c>
      <c r="T1239" s="19">
        <f>VLOOKUP(A1239,[1]Sheet1!$A$2:$Q$1536,16,FALSE)</f>
        <v>9041.3274420605158</v>
      </c>
      <c r="U1239" s="27">
        <f t="shared" si="58"/>
        <v>8.1993208056135553E-2</v>
      </c>
      <c r="V1239" s="19">
        <f>VLOOKUP(A1239,[1]Sheet1!$A$2:$Q$1536,17,FALSE)</f>
        <v>1672.987060546875</v>
      </c>
      <c r="W1239" s="27">
        <f t="shared" si="59"/>
        <v>-3.9611860101816037</v>
      </c>
    </row>
    <row r="1240" spans="1:23" x14ac:dyDescent="0.3">
      <c r="A1240" s="4" t="s">
        <v>1088</v>
      </c>
      <c r="B1240" s="5">
        <v>2021</v>
      </c>
      <c r="C1240" s="5" t="s">
        <v>1089</v>
      </c>
      <c r="D1240" s="15" t="s">
        <v>1090</v>
      </c>
      <c r="E1240" s="6">
        <v>84873</v>
      </c>
      <c r="F1240" s="5" t="s">
        <v>77</v>
      </c>
      <c r="G1240" s="5" t="s">
        <v>28</v>
      </c>
      <c r="H1240" s="5" t="s">
        <v>17</v>
      </c>
      <c r="I1240" s="5" t="s">
        <v>18</v>
      </c>
      <c r="J1240" s="7">
        <v>45708</v>
      </c>
      <c r="K1240" s="5" t="s">
        <v>17</v>
      </c>
      <c r="L1240" s="8">
        <v>44224</v>
      </c>
      <c r="M1240" s="19">
        <v>235</v>
      </c>
      <c r="N1240" s="19">
        <v>285</v>
      </c>
      <c r="O1240" s="24">
        <v>8900</v>
      </c>
      <c r="P1240" s="24">
        <v>11500</v>
      </c>
      <c r="Q1240" t="s">
        <v>1983</v>
      </c>
      <c r="R1240" s="19">
        <f>VLOOKUP(A1240,[1]Sheet1!$A$2:$Q$1536,15,FALSE)</f>
        <v>10470.453125</v>
      </c>
      <c r="S1240" s="27">
        <f t="shared" si="57"/>
        <v>-9.8328779347837444E-2</v>
      </c>
      <c r="T1240" s="19">
        <f>VLOOKUP(A1240,[1]Sheet1!$A$2:$Q$1536,16,FALSE)</f>
        <v>11127.349429533941</v>
      </c>
      <c r="U1240" s="27">
        <f t="shared" si="58"/>
        <v>-3.3489607999276028E-2</v>
      </c>
      <c r="V1240" s="19">
        <f>VLOOKUP(A1240,[1]Sheet1!$A$2:$Q$1536,17,FALSE)</f>
        <v>10546.0185546875</v>
      </c>
      <c r="W1240" s="27">
        <f t="shared" si="59"/>
        <v>-9.0458919673384583E-2</v>
      </c>
    </row>
    <row r="1241" spans="1:23" x14ac:dyDescent="0.3">
      <c r="A1241" s="4" t="s">
        <v>506</v>
      </c>
      <c r="B1241" s="5">
        <v>2018</v>
      </c>
      <c r="C1241" s="5" t="s">
        <v>391</v>
      </c>
      <c r="D1241" s="15" t="s">
        <v>394</v>
      </c>
      <c r="E1241" s="6">
        <v>148393</v>
      </c>
      <c r="F1241" s="5" t="s">
        <v>73</v>
      </c>
      <c r="G1241" s="5" t="s">
        <v>28</v>
      </c>
      <c r="H1241" s="5" t="s">
        <v>17</v>
      </c>
      <c r="I1241" s="5" t="s">
        <v>18</v>
      </c>
      <c r="J1241" s="7">
        <v>45554</v>
      </c>
      <c r="K1241" s="5" t="s">
        <v>17</v>
      </c>
      <c r="L1241" s="8">
        <v>43605</v>
      </c>
      <c r="M1241" s="19">
        <v>264</v>
      </c>
      <c r="N1241" s="19">
        <v>314</v>
      </c>
      <c r="O1241" s="24">
        <v>6200</v>
      </c>
      <c r="P1241" s="24">
        <v>13200</v>
      </c>
      <c r="Q1241" t="s">
        <v>1983</v>
      </c>
      <c r="R1241" s="19">
        <f>VLOOKUP(A1241,[1]Sheet1!$A$2:$Q$1536,15,FALSE)</f>
        <v>2510.60107421875</v>
      </c>
      <c r="S1241" s="27">
        <f t="shared" si="57"/>
        <v>-4.2577050713274236</v>
      </c>
      <c r="T1241" s="19">
        <f>VLOOKUP(A1241,[1]Sheet1!$A$2:$Q$1536,16,FALSE)</f>
        <v>9384.8591481717667</v>
      </c>
      <c r="U1241" s="27">
        <f t="shared" si="58"/>
        <v>-0.40652084294429164</v>
      </c>
      <c r="V1241" s="19">
        <f>VLOOKUP(A1241,[1]Sheet1!$A$2:$Q$1536,17,FALSE)</f>
        <v>2401.01171875</v>
      </c>
      <c r="W1241" s="27">
        <f t="shared" si="59"/>
        <v>-4.4976824548245453</v>
      </c>
    </row>
    <row r="1242" spans="1:23" x14ac:dyDescent="0.3">
      <c r="A1242" s="4" t="s">
        <v>1713</v>
      </c>
      <c r="B1242" s="5">
        <v>2014</v>
      </c>
      <c r="C1242" s="5" t="s">
        <v>1089</v>
      </c>
      <c r="D1242" s="15" t="s">
        <v>1714</v>
      </c>
      <c r="E1242" s="6">
        <v>159228</v>
      </c>
      <c r="F1242" s="5" t="s">
        <v>718</v>
      </c>
      <c r="G1242" s="5" t="s">
        <v>22</v>
      </c>
      <c r="H1242" s="5" t="s">
        <v>18</v>
      </c>
      <c r="I1242" s="5" t="s">
        <v>17</v>
      </c>
      <c r="J1242" s="7">
        <v>45580</v>
      </c>
      <c r="K1242" s="5" t="s">
        <v>17</v>
      </c>
      <c r="L1242" s="8">
        <v>44067</v>
      </c>
      <c r="M1242" s="19">
        <v>235</v>
      </c>
      <c r="N1242" s="19">
        <v>285</v>
      </c>
      <c r="O1242" s="24">
        <v>600</v>
      </c>
      <c r="P1242" s="24">
        <v>1500</v>
      </c>
      <c r="Q1242" t="s">
        <v>1983</v>
      </c>
      <c r="R1242" s="19">
        <f>VLOOKUP(A1242,[1]Sheet1!$A$2:$Q$1536,15,FALSE)</f>
        <v>798.64703369140625</v>
      </c>
      <c r="S1242" s="27">
        <f t="shared" si="57"/>
        <v>-0.87817638671602893</v>
      </c>
      <c r="T1242" s="19">
        <f>VLOOKUP(A1242,[1]Sheet1!$A$2:$Q$1536,16,FALSE)</f>
        <v>8637.3560559852504</v>
      </c>
      <c r="U1242" s="27">
        <f t="shared" si="58"/>
        <v>0.8263357455363235</v>
      </c>
      <c r="V1242" s="19">
        <f>VLOOKUP(A1242,[1]Sheet1!$A$2:$Q$1536,17,FALSE)</f>
        <v>1091.8388671875</v>
      </c>
      <c r="W1242" s="27">
        <f t="shared" si="59"/>
        <v>-0.37382909244098839</v>
      </c>
    </row>
    <row r="1243" spans="1:23" x14ac:dyDescent="0.3">
      <c r="A1243" s="4" t="s">
        <v>278</v>
      </c>
      <c r="B1243" s="5">
        <v>2017</v>
      </c>
      <c r="C1243" s="5" t="s">
        <v>237</v>
      </c>
      <c r="D1243" s="15" t="s">
        <v>277</v>
      </c>
      <c r="E1243" s="6">
        <v>143324</v>
      </c>
      <c r="F1243" s="5" t="s">
        <v>92</v>
      </c>
      <c r="G1243" s="5" t="s">
        <v>25</v>
      </c>
      <c r="H1243" s="5" t="s">
        <v>18</v>
      </c>
      <c r="I1243" s="5" t="s">
        <v>17</v>
      </c>
      <c r="J1243" s="7">
        <v>45706</v>
      </c>
      <c r="K1243" s="5" t="s">
        <v>17</v>
      </c>
      <c r="L1243" s="8">
        <v>43612</v>
      </c>
      <c r="M1243" s="19">
        <v>264</v>
      </c>
      <c r="N1243" s="19">
        <v>314</v>
      </c>
      <c r="O1243" s="24">
        <v>5400</v>
      </c>
      <c r="P1243" s="24">
        <v>13000</v>
      </c>
      <c r="Q1243" t="s">
        <v>1983</v>
      </c>
      <c r="R1243" s="19">
        <f>VLOOKUP(A1243,[1]Sheet1!$A$2:$Q$1536,15,FALSE)</f>
        <v>6150.71923828125</v>
      </c>
      <c r="S1243" s="27">
        <f t="shared" si="57"/>
        <v>-1.1135739571869492</v>
      </c>
      <c r="T1243" s="19">
        <f>VLOOKUP(A1243,[1]Sheet1!$A$2:$Q$1536,16,FALSE)</f>
        <v>10034.8934049249</v>
      </c>
      <c r="U1243" s="27">
        <f t="shared" si="58"/>
        <v>-0.2954796304682113</v>
      </c>
      <c r="V1243" s="19">
        <f>VLOOKUP(A1243,[1]Sheet1!$A$2:$Q$1536,17,FALSE)</f>
        <v>6136.4638671875</v>
      </c>
      <c r="W1243" s="27">
        <f t="shared" si="59"/>
        <v>-1.1184839153885926</v>
      </c>
    </row>
    <row r="1244" spans="1:23" x14ac:dyDescent="0.3">
      <c r="A1244" s="4" t="s">
        <v>1627</v>
      </c>
      <c r="B1244" s="5">
        <v>2019</v>
      </c>
      <c r="C1244" s="5" t="s">
        <v>519</v>
      </c>
      <c r="D1244" s="15" t="s">
        <v>1607</v>
      </c>
      <c r="E1244" s="6">
        <v>89160</v>
      </c>
      <c r="F1244" s="5" t="s">
        <v>81</v>
      </c>
      <c r="G1244" s="5" t="s">
        <v>25</v>
      </c>
      <c r="H1244" s="5" t="s">
        <v>18</v>
      </c>
      <c r="I1244" s="5" t="s">
        <v>17</v>
      </c>
      <c r="J1244" s="7">
        <v>45580</v>
      </c>
      <c r="K1244" s="5" t="s">
        <v>17</v>
      </c>
      <c r="L1244" s="8">
        <v>44113</v>
      </c>
      <c r="M1244" s="19">
        <v>264</v>
      </c>
      <c r="N1244" s="19">
        <v>314</v>
      </c>
      <c r="O1244" s="24">
        <v>6100</v>
      </c>
      <c r="P1244" s="24">
        <v>14100</v>
      </c>
      <c r="Q1244" t="s">
        <v>1983</v>
      </c>
      <c r="R1244" s="19">
        <f>VLOOKUP(A1244,[1]Sheet1!$A$2:$Q$1536,15,FALSE)</f>
        <v>4239.51708984375</v>
      </c>
      <c r="S1244" s="27">
        <f t="shared" si="57"/>
        <v>-2.3258504922124668</v>
      </c>
      <c r="T1244" s="19">
        <f>VLOOKUP(A1244,[1]Sheet1!$A$2:$Q$1536,16,FALSE)</f>
        <v>9394.7773755536473</v>
      </c>
      <c r="U1244" s="27">
        <f t="shared" si="58"/>
        <v>-0.50083386080972114</v>
      </c>
      <c r="V1244" s="19">
        <f>VLOOKUP(A1244,[1]Sheet1!$A$2:$Q$1536,17,FALSE)</f>
        <v>4229.32421875</v>
      </c>
      <c r="W1244" s="27">
        <f t="shared" si="59"/>
        <v>-2.3338659489594136</v>
      </c>
    </row>
    <row r="1245" spans="1:23" x14ac:dyDescent="0.3">
      <c r="A1245" s="4" t="s">
        <v>309</v>
      </c>
      <c r="B1245" s="5">
        <v>2017</v>
      </c>
      <c r="C1245" s="5" t="s">
        <v>237</v>
      </c>
      <c r="D1245" s="15" t="s">
        <v>310</v>
      </c>
      <c r="E1245" s="6">
        <v>130151</v>
      </c>
      <c r="F1245" s="5" t="s">
        <v>66</v>
      </c>
      <c r="G1245" s="5" t="s">
        <v>33</v>
      </c>
      <c r="H1245" s="5" t="s">
        <v>17</v>
      </c>
      <c r="I1245" s="5" t="s">
        <v>18</v>
      </c>
      <c r="J1245" s="7">
        <v>45734</v>
      </c>
      <c r="K1245" s="5" t="s">
        <v>17</v>
      </c>
      <c r="L1245" s="8">
        <v>43605</v>
      </c>
      <c r="M1245" s="19">
        <v>264</v>
      </c>
      <c r="N1245" s="19">
        <v>314</v>
      </c>
      <c r="O1245" s="24">
        <v>0</v>
      </c>
      <c r="P1245" s="24">
        <v>2600</v>
      </c>
      <c r="Q1245" t="s">
        <v>1983</v>
      </c>
      <c r="R1245" s="19">
        <f>VLOOKUP(A1245,[1]Sheet1!$A$2:$Q$1536,15,FALSE)</f>
        <v>1386.406982421875</v>
      </c>
      <c r="S1245" s="27">
        <f t="shared" si="57"/>
        <v>-0.87535120131762023</v>
      </c>
      <c r="T1245" s="19">
        <f>VLOOKUP(A1245,[1]Sheet1!$A$2:$Q$1536,16,FALSE)</f>
        <v>9237.8195001649037</v>
      </c>
      <c r="U1245" s="27">
        <f t="shared" si="58"/>
        <v>0.71854830028302807</v>
      </c>
      <c r="V1245" s="19">
        <f>VLOOKUP(A1245,[1]Sheet1!$A$2:$Q$1536,17,FALSE)</f>
        <v>1405.991088867188</v>
      </c>
      <c r="W1245" s="27">
        <f t="shared" si="59"/>
        <v>-0.84922935898180496</v>
      </c>
    </row>
    <row r="1246" spans="1:23" x14ac:dyDescent="0.3">
      <c r="A1246" s="4" t="s">
        <v>1474</v>
      </c>
      <c r="B1246" s="5">
        <v>2012</v>
      </c>
      <c r="C1246" s="5" t="s">
        <v>920</v>
      </c>
      <c r="D1246" s="15" t="s">
        <v>921</v>
      </c>
      <c r="E1246" s="6">
        <v>137437</v>
      </c>
      <c r="F1246" s="5" t="s">
        <v>21</v>
      </c>
      <c r="G1246" s="5" t="s">
        <v>28</v>
      </c>
      <c r="H1246" s="5" t="s">
        <v>17</v>
      </c>
      <c r="I1246" s="5" t="s">
        <v>18</v>
      </c>
      <c r="J1246" s="7">
        <v>45736</v>
      </c>
      <c r="K1246" s="5" t="s">
        <v>17</v>
      </c>
      <c r="L1246" s="8">
        <v>44451</v>
      </c>
      <c r="M1246" s="19">
        <v>264</v>
      </c>
      <c r="N1246" s="19">
        <v>314</v>
      </c>
      <c r="O1246" s="24">
        <v>0</v>
      </c>
      <c r="P1246" s="24">
        <v>7500</v>
      </c>
      <c r="Q1246" t="s">
        <v>1983</v>
      </c>
      <c r="R1246" s="19">
        <f>VLOOKUP(A1246,[1]Sheet1!$A$2:$Q$1536,15,FALSE)</f>
        <v>2623.74658203125</v>
      </c>
      <c r="S1246" s="27">
        <f t="shared" si="57"/>
        <v>-1.8585077733359661</v>
      </c>
      <c r="T1246" s="19">
        <f>VLOOKUP(A1246,[1]Sheet1!$A$2:$Q$1536,16,FALSE)</f>
        <v>9392.0255984733358</v>
      </c>
      <c r="U1246" s="27">
        <f t="shared" si="58"/>
        <v>0.2014502173823805</v>
      </c>
      <c r="V1246" s="19">
        <f>VLOOKUP(A1246,[1]Sheet1!$A$2:$Q$1536,17,FALSE)</f>
        <v>2567.79443359375</v>
      </c>
      <c r="W1246" s="27">
        <f t="shared" si="59"/>
        <v>-1.9207945550000256</v>
      </c>
    </row>
    <row r="1247" spans="1:23" x14ac:dyDescent="0.3">
      <c r="A1247" s="4" t="s">
        <v>626</v>
      </c>
      <c r="B1247" s="5">
        <v>2013</v>
      </c>
      <c r="C1247" s="5" t="s">
        <v>30</v>
      </c>
      <c r="D1247" s="15" t="s">
        <v>616</v>
      </c>
      <c r="E1247" s="6">
        <v>126124</v>
      </c>
      <c r="F1247" s="5" t="s">
        <v>24</v>
      </c>
      <c r="G1247" s="5" t="s">
        <v>28</v>
      </c>
      <c r="H1247" s="5" t="s">
        <v>17</v>
      </c>
      <c r="I1247" s="5" t="s">
        <v>18</v>
      </c>
      <c r="J1247" s="7">
        <v>45435</v>
      </c>
      <c r="K1247" s="5" t="s">
        <v>17</v>
      </c>
      <c r="L1247" s="8">
        <v>44128</v>
      </c>
      <c r="M1247" s="19">
        <v>264</v>
      </c>
      <c r="N1247" s="19">
        <v>314</v>
      </c>
      <c r="O1247" s="24">
        <v>0</v>
      </c>
      <c r="P1247" s="24">
        <v>15800</v>
      </c>
      <c r="Q1247" t="s">
        <v>1983</v>
      </c>
      <c r="R1247" s="19">
        <f>VLOOKUP(A1247,[1]Sheet1!$A$2:$Q$1536,15,FALSE)</f>
        <v>2765.628662109375</v>
      </c>
      <c r="S1247" s="27">
        <f t="shared" si="57"/>
        <v>-4.7129867854165095</v>
      </c>
      <c r="T1247" s="19">
        <f>VLOOKUP(A1247,[1]Sheet1!$A$2:$Q$1536,16,FALSE)</f>
        <v>9119.2846749855562</v>
      </c>
      <c r="U1247" s="27">
        <f t="shared" si="58"/>
        <v>-0.73259203579199872</v>
      </c>
      <c r="V1247" s="19">
        <f>VLOOKUP(A1247,[1]Sheet1!$A$2:$Q$1536,17,FALSE)</f>
        <v>2601.28369140625</v>
      </c>
      <c r="W1247" s="27">
        <f t="shared" si="59"/>
        <v>-5.0739242137248564</v>
      </c>
    </row>
    <row r="1248" spans="1:23" x14ac:dyDescent="0.3">
      <c r="A1248" s="4" t="s">
        <v>1653</v>
      </c>
      <c r="B1248" s="5">
        <v>2019</v>
      </c>
      <c r="C1248" s="5" t="s">
        <v>391</v>
      </c>
      <c r="D1248" s="15" t="s">
        <v>1654</v>
      </c>
      <c r="E1248" s="6">
        <v>191369</v>
      </c>
      <c r="F1248" s="5" t="s">
        <v>77</v>
      </c>
      <c r="G1248" s="5" t="s">
        <v>25</v>
      </c>
      <c r="H1248" s="5" t="s">
        <v>18</v>
      </c>
      <c r="I1248" s="5" t="s">
        <v>17</v>
      </c>
      <c r="J1248" s="7">
        <v>45356</v>
      </c>
      <c r="K1248" s="5" t="s">
        <v>17</v>
      </c>
      <c r="L1248" s="8">
        <v>44483</v>
      </c>
      <c r="M1248" s="19">
        <v>264</v>
      </c>
      <c r="N1248" s="19">
        <v>314</v>
      </c>
      <c r="O1248" s="24">
        <v>3500</v>
      </c>
      <c r="P1248" s="24">
        <v>13900</v>
      </c>
      <c r="Q1248" t="s">
        <v>1983</v>
      </c>
      <c r="R1248" s="19">
        <f>VLOOKUP(A1248,[1]Sheet1!$A$2:$Q$1536,15,FALSE)</f>
        <v>9252.0986328125</v>
      </c>
      <c r="S1248" s="27">
        <f t="shared" si="57"/>
        <v>-0.50236184801400108</v>
      </c>
      <c r="T1248" s="19">
        <f>VLOOKUP(A1248,[1]Sheet1!$A$2:$Q$1536,16,FALSE)</f>
        <v>9479.0608668990462</v>
      </c>
      <c r="U1248" s="27">
        <f t="shared" si="58"/>
        <v>-0.46638999318370317</v>
      </c>
      <c r="V1248" s="19">
        <f>VLOOKUP(A1248,[1]Sheet1!$A$2:$Q$1536,17,FALSE)</f>
        <v>9514.1650390625</v>
      </c>
      <c r="W1248" s="27">
        <f t="shared" si="59"/>
        <v>-0.46097949141416916</v>
      </c>
    </row>
    <row r="1249" spans="1:23" x14ac:dyDescent="0.3">
      <c r="A1249" s="4" t="s">
        <v>996</v>
      </c>
      <c r="B1249" s="5">
        <v>2017</v>
      </c>
      <c r="C1249" s="5" t="s">
        <v>237</v>
      </c>
      <c r="D1249" s="15" t="s">
        <v>238</v>
      </c>
      <c r="E1249" s="6">
        <v>75536</v>
      </c>
      <c r="F1249" s="5" t="s">
        <v>81</v>
      </c>
      <c r="G1249" s="5" t="s">
        <v>25</v>
      </c>
      <c r="H1249" s="5" t="s">
        <v>18</v>
      </c>
      <c r="I1249" s="5" t="s">
        <v>17</v>
      </c>
      <c r="J1249" s="7">
        <v>45470</v>
      </c>
      <c r="K1249" s="5" t="s">
        <v>17</v>
      </c>
      <c r="L1249" s="8">
        <v>44113</v>
      </c>
      <c r="M1249" s="19">
        <v>264</v>
      </c>
      <c r="N1249" s="19">
        <v>314</v>
      </c>
      <c r="O1249" s="24">
        <v>0</v>
      </c>
      <c r="P1249" s="24">
        <v>8800</v>
      </c>
      <c r="Q1249" t="s">
        <v>1983</v>
      </c>
      <c r="R1249" s="19">
        <f>VLOOKUP(A1249,[1]Sheet1!$A$2:$Q$1536,15,FALSE)</f>
        <v>5889.25390625</v>
      </c>
      <c r="S1249" s="27">
        <f t="shared" si="57"/>
        <v>-0.49424700311544661</v>
      </c>
      <c r="T1249" s="19">
        <f>VLOOKUP(A1249,[1]Sheet1!$A$2:$Q$1536,16,FALSE)</f>
        <v>9523.0096213440738</v>
      </c>
      <c r="U1249" s="27">
        <f t="shared" si="58"/>
        <v>7.5922386944100195E-2</v>
      </c>
      <c r="V1249" s="19">
        <f>VLOOKUP(A1249,[1]Sheet1!$A$2:$Q$1536,17,FALSE)</f>
        <v>5958.72900390625</v>
      </c>
      <c r="W1249" s="27">
        <f t="shared" si="59"/>
        <v>-0.47682500651248821</v>
      </c>
    </row>
    <row r="1250" spans="1:23" x14ac:dyDescent="0.3">
      <c r="A1250" s="4" t="s">
        <v>600</v>
      </c>
      <c r="B1250" s="5">
        <v>2014</v>
      </c>
      <c r="C1250" s="5" t="s">
        <v>391</v>
      </c>
      <c r="D1250" s="15" t="s">
        <v>594</v>
      </c>
      <c r="E1250" s="6">
        <v>126929</v>
      </c>
      <c r="F1250" s="5" t="s">
        <v>36</v>
      </c>
      <c r="G1250" s="5" t="s">
        <v>25</v>
      </c>
      <c r="H1250" s="5" t="s">
        <v>18</v>
      </c>
      <c r="I1250" s="5" t="s">
        <v>17</v>
      </c>
      <c r="J1250" s="7">
        <v>45575</v>
      </c>
      <c r="K1250" s="5" t="s">
        <v>17</v>
      </c>
      <c r="L1250" s="8">
        <v>44827</v>
      </c>
      <c r="M1250" s="19">
        <v>128</v>
      </c>
      <c r="N1250" s="19">
        <v>158</v>
      </c>
      <c r="O1250" s="24">
        <v>0</v>
      </c>
      <c r="P1250" s="24">
        <v>9000</v>
      </c>
      <c r="Q1250" t="s">
        <v>1983</v>
      </c>
      <c r="R1250" s="19">
        <f>VLOOKUP(A1250,[1]Sheet1!$A$2:$Q$1536,15,FALSE)</f>
        <v>2078.456298828125</v>
      </c>
      <c r="S1250" s="27">
        <f t="shared" si="57"/>
        <v>-3.3301367486409883</v>
      </c>
      <c r="T1250" s="19">
        <f>VLOOKUP(A1250,[1]Sheet1!$A$2:$Q$1536,16,FALSE)</f>
        <v>9423.0264753820265</v>
      </c>
      <c r="U1250" s="27">
        <f t="shared" si="58"/>
        <v>4.4892845890563658E-2</v>
      </c>
      <c r="V1250" s="19">
        <f>VLOOKUP(A1250,[1]Sheet1!$A$2:$Q$1536,17,FALSE)</f>
        <v>2082.42431640625</v>
      </c>
      <c r="W1250" s="27">
        <f t="shared" si="59"/>
        <v>-3.3218857603102605</v>
      </c>
    </row>
    <row r="1251" spans="1:23" x14ac:dyDescent="0.3">
      <c r="A1251" s="4" t="s">
        <v>1677</v>
      </c>
      <c r="B1251" s="5">
        <v>2014</v>
      </c>
      <c r="C1251" s="5" t="s">
        <v>1089</v>
      </c>
      <c r="D1251" s="15" t="s">
        <v>1663</v>
      </c>
      <c r="E1251" s="6">
        <v>188973</v>
      </c>
      <c r="F1251" s="5" t="s">
        <v>32</v>
      </c>
      <c r="G1251" s="5" t="s">
        <v>25</v>
      </c>
      <c r="H1251" s="5" t="s">
        <v>18</v>
      </c>
      <c r="I1251" s="5" t="s">
        <v>17</v>
      </c>
      <c r="J1251" s="7">
        <v>45617</v>
      </c>
      <c r="K1251" s="5" t="s">
        <v>17</v>
      </c>
      <c r="L1251" s="8">
        <v>44128</v>
      </c>
      <c r="M1251" s="19">
        <v>264</v>
      </c>
      <c r="N1251" s="19">
        <v>314</v>
      </c>
      <c r="O1251" s="24">
        <v>0</v>
      </c>
      <c r="P1251" s="24">
        <v>2000</v>
      </c>
      <c r="Q1251" t="s">
        <v>1983</v>
      </c>
      <c r="R1251" s="19">
        <f>VLOOKUP(A1251,[1]Sheet1!$A$2:$Q$1536,15,FALSE)</f>
        <v>736.76507568359375</v>
      </c>
      <c r="S1251" s="27">
        <f t="shared" si="57"/>
        <v>-1.7145694957708701</v>
      </c>
      <c r="T1251" s="19">
        <f>VLOOKUP(A1251,[1]Sheet1!$A$2:$Q$1536,16,FALSE)</f>
        <v>8676.1219526653676</v>
      </c>
      <c r="U1251" s="27">
        <f t="shared" si="58"/>
        <v>0.76948226282301324</v>
      </c>
      <c r="V1251" s="19">
        <f>VLOOKUP(A1251,[1]Sheet1!$A$2:$Q$1536,17,FALSE)</f>
        <v>932.59674072265625</v>
      </c>
      <c r="W1251" s="27">
        <f t="shared" si="59"/>
        <v>-1.1445496350868949</v>
      </c>
    </row>
    <row r="1252" spans="1:23" x14ac:dyDescent="0.3">
      <c r="A1252" s="4" t="s">
        <v>755</v>
      </c>
      <c r="B1252" s="5">
        <v>2017</v>
      </c>
      <c r="C1252" s="5" t="s">
        <v>83</v>
      </c>
      <c r="D1252" s="15" t="s">
        <v>744</v>
      </c>
      <c r="E1252" s="6">
        <v>145115</v>
      </c>
      <c r="F1252" s="5" t="s">
        <v>87</v>
      </c>
      <c r="G1252" s="5" t="s">
        <v>33</v>
      </c>
      <c r="H1252" s="5" t="s">
        <v>17</v>
      </c>
      <c r="I1252" s="5" t="s">
        <v>18</v>
      </c>
      <c r="J1252" s="7">
        <v>45384</v>
      </c>
      <c r="K1252" s="5" t="s">
        <v>17</v>
      </c>
      <c r="L1252" s="8">
        <v>43612</v>
      </c>
      <c r="M1252" s="19">
        <v>264</v>
      </c>
      <c r="N1252" s="19">
        <v>314</v>
      </c>
      <c r="O1252" s="24">
        <v>4000</v>
      </c>
      <c r="P1252" s="24">
        <v>7800</v>
      </c>
      <c r="Q1252" t="s">
        <v>1983</v>
      </c>
      <c r="R1252" s="19">
        <f>VLOOKUP(A1252,[1]Sheet1!$A$2:$Q$1536,15,FALSE)</f>
        <v>3642.1142578125</v>
      </c>
      <c r="S1252" s="27">
        <f t="shared" si="57"/>
        <v>-1.1416132081163151</v>
      </c>
      <c r="T1252" s="19">
        <f>VLOOKUP(A1252,[1]Sheet1!$A$2:$Q$1536,16,FALSE)</f>
        <v>8858.8133885372408</v>
      </c>
      <c r="U1252" s="27">
        <f t="shared" si="58"/>
        <v>0.11952090444836327</v>
      </c>
      <c r="V1252" s="19">
        <f>VLOOKUP(A1252,[1]Sheet1!$A$2:$Q$1536,17,FALSE)</f>
        <v>3497.13818359375</v>
      </c>
      <c r="W1252" s="27">
        <f t="shared" si="59"/>
        <v>-1.2303951375420108</v>
      </c>
    </row>
    <row r="1253" spans="1:23" x14ac:dyDescent="0.3">
      <c r="A1253" s="4" t="s">
        <v>168</v>
      </c>
      <c r="B1253" s="5">
        <v>2017</v>
      </c>
      <c r="C1253" s="5" t="s">
        <v>96</v>
      </c>
      <c r="D1253" s="15" t="s">
        <v>154</v>
      </c>
      <c r="E1253" s="6">
        <v>306077</v>
      </c>
      <c r="F1253" s="5" t="s">
        <v>36</v>
      </c>
      <c r="G1253" s="5" t="s">
        <v>25</v>
      </c>
      <c r="H1253" s="5" t="s">
        <v>18</v>
      </c>
      <c r="I1253" s="5" t="s">
        <v>17</v>
      </c>
      <c r="J1253" s="7">
        <v>45692</v>
      </c>
      <c r="K1253" s="5" t="s">
        <v>17</v>
      </c>
      <c r="L1253" s="8">
        <v>44310</v>
      </c>
      <c r="M1253" s="19">
        <v>235</v>
      </c>
      <c r="N1253" s="19">
        <v>285</v>
      </c>
      <c r="O1253" s="24">
        <v>2000</v>
      </c>
      <c r="P1253" s="24">
        <v>8500</v>
      </c>
      <c r="Q1253" t="s">
        <v>1983</v>
      </c>
      <c r="R1253" s="19">
        <f>VLOOKUP(A1253,[1]Sheet1!$A$2:$Q$1536,15,FALSE)</f>
        <v>2771.30615234375</v>
      </c>
      <c r="S1253" s="27">
        <f t="shared" si="57"/>
        <v>-2.0671457907353097</v>
      </c>
      <c r="T1253" s="19">
        <f>VLOOKUP(A1253,[1]Sheet1!$A$2:$Q$1536,16,FALSE)</f>
        <v>9241.3973808588053</v>
      </c>
      <c r="U1253" s="27">
        <f t="shared" si="58"/>
        <v>8.0225679115846771E-2</v>
      </c>
      <c r="V1253" s="19">
        <f>VLOOKUP(A1253,[1]Sheet1!$A$2:$Q$1536,17,FALSE)</f>
        <v>2637.05224609375</v>
      </c>
      <c r="W1253" s="27">
        <f t="shared" si="59"/>
        <v>-2.2232960164482898</v>
      </c>
    </row>
    <row r="1254" spans="1:23" x14ac:dyDescent="0.3">
      <c r="A1254" s="4" t="s">
        <v>162</v>
      </c>
      <c r="B1254" s="5">
        <v>2019</v>
      </c>
      <c r="C1254" s="5" t="s">
        <v>96</v>
      </c>
      <c r="D1254" s="15" t="s">
        <v>156</v>
      </c>
      <c r="E1254" s="6">
        <v>87750</v>
      </c>
      <c r="F1254" s="5" t="s">
        <v>103</v>
      </c>
      <c r="G1254" s="5" t="s">
        <v>16</v>
      </c>
      <c r="H1254" s="5" t="s">
        <v>17</v>
      </c>
      <c r="I1254" s="5" t="s">
        <v>18</v>
      </c>
      <c r="J1254" s="7">
        <v>45470</v>
      </c>
      <c r="K1254" s="5" t="s">
        <v>17</v>
      </c>
      <c r="L1254" s="8">
        <v>44113</v>
      </c>
      <c r="M1254" s="19">
        <v>264</v>
      </c>
      <c r="N1254" s="19">
        <v>314</v>
      </c>
      <c r="O1254" s="24">
        <v>0</v>
      </c>
      <c r="P1254" s="24">
        <v>13000</v>
      </c>
      <c r="Q1254" t="s">
        <v>1983</v>
      </c>
      <c r="R1254" s="19">
        <f>VLOOKUP(A1254,[1]Sheet1!$A$2:$Q$1536,15,FALSE)</f>
        <v>12199.3623046875</v>
      </c>
      <c r="S1254" s="27">
        <f t="shared" si="57"/>
        <v>-6.5629471058898048E-2</v>
      </c>
      <c r="T1254" s="19">
        <f>VLOOKUP(A1254,[1]Sheet1!$A$2:$Q$1536,16,FALSE)</f>
        <v>9618.024226901809</v>
      </c>
      <c r="U1254" s="27">
        <f t="shared" si="58"/>
        <v>-0.35162895136391276</v>
      </c>
      <c r="V1254" s="19">
        <f>VLOOKUP(A1254,[1]Sheet1!$A$2:$Q$1536,17,FALSE)</f>
        <v>12467.6337890625</v>
      </c>
      <c r="W1254" s="27">
        <f t="shared" si="59"/>
        <v>-4.2699859487734533E-2</v>
      </c>
    </row>
    <row r="1255" spans="1:23" x14ac:dyDescent="0.3">
      <c r="A1255" s="4" t="s">
        <v>1323</v>
      </c>
      <c r="B1255" s="5">
        <v>2017</v>
      </c>
      <c r="C1255" s="5" t="s">
        <v>1089</v>
      </c>
      <c r="D1255" s="15" t="s">
        <v>1324</v>
      </c>
      <c r="E1255" s="6">
        <v>130093</v>
      </c>
      <c r="F1255" s="5" t="s">
        <v>79</v>
      </c>
      <c r="G1255" s="5" t="s">
        <v>33</v>
      </c>
      <c r="H1255" s="5" t="s">
        <v>17</v>
      </c>
      <c r="I1255" s="5" t="s">
        <v>18</v>
      </c>
      <c r="J1255" s="7">
        <v>45722</v>
      </c>
      <c r="K1255" s="5" t="s">
        <v>17</v>
      </c>
      <c r="L1255" s="8">
        <v>44113</v>
      </c>
      <c r="M1255" s="19">
        <v>264</v>
      </c>
      <c r="N1255" s="19">
        <v>314</v>
      </c>
      <c r="O1255" s="24">
        <v>0</v>
      </c>
      <c r="P1255" s="24">
        <v>4300</v>
      </c>
      <c r="Q1255" t="s">
        <v>1983</v>
      </c>
      <c r="R1255" s="19">
        <f>VLOOKUP(A1255,[1]Sheet1!$A$2:$Q$1536,15,FALSE)</f>
        <v>1872.273559570312</v>
      </c>
      <c r="S1255" s="27">
        <f t="shared" si="57"/>
        <v>-1.296672929027985</v>
      </c>
      <c r="T1255" s="19">
        <f>VLOOKUP(A1255,[1]Sheet1!$A$2:$Q$1536,16,FALSE)</f>
        <v>8700.398050302394</v>
      </c>
      <c r="U1255" s="27">
        <f t="shared" si="58"/>
        <v>0.50576973890860688</v>
      </c>
      <c r="V1255" s="19">
        <f>VLOOKUP(A1255,[1]Sheet1!$A$2:$Q$1536,17,FALSE)</f>
        <v>1783.572998046875</v>
      </c>
      <c r="W1255" s="27">
        <f t="shared" si="59"/>
        <v>-1.4108909501931075</v>
      </c>
    </row>
    <row r="1256" spans="1:23" x14ac:dyDescent="0.3">
      <c r="A1256" s="4" t="s">
        <v>1968</v>
      </c>
      <c r="B1256" s="5">
        <v>2019</v>
      </c>
      <c r="C1256" s="5" t="s">
        <v>96</v>
      </c>
      <c r="D1256" s="15" t="s">
        <v>1951</v>
      </c>
      <c r="E1256" s="6">
        <v>77135</v>
      </c>
      <c r="F1256" s="5" t="s">
        <v>47</v>
      </c>
      <c r="G1256" s="5" t="s">
        <v>16</v>
      </c>
      <c r="H1256" s="5" t="s">
        <v>17</v>
      </c>
      <c r="I1256" s="5" t="s">
        <v>18</v>
      </c>
      <c r="J1256" s="7">
        <v>45496</v>
      </c>
      <c r="K1256" s="5" t="s">
        <v>17</v>
      </c>
      <c r="L1256" s="8">
        <v>44035</v>
      </c>
      <c r="M1256" s="19">
        <v>222</v>
      </c>
      <c r="N1256" s="19">
        <v>272</v>
      </c>
      <c r="O1256" s="24">
        <v>10800</v>
      </c>
      <c r="P1256" s="24">
        <v>11800</v>
      </c>
      <c r="Q1256" t="s">
        <v>1983</v>
      </c>
      <c r="R1256" s="19">
        <f>VLOOKUP(A1256,[1]Sheet1!$A$2:$Q$1536,15,FALSE)</f>
        <v>11937.5068359375</v>
      </c>
      <c r="S1256" s="27">
        <f t="shared" si="57"/>
        <v>1.1518890655085521E-2</v>
      </c>
      <c r="T1256" s="19">
        <f>VLOOKUP(A1256,[1]Sheet1!$A$2:$Q$1536,16,FALSE)</f>
        <v>10252.12710584034</v>
      </c>
      <c r="U1256" s="27">
        <f t="shared" si="58"/>
        <v>-0.15098065778738556</v>
      </c>
      <c r="V1256" s="19">
        <f>VLOOKUP(A1256,[1]Sheet1!$A$2:$Q$1536,17,FALSE)</f>
        <v>11871.0888671875</v>
      </c>
      <c r="W1256" s="27">
        <f t="shared" si="59"/>
        <v>5.9884032528805748E-3</v>
      </c>
    </row>
    <row r="1257" spans="1:23" x14ac:dyDescent="0.3">
      <c r="A1257" s="4" t="s">
        <v>844</v>
      </c>
      <c r="B1257" s="5">
        <v>2015</v>
      </c>
      <c r="C1257" s="5" t="s">
        <v>391</v>
      </c>
      <c r="D1257" s="15" t="s">
        <v>582</v>
      </c>
      <c r="E1257" s="6">
        <v>104144</v>
      </c>
      <c r="F1257" s="5" t="s">
        <v>44</v>
      </c>
      <c r="G1257" s="5" t="s">
        <v>28</v>
      </c>
      <c r="H1257" s="5" t="s">
        <v>17</v>
      </c>
      <c r="I1257" s="5" t="s">
        <v>18</v>
      </c>
      <c r="J1257" s="7">
        <v>45664</v>
      </c>
      <c r="K1257" s="5" t="s">
        <v>17</v>
      </c>
      <c r="L1257" s="8">
        <v>44224</v>
      </c>
      <c r="M1257" s="19">
        <v>235</v>
      </c>
      <c r="N1257" s="19">
        <v>285</v>
      </c>
      <c r="O1257" s="24">
        <v>4000</v>
      </c>
      <c r="P1257" s="24">
        <v>9500</v>
      </c>
      <c r="Q1257" t="s">
        <v>1983</v>
      </c>
      <c r="R1257" s="19">
        <f>VLOOKUP(A1257,[1]Sheet1!$A$2:$Q$1536,15,FALSE)</f>
        <v>5841.05126953125</v>
      </c>
      <c r="S1257" s="27">
        <f t="shared" si="57"/>
        <v>-0.62641955388321457</v>
      </c>
      <c r="T1257" s="19">
        <f>VLOOKUP(A1257,[1]Sheet1!$A$2:$Q$1536,16,FALSE)</f>
        <v>9369.7642081588983</v>
      </c>
      <c r="U1257" s="27">
        <f t="shared" si="58"/>
        <v>-1.3899580496134194E-2</v>
      </c>
      <c r="V1257" s="19">
        <f>VLOOKUP(A1257,[1]Sheet1!$A$2:$Q$1536,17,FALSE)</f>
        <v>5910.26318359375</v>
      </c>
      <c r="W1257" s="27">
        <f t="shared" si="59"/>
        <v>-0.60737342904982139</v>
      </c>
    </row>
    <row r="1258" spans="1:23" x14ac:dyDescent="0.3">
      <c r="A1258" s="4" t="s">
        <v>715</v>
      </c>
      <c r="B1258" s="5">
        <v>2010</v>
      </c>
      <c r="C1258" s="5" t="s">
        <v>46</v>
      </c>
      <c r="D1258" s="15">
        <v>300</v>
      </c>
      <c r="E1258" s="6">
        <v>103023</v>
      </c>
      <c r="F1258" s="5" t="s">
        <v>32</v>
      </c>
      <c r="G1258" s="5" t="s">
        <v>25</v>
      </c>
      <c r="H1258" s="5" t="s">
        <v>18</v>
      </c>
      <c r="I1258" s="5" t="s">
        <v>17</v>
      </c>
      <c r="J1258" s="7">
        <v>45566</v>
      </c>
      <c r="K1258" s="5" t="s">
        <v>17</v>
      </c>
      <c r="L1258" s="8">
        <v>43605</v>
      </c>
      <c r="M1258" s="19">
        <v>264</v>
      </c>
      <c r="N1258" s="19">
        <v>314</v>
      </c>
      <c r="O1258" s="24">
        <v>1400</v>
      </c>
      <c r="P1258" s="24">
        <v>3500</v>
      </c>
      <c r="Q1258" t="s">
        <v>1983</v>
      </c>
      <c r="R1258" s="19">
        <f>VLOOKUP(A1258,[1]Sheet1!$A$2:$Q$1536,15,FALSE)</f>
        <v>1372.623657226562</v>
      </c>
      <c r="S1258" s="27">
        <f t="shared" si="57"/>
        <v>-1.5498613415070248</v>
      </c>
      <c r="T1258" s="19">
        <f>VLOOKUP(A1258,[1]Sheet1!$A$2:$Q$1536,16,FALSE)</f>
        <v>8782.5331081217882</v>
      </c>
      <c r="U1258" s="27">
        <f t="shared" si="58"/>
        <v>0.60148171866687083</v>
      </c>
      <c r="V1258" s="19">
        <f>VLOOKUP(A1258,[1]Sheet1!$A$2:$Q$1536,17,FALSE)</f>
        <v>1385.325439453125</v>
      </c>
      <c r="W1258" s="27">
        <f t="shared" si="59"/>
        <v>-1.5264821538119375</v>
      </c>
    </row>
    <row r="1259" spans="1:23" x14ac:dyDescent="0.3">
      <c r="A1259" s="4" t="s">
        <v>45</v>
      </c>
      <c r="B1259" s="5">
        <v>2011</v>
      </c>
      <c r="C1259" s="5" t="s">
        <v>46</v>
      </c>
      <c r="D1259" s="15">
        <v>200</v>
      </c>
      <c r="E1259" s="6">
        <v>87083</v>
      </c>
      <c r="F1259" s="5" t="s">
        <v>47</v>
      </c>
      <c r="G1259" s="5" t="s">
        <v>25</v>
      </c>
      <c r="H1259" s="5" t="s">
        <v>18</v>
      </c>
      <c r="I1259" s="5" t="s">
        <v>17</v>
      </c>
      <c r="J1259" s="7">
        <v>45706</v>
      </c>
      <c r="K1259" s="5" t="s">
        <v>17</v>
      </c>
      <c r="L1259" s="8">
        <v>44444</v>
      </c>
      <c r="M1259" s="19">
        <v>264</v>
      </c>
      <c r="N1259" s="19">
        <v>314</v>
      </c>
      <c r="O1259" s="24">
        <v>4100</v>
      </c>
      <c r="P1259" s="24">
        <v>4600</v>
      </c>
      <c r="Q1259" t="s">
        <v>1983</v>
      </c>
      <c r="R1259" s="19">
        <f>VLOOKUP(A1259,[1]Sheet1!$A$2:$Q$1536,15,FALSE)</f>
        <v>4410.650390625</v>
      </c>
      <c r="S1259" s="27">
        <f t="shared" si="57"/>
        <v>-4.2930087992797974E-2</v>
      </c>
      <c r="T1259" s="19">
        <f>VLOOKUP(A1259,[1]Sheet1!$A$2:$Q$1536,16,FALSE)</f>
        <v>9759.002354708131</v>
      </c>
      <c r="U1259" s="27">
        <f t="shared" si="58"/>
        <v>0.52864034326410658</v>
      </c>
      <c r="V1259" s="19">
        <f>VLOOKUP(A1259,[1]Sheet1!$A$2:$Q$1536,17,FALSE)</f>
        <v>4510.85498046875</v>
      </c>
      <c r="W1259" s="27">
        <f t="shared" si="59"/>
        <v>-1.9762333286535053E-2</v>
      </c>
    </row>
    <row r="1260" spans="1:23" x14ac:dyDescent="0.3">
      <c r="A1260" s="4" t="s">
        <v>544</v>
      </c>
      <c r="B1260" s="5">
        <v>2019</v>
      </c>
      <c r="C1260" s="5" t="s">
        <v>391</v>
      </c>
      <c r="D1260" s="15" t="s">
        <v>543</v>
      </c>
      <c r="E1260" s="6">
        <v>69321</v>
      </c>
      <c r="F1260" s="5" t="s">
        <v>40</v>
      </c>
      <c r="G1260" s="5" t="s">
        <v>28</v>
      </c>
      <c r="H1260" s="5" t="s">
        <v>17</v>
      </c>
      <c r="I1260" s="5" t="s">
        <v>18</v>
      </c>
      <c r="J1260" s="7">
        <v>45538</v>
      </c>
      <c r="K1260" s="5" t="s">
        <v>17</v>
      </c>
      <c r="L1260" s="8">
        <v>44907</v>
      </c>
      <c r="M1260" s="19">
        <v>128</v>
      </c>
      <c r="N1260" s="19">
        <v>158</v>
      </c>
      <c r="O1260" s="24">
        <v>18000</v>
      </c>
      <c r="P1260" s="24">
        <v>19300</v>
      </c>
      <c r="Q1260" t="s">
        <v>1983</v>
      </c>
      <c r="R1260" s="19">
        <f>VLOOKUP(A1260,[1]Sheet1!$A$2:$Q$1536,15,FALSE)</f>
        <v>8165.0712890625</v>
      </c>
      <c r="S1260" s="27">
        <f t="shared" si="57"/>
        <v>-1.3637270657824219</v>
      </c>
      <c r="T1260" s="19">
        <f>VLOOKUP(A1260,[1]Sheet1!$A$2:$Q$1536,16,FALSE)</f>
        <v>10254.57241127656</v>
      </c>
      <c r="U1260" s="27">
        <f t="shared" si="58"/>
        <v>-0.88208725102731045</v>
      </c>
      <c r="V1260" s="19">
        <f>VLOOKUP(A1260,[1]Sheet1!$A$2:$Q$1536,17,FALSE)</f>
        <v>8093.9970703125</v>
      </c>
      <c r="W1260" s="27">
        <f t="shared" si="59"/>
        <v>-1.3844831956746495</v>
      </c>
    </row>
    <row r="1261" spans="1:23" x14ac:dyDescent="0.3">
      <c r="A1261" s="4" t="s">
        <v>423</v>
      </c>
      <c r="B1261" s="5">
        <v>2016</v>
      </c>
      <c r="C1261" s="5" t="s">
        <v>391</v>
      </c>
      <c r="D1261" s="15" t="s">
        <v>413</v>
      </c>
      <c r="E1261" s="6">
        <v>106403</v>
      </c>
      <c r="F1261" s="5" t="s">
        <v>27</v>
      </c>
      <c r="G1261" s="5" t="s">
        <v>22</v>
      </c>
      <c r="H1261" s="5" t="s">
        <v>18</v>
      </c>
      <c r="I1261" s="5" t="s">
        <v>17</v>
      </c>
      <c r="J1261" s="7">
        <v>45300</v>
      </c>
      <c r="K1261" s="5" t="s">
        <v>17</v>
      </c>
      <c r="L1261" s="8">
        <v>43612</v>
      </c>
      <c r="M1261" s="19">
        <v>264</v>
      </c>
      <c r="N1261" s="19">
        <v>314</v>
      </c>
      <c r="O1261" s="24">
        <v>2600</v>
      </c>
      <c r="P1261" s="24">
        <v>7500</v>
      </c>
      <c r="Q1261" t="s">
        <v>1983</v>
      </c>
      <c r="R1261" s="19">
        <f>VLOOKUP(A1261,[1]Sheet1!$A$2:$Q$1536,15,FALSE)</f>
        <v>3778.746337890625</v>
      </c>
      <c r="S1261" s="27">
        <f t="shared" si="57"/>
        <v>-0.98478525133990769</v>
      </c>
      <c r="T1261" s="19">
        <f>VLOOKUP(A1261,[1]Sheet1!$A$2:$Q$1536,16,FALSE)</f>
        <v>9217.7969063198052</v>
      </c>
      <c r="U1261" s="27">
        <f t="shared" si="58"/>
        <v>0.18635655827284153</v>
      </c>
      <c r="V1261" s="19">
        <f>VLOOKUP(A1261,[1]Sheet1!$A$2:$Q$1536,17,FALSE)</f>
        <v>3664.77294921875</v>
      </c>
      <c r="W1261" s="27">
        <f t="shared" si="59"/>
        <v>-1.0465115039661153</v>
      </c>
    </row>
    <row r="1262" spans="1:23" x14ac:dyDescent="0.3">
      <c r="A1262" s="4" t="s">
        <v>589</v>
      </c>
      <c r="B1262" s="5">
        <v>2015</v>
      </c>
      <c r="C1262" s="5" t="s">
        <v>391</v>
      </c>
      <c r="D1262" s="15" t="s">
        <v>590</v>
      </c>
      <c r="E1262" s="6">
        <v>115284</v>
      </c>
      <c r="F1262" s="5" t="s">
        <v>42</v>
      </c>
      <c r="G1262" s="5" t="s">
        <v>25</v>
      </c>
      <c r="H1262" s="5" t="s">
        <v>18</v>
      </c>
      <c r="I1262" s="5" t="s">
        <v>17</v>
      </c>
      <c r="J1262" s="7">
        <v>45498</v>
      </c>
      <c r="K1262" s="5" t="s">
        <v>17</v>
      </c>
      <c r="L1262" s="8">
        <v>43605</v>
      </c>
      <c r="M1262" s="19">
        <v>264</v>
      </c>
      <c r="N1262" s="19">
        <v>314</v>
      </c>
      <c r="O1262" s="24">
        <v>0</v>
      </c>
      <c r="P1262" s="24">
        <v>2700</v>
      </c>
      <c r="Q1262" t="s">
        <v>1983</v>
      </c>
      <c r="R1262" s="19">
        <f>VLOOKUP(A1262,[1]Sheet1!$A$2:$Q$1536,15,FALSE)</f>
        <v>2802.7080078125</v>
      </c>
      <c r="S1262" s="27">
        <f t="shared" si="57"/>
        <v>3.6645989352513071E-2</v>
      </c>
      <c r="T1262" s="19">
        <f>VLOOKUP(A1262,[1]Sheet1!$A$2:$Q$1536,16,FALSE)</f>
        <v>9427.0478833126945</v>
      </c>
      <c r="U1262" s="27">
        <f t="shared" si="58"/>
        <v>0.71359008319249018</v>
      </c>
      <c r="V1262" s="19">
        <f>VLOOKUP(A1262,[1]Sheet1!$A$2:$Q$1536,17,FALSE)</f>
        <v>2713.12353515625</v>
      </c>
      <c r="W1262" s="27">
        <f t="shared" si="59"/>
        <v>4.8370577256056308E-3</v>
      </c>
    </row>
    <row r="1263" spans="1:23" x14ac:dyDescent="0.3">
      <c r="A1263" s="4" t="s">
        <v>1842</v>
      </c>
      <c r="B1263" s="5">
        <v>2021</v>
      </c>
      <c r="C1263" s="5" t="s">
        <v>1223</v>
      </c>
      <c r="D1263" s="15" t="s">
        <v>1843</v>
      </c>
      <c r="E1263" s="6">
        <v>48588</v>
      </c>
      <c r="F1263" s="5" t="s">
        <v>77</v>
      </c>
      <c r="G1263" s="5" t="s">
        <v>16</v>
      </c>
      <c r="H1263" s="5" t="s">
        <v>17</v>
      </c>
      <c r="I1263" s="5" t="s">
        <v>18</v>
      </c>
      <c r="J1263" s="7">
        <v>45496</v>
      </c>
      <c r="K1263" s="5" t="s">
        <v>17</v>
      </c>
      <c r="L1263" s="8">
        <v>44224</v>
      </c>
      <c r="M1263" s="19">
        <v>235</v>
      </c>
      <c r="N1263" s="19">
        <v>285</v>
      </c>
      <c r="O1263" s="24"/>
      <c r="P1263" s="24">
        <v>30600</v>
      </c>
      <c r="R1263" s="19">
        <f>VLOOKUP(A1263,[1]Sheet1!$A$2:$Q$1536,15,FALSE)</f>
        <v>29763.552734375</v>
      </c>
      <c r="S1263" s="27">
        <f t="shared" si="57"/>
        <v>-2.8103072005209812E-2</v>
      </c>
      <c r="T1263" s="19">
        <f>VLOOKUP(A1263,[1]Sheet1!$A$2:$Q$1536,16,FALSE)</f>
        <v>14509.02460394329</v>
      </c>
      <c r="U1263" s="27">
        <f t="shared" si="58"/>
        <v>-1.1090321944649177</v>
      </c>
      <c r="V1263" s="19">
        <f>VLOOKUP(A1263,[1]Sheet1!$A$2:$Q$1536,17,FALSE)</f>
        <v>29967</v>
      </c>
      <c r="W1263" s="27">
        <f t="shared" si="59"/>
        <v>-2.1123235559115026E-2</v>
      </c>
    </row>
    <row r="1264" spans="1:23" x14ac:dyDescent="0.3">
      <c r="A1264" s="4" t="s">
        <v>1334</v>
      </c>
      <c r="B1264" s="5">
        <v>2018</v>
      </c>
      <c r="C1264" s="5" t="s">
        <v>1089</v>
      </c>
      <c r="D1264" s="15" t="s">
        <v>1328</v>
      </c>
      <c r="E1264" s="6">
        <v>130226</v>
      </c>
      <c r="F1264" s="5" t="s">
        <v>57</v>
      </c>
      <c r="G1264" s="5" t="s">
        <v>25</v>
      </c>
      <c r="H1264" s="5" t="s">
        <v>18</v>
      </c>
      <c r="I1264" s="5" t="s">
        <v>17</v>
      </c>
      <c r="J1264" s="7">
        <v>45463</v>
      </c>
      <c r="K1264" s="5" t="s">
        <v>17</v>
      </c>
      <c r="L1264" s="8">
        <v>44128</v>
      </c>
      <c r="M1264" s="19">
        <v>264</v>
      </c>
      <c r="N1264" s="19">
        <v>314</v>
      </c>
      <c r="O1264" s="24">
        <v>3000</v>
      </c>
      <c r="P1264" s="24">
        <v>13200</v>
      </c>
      <c r="Q1264" t="s">
        <v>1983</v>
      </c>
      <c r="R1264" s="19">
        <f>VLOOKUP(A1264,[1]Sheet1!$A$2:$Q$1536,15,FALSE)</f>
        <v>2790.242919921875</v>
      </c>
      <c r="S1264" s="27">
        <f t="shared" si="57"/>
        <v>-3.7307708965961974</v>
      </c>
      <c r="T1264" s="19">
        <f>VLOOKUP(A1264,[1]Sheet1!$A$2:$Q$1536,16,FALSE)</f>
        <v>8680.0787803178991</v>
      </c>
      <c r="U1264" s="27">
        <f t="shared" si="58"/>
        <v>-0.52072352499046826</v>
      </c>
      <c r="V1264" s="19">
        <f>VLOOKUP(A1264,[1]Sheet1!$A$2:$Q$1536,17,FALSE)</f>
        <v>2606.359375</v>
      </c>
      <c r="W1264" s="27">
        <f t="shared" si="59"/>
        <v>-4.0645356609734602</v>
      </c>
    </row>
    <row r="1265" spans="1:23" x14ac:dyDescent="0.3">
      <c r="A1265" s="4" t="s">
        <v>367</v>
      </c>
      <c r="B1265" s="5">
        <v>2016</v>
      </c>
      <c r="C1265" s="5" t="s">
        <v>237</v>
      </c>
      <c r="D1265" s="15" t="s">
        <v>310</v>
      </c>
      <c r="E1265" s="6">
        <v>109160</v>
      </c>
      <c r="F1265" s="5" t="s">
        <v>36</v>
      </c>
      <c r="G1265" s="5" t="s">
        <v>28</v>
      </c>
      <c r="H1265" s="5" t="s">
        <v>17</v>
      </c>
      <c r="I1265" s="5" t="s">
        <v>18</v>
      </c>
      <c r="J1265" s="7">
        <v>45622</v>
      </c>
      <c r="K1265" s="5" t="s">
        <v>17</v>
      </c>
      <c r="L1265" s="8">
        <v>43612</v>
      </c>
      <c r="M1265" s="19">
        <v>264</v>
      </c>
      <c r="N1265" s="19">
        <v>314</v>
      </c>
      <c r="O1265" s="24">
        <v>6500</v>
      </c>
      <c r="P1265" s="24">
        <v>6800</v>
      </c>
      <c r="Q1265" t="s">
        <v>1983</v>
      </c>
      <c r="R1265" s="19">
        <f>VLOOKUP(A1265,[1]Sheet1!$A$2:$Q$1536,15,FALSE)</f>
        <v>1942.2490234375</v>
      </c>
      <c r="S1265" s="27">
        <f t="shared" si="57"/>
        <v>-2.5010958522532722</v>
      </c>
      <c r="T1265" s="19">
        <f>VLOOKUP(A1265,[1]Sheet1!$A$2:$Q$1536,16,FALSE)</f>
        <v>9292.4344233513293</v>
      </c>
      <c r="U1265" s="27">
        <f t="shared" si="58"/>
        <v>0.26822190072043894</v>
      </c>
      <c r="V1265" s="19">
        <f>VLOOKUP(A1265,[1]Sheet1!$A$2:$Q$1536,17,FALSE)</f>
        <v>1920.052001953125</v>
      </c>
      <c r="W1265" s="27">
        <f t="shared" si="59"/>
        <v>-2.5415707455229701</v>
      </c>
    </row>
    <row r="1266" spans="1:23" x14ac:dyDescent="0.3">
      <c r="A1266" s="4" t="s">
        <v>165</v>
      </c>
      <c r="B1266" s="5">
        <v>2020</v>
      </c>
      <c r="C1266" s="5" t="s">
        <v>96</v>
      </c>
      <c r="D1266" s="15" t="s">
        <v>156</v>
      </c>
      <c r="E1266" s="6">
        <v>53789</v>
      </c>
      <c r="F1266" s="5" t="s">
        <v>64</v>
      </c>
      <c r="G1266" s="5" t="s">
        <v>16</v>
      </c>
      <c r="H1266" s="5" t="s">
        <v>17</v>
      </c>
      <c r="I1266" s="5" t="s">
        <v>18</v>
      </c>
      <c r="J1266" s="7">
        <v>45610</v>
      </c>
      <c r="K1266" s="5" t="s">
        <v>17</v>
      </c>
      <c r="L1266" s="8">
        <v>44067</v>
      </c>
      <c r="M1266" s="19">
        <v>235</v>
      </c>
      <c r="N1266" s="19">
        <v>285</v>
      </c>
      <c r="O1266" s="24">
        <v>0</v>
      </c>
      <c r="P1266" s="24">
        <v>7600</v>
      </c>
      <c r="Q1266" t="s">
        <v>1983</v>
      </c>
      <c r="R1266" s="19">
        <f>VLOOKUP(A1266,[1]Sheet1!$A$2:$Q$1536,15,FALSE)</f>
        <v>16525.18359375</v>
      </c>
      <c r="S1266" s="27">
        <f t="shared" si="57"/>
        <v>0.54009588112083662</v>
      </c>
      <c r="T1266" s="19">
        <f>VLOOKUP(A1266,[1]Sheet1!$A$2:$Q$1536,16,FALSE)</f>
        <v>13048.222071304541</v>
      </c>
      <c r="U1266" s="27">
        <f t="shared" si="58"/>
        <v>0.4175451675739173</v>
      </c>
      <c r="V1266" s="19">
        <f>VLOOKUP(A1266,[1]Sheet1!$A$2:$Q$1536,17,FALSE)</f>
        <v>16814.75390625</v>
      </c>
      <c r="W1266" s="27">
        <f t="shared" si="59"/>
        <v>0.54801598391665429</v>
      </c>
    </row>
    <row r="1267" spans="1:23" x14ac:dyDescent="0.3">
      <c r="A1267" s="4" t="s">
        <v>618</v>
      </c>
      <c r="B1267" s="5">
        <v>2012</v>
      </c>
      <c r="C1267" s="5" t="s">
        <v>30</v>
      </c>
      <c r="D1267" s="15" t="s">
        <v>616</v>
      </c>
      <c r="E1267" s="6">
        <v>214761</v>
      </c>
      <c r="F1267" s="5" t="s">
        <v>79</v>
      </c>
      <c r="G1267" s="5" t="s">
        <v>25</v>
      </c>
      <c r="H1267" s="5" t="s">
        <v>18</v>
      </c>
      <c r="I1267" s="5" t="s">
        <v>17</v>
      </c>
      <c r="J1267" s="7">
        <v>45680</v>
      </c>
      <c r="K1267" s="5" t="s">
        <v>17</v>
      </c>
      <c r="L1267" s="8">
        <v>44144</v>
      </c>
      <c r="M1267" s="19">
        <v>235</v>
      </c>
      <c r="N1267" s="19">
        <v>285</v>
      </c>
      <c r="O1267" s="24">
        <v>0</v>
      </c>
      <c r="P1267" s="24">
        <v>4000</v>
      </c>
      <c r="Q1267" t="s">
        <v>1983</v>
      </c>
      <c r="R1267" s="19">
        <f>VLOOKUP(A1267,[1]Sheet1!$A$2:$Q$1536,15,FALSE)</f>
        <v>1214.090698242188</v>
      </c>
      <c r="S1267" s="27">
        <f t="shared" si="57"/>
        <v>-2.2946467720997861</v>
      </c>
      <c r="T1267" s="19">
        <f>VLOOKUP(A1267,[1]Sheet1!$A$2:$Q$1536,16,FALSE)</f>
        <v>9042.1425454214386</v>
      </c>
      <c r="U1267" s="27">
        <f t="shared" si="58"/>
        <v>0.55762696950343571</v>
      </c>
      <c r="V1267" s="19">
        <f>VLOOKUP(A1267,[1]Sheet1!$A$2:$Q$1536,17,FALSE)</f>
        <v>1276.312622070312</v>
      </c>
      <c r="W1267" s="27">
        <f t="shared" si="59"/>
        <v>-2.1340283962024782</v>
      </c>
    </row>
    <row r="1268" spans="1:23" x14ac:dyDescent="0.3">
      <c r="A1268" s="4" t="s">
        <v>1772</v>
      </c>
      <c r="B1268" s="5">
        <v>2015</v>
      </c>
      <c r="C1268" s="5" t="s">
        <v>1086</v>
      </c>
      <c r="D1268" s="15" t="s">
        <v>1758</v>
      </c>
      <c r="E1268" s="6">
        <v>122028</v>
      </c>
      <c r="F1268" s="5" t="s">
        <v>21</v>
      </c>
      <c r="G1268" s="5" t="s">
        <v>25</v>
      </c>
      <c r="H1268" s="5" t="s">
        <v>18</v>
      </c>
      <c r="I1268" s="5" t="s">
        <v>17</v>
      </c>
      <c r="J1268" s="7">
        <v>45482</v>
      </c>
      <c r="K1268" s="5" t="s">
        <v>17</v>
      </c>
      <c r="L1268" s="8">
        <v>44081</v>
      </c>
      <c r="M1268" s="19">
        <v>325</v>
      </c>
      <c r="N1268" s="19">
        <v>375</v>
      </c>
      <c r="O1268" s="24">
        <v>2000</v>
      </c>
      <c r="P1268" s="24">
        <v>5900</v>
      </c>
      <c r="Q1268" t="s">
        <v>1983</v>
      </c>
      <c r="R1268" s="19">
        <f>VLOOKUP(A1268,[1]Sheet1!$A$2:$Q$1536,15,FALSE)</f>
        <v>1393.864868164062</v>
      </c>
      <c r="S1268" s="27">
        <f t="shared" si="57"/>
        <v>-3.2328350005486701</v>
      </c>
      <c r="T1268" s="19">
        <f>VLOOKUP(A1268,[1]Sheet1!$A$2:$Q$1536,16,FALSE)</f>
        <v>8504.3699522424758</v>
      </c>
      <c r="U1268" s="27">
        <f t="shared" si="58"/>
        <v>0.30623902380396117</v>
      </c>
      <c r="V1268" s="19">
        <f>VLOOKUP(A1268,[1]Sheet1!$A$2:$Q$1536,17,FALSE)</f>
        <v>1414.004638671875</v>
      </c>
      <c r="W1268" s="27">
        <f t="shared" si="59"/>
        <v>-3.1725464249832047</v>
      </c>
    </row>
    <row r="1269" spans="1:23" x14ac:dyDescent="0.3">
      <c r="A1269" s="4" t="s">
        <v>850</v>
      </c>
      <c r="B1269" s="5">
        <v>2015</v>
      </c>
      <c r="C1269" s="5" t="s">
        <v>391</v>
      </c>
      <c r="D1269" s="15" t="s">
        <v>582</v>
      </c>
      <c r="E1269" s="6">
        <v>87736</v>
      </c>
      <c r="F1269" s="5" t="s">
        <v>251</v>
      </c>
      <c r="G1269" s="5" t="s">
        <v>22</v>
      </c>
      <c r="H1269" s="5" t="s">
        <v>18</v>
      </c>
      <c r="I1269" s="5" t="s">
        <v>17</v>
      </c>
      <c r="J1269" s="7">
        <v>45608</v>
      </c>
      <c r="K1269" s="5" t="s">
        <v>17</v>
      </c>
      <c r="L1269" s="8">
        <v>44028</v>
      </c>
      <c r="M1269" s="19">
        <v>235</v>
      </c>
      <c r="N1269" s="19">
        <v>285</v>
      </c>
      <c r="O1269" s="24">
        <v>2300</v>
      </c>
      <c r="P1269" s="24">
        <v>4400</v>
      </c>
      <c r="Q1269" t="s">
        <v>1983</v>
      </c>
      <c r="R1269" s="19">
        <f>VLOOKUP(A1269,[1]Sheet1!$A$2:$Q$1536,15,FALSE)</f>
        <v>2731.2177734375</v>
      </c>
      <c r="S1269" s="27">
        <f t="shared" si="57"/>
        <v>-0.61100299023837168</v>
      </c>
      <c r="T1269" s="19">
        <f>VLOOKUP(A1269,[1]Sheet1!$A$2:$Q$1536,16,FALSE)</f>
        <v>9425.5209209378827</v>
      </c>
      <c r="U1269" s="27">
        <f t="shared" si="58"/>
        <v>0.53318229974686859</v>
      </c>
      <c r="V1269" s="19">
        <f>VLOOKUP(A1269,[1]Sheet1!$A$2:$Q$1536,17,FALSE)</f>
        <v>2713.12353515625</v>
      </c>
      <c r="W1269" s="27">
        <f t="shared" si="59"/>
        <v>-0.62174701703975377</v>
      </c>
    </row>
    <row r="1270" spans="1:23" x14ac:dyDescent="0.3">
      <c r="A1270" s="4" t="s">
        <v>1818</v>
      </c>
      <c r="B1270" s="5">
        <v>2019</v>
      </c>
      <c r="C1270" s="5" t="s">
        <v>1219</v>
      </c>
      <c r="D1270" s="15" t="s">
        <v>1819</v>
      </c>
      <c r="E1270" s="6">
        <v>191524</v>
      </c>
      <c r="F1270" s="5" t="s">
        <v>24</v>
      </c>
      <c r="G1270" s="5" t="s">
        <v>25</v>
      </c>
      <c r="H1270" s="5" t="s">
        <v>18</v>
      </c>
      <c r="I1270" s="5" t="s">
        <v>17</v>
      </c>
      <c r="J1270" s="7">
        <v>45608</v>
      </c>
      <c r="K1270" s="5" t="s">
        <v>17</v>
      </c>
      <c r="L1270" s="8">
        <v>44028</v>
      </c>
      <c r="M1270" s="19">
        <v>235</v>
      </c>
      <c r="N1270" s="19">
        <v>285</v>
      </c>
      <c r="O1270" s="24">
        <v>1900</v>
      </c>
      <c r="P1270" s="24">
        <v>8600</v>
      </c>
      <c r="Q1270" t="s">
        <v>1983</v>
      </c>
      <c r="R1270" s="19">
        <f>VLOOKUP(A1270,[1]Sheet1!$A$2:$Q$1536,15,FALSE)</f>
        <v>1734.23828125</v>
      </c>
      <c r="S1270" s="27">
        <f t="shared" si="57"/>
        <v>-3.9589494667372427</v>
      </c>
      <c r="T1270" s="19">
        <f>VLOOKUP(A1270,[1]Sheet1!$A$2:$Q$1536,16,FALSE)</f>
        <v>9251.1310348707666</v>
      </c>
      <c r="U1270" s="27">
        <f t="shared" si="58"/>
        <v>7.0383938181874703E-2</v>
      </c>
      <c r="V1270" s="19">
        <f>VLOOKUP(A1270,[1]Sheet1!$A$2:$Q$1536,17,FALSE)</f>
        <v>1707.501708984375</v>
      </c>
      <c r="W1270" s="27">
        <f t="shared" si="59"/>
        <v>-4.0365981801068269</v>
      </c>
    </row>
    <row r="1271" spans="1:23" x14ac:dyDescent="0.3">
      <c r="A1271" s="4" t="s">
        <v>1716</v>
      </c>
      <c r="B1271" s="5">
        <v>2021</v>
      </c>
      <c r="C1271" s="5" t="s">
        <v>1089</v>
      </c>
      <c r="D1271" s="15" t="s">
        <v>1717</v>
      </c>
      <c r="E1271" s="6">
        <v>63070</v>
      </c>
      <c r="F1271" s="5" t="s">
        <v>125</v>
      </c>
      <c r="G1271" s="5" t="s">
        <v>16</v>
      </c>
      <c r="H1271" s="5" t="s">
        <v>17</v>
      </c>
      <c r="I1271" s="5" t="s">
        <v>18</v>
      </c>
      <c r="J1271" s="7">
        <v>45456</v>
      </c>
      <c r="K1271" s="5" t="s">
        <v>17</v>
      </c>
      <c r="L1271" s="8">
        <v>44310</v>
      </c>
      <c r="M1271" s="19">
        <v>235</v>
      </c>
      <c r="N1271" s="19">
        <v>285</v>
      </c>
      <c r="O1271" s="24">
        <v>12600</v>
      </c>
      <c r="P1271" s="24">
        <v>14600</v>
      </c>
      <c r="Q1271" t="s">
        <v>1983</v>
      </c>
      <c r="R1271" s="19">
        <f>VLOOKUP(A1271,[1]Sheet1!$A$2:$Q$1536,15,FALSE)</f>
        <v>14133.1572265625</v>
      </c>
      <c r="S1271" s="27">
        <f t="shared" si="57"/>
        <v>-3.3031739897444456E-2</v>
      </c>
      <c r="T1271" s="19">
        <f>VLOOKUP(A1271,[1]Sheet1!$A$2:$Q$1536,16,FALSE)</f>
        <v>13873.65331898178</v>
      </c>
      <c r="U1271" s="27">
        <f t="shared" si="58"/>
        <v>-5.2354391760996391E-2</v>
      </c>
      <c r="V1271" s="19">
        <f>VLOOKUP(A1271,[1]Sheet1!$A$2:$Q$1536,17,FALSE)</f>
        <v>13960.5166015625</v>
      </c>
      <c r="W1271" s="27">
        <f t="shared" si="59"/>
        <v>-4.5806571252952573E-2</v>
      </c>
    </row>
    <row r="1272" spans="1:23" x14ac:dyDescent="0.3">
      <c r="A1272" s="4" t="s">
        <v>1839</v>
      </c>
      <c r="B1272" s="5">
        <v>2016</v>
      </c>
      <c r="C1272" s="5" t="s">
        <v>519</v>
      </c>
      <c r="D1272" s="15" t="s">
        <v>1840</v>
      </c>
      <c r="E1272" s="6">
        <v>88620</v>
      </c>
      <c r="F1272" s="5" t="s">
        <v>47</v>
      </c>
      <c r="G1272" s="5" t="s">
        <v>16</v>
      </c>
      <c r="H1272" s="5" t="s">
        <v>17</v>
      </c>
      <c r="I1272" s="5" t="s">
        <v>18</v>
      </c>
      <c r="J1272" s="7">
        <v>45664</v>
      </c>
      <c r="K1272" s="5" t="s">
        <v>17</v>
      </c>
      <c r="L1272" s="8">
        <v>43608</v>
      </c>
      <c r="M1272" s="19">
        <v>264</v>
      </c>
      <c r="N1272" s="19">
        <v>314</v>
      </c>
      <c r="O1272" s="24">
        <v>9400</v>
      </c>
      <c r="P1272" s="24">
        <v>12000</v>
      </c>
      <c r="Q1272" t="s">
        <v>1983</v>
      </c>
      <c r="R1272" s="19">
        <f>VLOOKUP(A1272,[1]Sheet1!$A$2:$Q$1536,15,FALSE)</f>
        <v>7233.58203125</v>
      </c>
      <c r="S1272" s="27">
        <f t="shared" si="57"/>
        <v>-0.6589291374810522</v>
      </c>
      <c r="T1272" s="19">
        <f>VLOOKUP(A1272,[1]Sheet1!$A$2:$Q$1536,16,FALSE)</f>
        <v>10034.07664708958</v>
      </c>
      <c r="U1272" s="27">
        <f t="shared" si="58"/>
        <v>-0.19592468964054041</v>
      </c>
      <c r="V1272" s="19">
        <f>VLOOKUP(A1272,[1]Sheet1!$A$2:$Q$1536,17,FALSE)</f>
        <v>7187.0810546875</v>
      </c>
      <c r="W1272" s="27">
        <f t="shared" si="59"/>
        <v>-0.66966253875395731</v>
      </c>
    </row>
    <row r="1273" spans="1:23" x14ac:dyDescent="0.3">
      <c r="A1273" s="4" t="s">
        <v>1903</v>
      </c>
      <c r="B1273" s="5">
        <v>2014</v>
      </c>
      <c r="C1273" s="5" t="s">
        <v>1223</v>
      </c>
      <c r="D1273" s="15" t="s">
        <v>1904</v>
      </c>
      <c r="E1273" s="6">
        <v>91040</v>
      </c>
      <c r="F1273" s="5" t="s">
        <v>125</v>
      </c>
      <c r="G1273" s="5" t="s">
        <v>28</v>
      </c>
      <c r="H1273" s="5" t="s">
        <v>17</v>
      </c>
      <c r="I1273" s="5" t="s">
        <v>18</v>
      </c>
      <c r="J1273" s="7">
        <v>45328</v>
      </c>
      <c r="K1273" s="5" t="s">
        <v>17</v>
      </c>
      <c r="L1273" s="8">
        <v>44113</v>
      </c>
      <c r="M1273" s="19">
        <v>264</v>
      </c>
      <c r="N1273" s="19">
        <v>314</v>
      </c>
      <c r="O1273" s="24"/>
      <c r="P1273" s="24">
        <v>12000</v>
      </c>
      <c r="R1273" s="19">
        <f>VLOOKUP(A1273,[1]Sheet1!$A$2:$Q$1536,15,FALSE)</f>
        <v>8997.720703125</v>
      </c>
      <c r="S1273" s="27">
        <f t="shared" si="57"/>
        <v>-0.33367109248370846</v>
      </c>
      <c r="T1273" s="19">
        <f>VLOOKUP(A1273,[1]Sheet1!$A$2:$Q$1536,16,FALSE)</f>
        <v>10689.213979398481</v>
      </c>
      <c r="U1273" s="27">
        <f t="shared" si="58"/>
        <v>-0.12262697922670661</v>
      </c>
      <c r="V1273" s="19">
        <f>VLOOKUP(A1273,[1]Sheet1!$A$2:$Q$1536,17,FALSE)</f>
        <v>9032.2666015625</v>
      </c>
      <c r="W1273" s="27">
        <f t="shared" si="59"/>
        <v>-0.32857017284278445</v>
      </c>
    </row>
    <row r="1274" spans="1:23" x14ac:dyDescent="0.3">
      <c r="A1274" s="4" t="s">
        <v>1570</v>
      </c>
      <c r="B1274" s="5">
        <v>2012</v>
      </c>
      <c r="C1274" s="5" t="s">
        <v>636</v>
      </c>
      <c r="D1274" s="15" t="s">
        <v>1296</v>
      </c>
      <c r="E1274" s="6">
        <v>115447</v>
      </c>
      <c r="F1274" s="5" t="s">
        <v>66</v>
      </c>
      <c r="G1274" s="5" t="s">
        <v>22</v>
      </c>
      <c r="H1274" s="5" t="s">
        <v>18</v>
      </c>
      <c r="I1274" s="5" t="s">
        <v>17</v>
      </c>
      <c r="J1274" s="7">
        <v>45706</v>
      </c>
      <c r="K1274" s="5" t="s">
        <v>17</v>
      </c>
      <c r="L1274" s="8">
        <v>43612</v>
      </c>
      <c r="M1274" s="19">
        <v>264</v>
      </c>
      <c r="N1274" s="19">
        <v>314</v>
      </c>
      <c r="O1274" s="24">
        <v>400</v>
      </c>
      <c r="P1274" s="24">
        <v>2000</v>
      </c>
      <c r="Q1274" t="s">
        <v>1983</v>
      </c>
      <c r="R1274" s="19">
        <f>VLOOKUP(A1274,[1]Sheet1!$A$2:$Q$1536,15,FALSE)</f>
        <v>916.76983642578125</v>
      </c>
      <c r="S1274" s="27">
        <f t="shared" si="57"/>
        <v>-1.1815726483731379</v>
      </c>
      <c r="T1274" s="19">
        <f>VLOOKUP(A1274,[1]Sheet1!$A$2:$Q$1536,16,FALSE)</f>
        <v>8797.9194358895857</v>
      </c>
      <c r="U1274" s="27">
        <f t="shared" si="58"/>
        <v>0.77267352644292842</v>
      </c>
      <c r="V1274" s="19">
        <f>VLOOKUP(A1274,[1]Sheet1!$A$2:$Q$1536,17,FALSE)</f>
        <v>1088.946655273438</v>
      </c>
      <c r="W1274" s="27">
        <f t="shared" si="59"/>
        <v>-0.83663725887269813</v>
      </c>
    </row>
    <row r="1275" spans="1:23" x14ac:dyDescent="0.3">
      <c r="A1275" s="4" t="s">
        <v>1665</v>
      </c>
      <c r="B1275" s="5">
        <v>2016</v>
      </c>
      <c r="C1275" s="5" t="s">
        <v>1089</v>
      </c>
      <c r="D1275" s="15" t="s">
        <v>1666</v>
      </c>
      <c r="E1275" s="6">
        <v>94337</v>
      </c>
      <c r="F1275" s="5" t="s">
        <v>79</v>
      </c>
      <c r="G1275" s="5" t="s">
        <v>22</v>
      </c>
      <c r="H1275" s="5" t="s">
        <v>18</v>
      </c>
      <c r="I1275" s="5" t="s">
        <v>17</v>
      </c>
      <c r="J1275" s="7">
        <v>45407</v>
      </c>
      <c r="K1275" s="5" t="s">
        <v>17</v>
      </c>
      <c r="L1275" s="8">
        <v>44028</v>
      </c>
      <c r="M1275" s="19">
        <v>235</v>
      </c>
      <c r="N1275" s="19">
        <v>285</v>
      </c>
      <c r="O1275" s="24">
        <v>0</v>
      </c>
      <c r="P1275" s="24">
        <v>11800</v>
      </c>
      <c r="Q1275" t="s">
        <v>1983</v>
      </c>
      <c r="R1275" s="19">
        <f>VLOOKUP(A1275,[1]Sheet1!$A$2:$Q$1536,15,FALSE)</f>
        <v>3173.056640625</v>
      </c>
      <c r="S1275" s="27">
        <f t="shared" si="57"/>
        <v>-2.7188116496009798</v>
      </c>
      <c r="T1275" s="19">
        <f>VLOOKUP(A1275,[1]Sheet1!$A$2:$Q$1536,16,FALSE)</f>
        <v>8881.2406116747989</v>
      </c>
      <c r="U1275" s="27">
        <f t="shared" si="58"/>
        <v>-0.32864320605033015</v>
      </c>
      <c r="V1275" s="19">
        <f>VLOOKUP(A1275,[1]Sheet1!$A$2:$Q$1536,17,FALSE)</f>
        <v>3044.94580078125</v>
      </c>
      <c r="W1275" s="27">
        <f t="shared" si="59"/>
        <v>-2.8752742321299913</v>
      </c>
    </row>
    <row r="1276" spans="1:23" x14ac:dyDescent="0.3">
      <c r="A1276" s="4" t="s">
        <v>832</v>
      </c>
      <c r="B1276" s="5">
        <v>2013</v>
      </c>
      <c r="C1276" s="5" t="s">
        <v>571</v>
      </c>
      <c r="D1276" s="15" t="s">
        <v>826</v>
      </c>
      <c r="E1276" s="6">
        <v>158543</v>
      </c>
      <c r="F1276" s="5" t="s">
        <v>64</v>
      </c>
      <c r="G1276" s="5" t="s">
        <v>22</v>
      </c>
      <c r="H1276" s="5" t="s">
        <v>18</v>
      </c>
      <c r="I1276" s="5" t="s">
        <v>17</v>
      </c>
      <c r="J1276" s="7">
        <v>45344</v>
      </c>
      <c r="K1276" s="5" t="s">
        <v>17</v>
      </c>
      <c r="L1276" s="8">
        <v>44113</v>
      </c>
      <c r="M1276" s="19">
        <v>264</v>
      </c>
      <c r="N1276" s="19">
        <v>314</v>
      </c>
      <c r="O1276" s="24">
        <v>0</v>
      </c>
      <c r="P1276" s="24">
        <v>2000</v>
      </c>
      <c r="Q1276" t="s">
        <v>1983</v>
      </c>
      <c r="R1276" s="19">
        <f>VLOOKUP(A1276,[1]Sheet1!$A$2:$Q$1536,15,FALSE)</f>
        <v>3744.92724609375</v>
      </c>
      <c r="S1276" s="27">
        <f t="shared" si="57"/>
        <v>0.46594423106986782</v>
      </c>
      <c r="T1276" s="19">
        <f>VLOOKUP(A1276,[1]Sheet1!$A$2:$Q$1536,16,FALSE)</f>
        <v>9274.16478884961</v>
      </c>
      <c r="U1276" s="27">
        <f t="shared" si="58"/>
        <v>0.78434715734136906</v>
      </c>
      <c r="V1276" s="19">
        <f>VLOOKUP(A1276,[1]Sheet1!$A$2:$Q$1536,17,FALSE)</f>
        <v>3597.75048828125</v>
      </c>
      <c r="W1276" s="27">
        <f t="shared" si="59"/>
        <v>0.44409708051892777</v>
      </c>
    </row>
    <row r="1277" spans="1:23" x14ac:dyDescent="0.3">
      <c r="A1277" s="4" t="s">
        <v>1638</v>
      </c>
      <c r="B1277" s="5">
        <v>2021</v>
      </c>
      <c r="C1277" s="5" t="s">
        <v>391</v>
      </c>
      <c r="D1277" s="15" t="s">
        <v>1637</v>
      </c>
      <c r="E1277" s="6">
        <v>63415</v>
      </c>
      <c r="F1277" s="5" t="s">
        <v>47</v>
      </c>
      <c r="G1277" s="5" t="s">
        <v>16</v>
      </c>
      <c r="H1277" s="5" t="s">
        <v>17</v>
      </c>
      <c r="I1277" s="5" t="s">
        <v>18</v>
      </c>
      <c r="J1277" s="7">
        <v>45692</v>
      </c>
      <c r="K1277" s="5" t="s">
        <v>17</v>
      </c>
      <c r="L1277" s="8">
        <v>44128</v>
      </c>
      <c r="M1277" s="19">
        <v>264</v>
      </c>
      <c r="N1277" s="19">
        <v>314</v>
      </c>
      <c r="O1277" s="24">
        <v>16200</v>
      </c>
      <c r="P1277" s="24">
        <v>19400</v>
      </c>
      <c r="Q1277" t="s">
        <v>1983</v>
      </c>
      <c r="R1277" s="19">
        <f>VLOOKUP(A1277,[1]Sheet1!$A$2:$Q$1536,15,FALSE)</f>
        <v>18651.5625</v>
      </c>
      <c r="S1277" s="27">
        <f t="shared" si="57"/>
        <v>-4.0127335176342462E-2</v>
      </c>
      <c r="T1277" s="19">
        <f>VLOOKUP(A1277,[1]Sheet1!$A$2:$Q$1536,16,FALSE)</f>
        <v>14588.100734719301</v>
      </c>
      <c r="U1277" s="27">
        <f t="shared" si="58"/>
        <v>-0.32985097599638202</v>
      </c>
      <c r="V1277" s="19">
        <f>VLOOKUP(A1277,[1]Sheet1!$A$2:$Q$1536,17,FALSE)</f>
        <v>18840.40625</v>
      </c>
      <c r="W1277" s="27">
        <f t="shared" si="59"/>
        <v>-2.9701787879441294E-2</v>
      </c>
    </row>
    <row r="1278" spans="1:23" x14ac:dyDescent="0.3">
      <c r="A1278" s="4" t="s">
        <v>1785</v>
      </c>
      <c r="B1278" s="5">
        <v>2015</v>
      </c>
      <c r="C1278" s="5" t="s">
        <v>1086</v>
      </c>
      <c r="D1278" s="15" t="s">
        <v>1786</v>
      </c>
      <c r="E1278" s="6">
        <v>112236</v>
      </c>
      <c r="F1278" s="5" t="s">
        <v>24</v>
      </c>
      <c r="G1278" s="5" t="s">
        <v>33</v>
      </c>
      <c r="H1278" s="5" t="s">
        <v>17</v>
      </c>
      <c r="I1278" s="5" t="s">
        <v>18</v>
      </c>
      <c r="J1278" s="7">
        <v>45594</v>
      </c>
      <c r="K1278" s="5" t="s">
        <v>17</v>
      </c>
      <c r="L1278" s="8">
        <v>44113</v>
      </c>
      <c r="M1278" s="19">
        <v>264</v>
      </c>
      <c r="N1278" s="19">
        <v>314</v>
      </c>
      <c r="O1278" s="24">
        <v>3800</v>
      </c>
      <c r="P1278" s="24">
        <v>9500</v>
      </c>
      <c r="Q1278" t="s">
        <v>1983</v>
      </c>
      <c r="R1278" s="19">
        <f>VLOOKUP(A1278,[1]Sheet1!$A$2:$Q$1536,15,FALSE)</f>
        <v>1263.992553710938</v>
      </c>
      <c r="S1278" s="27">
        <f t="shared" si="57"/>
        <v>-6.5158670611698497</v>
      </c>
      <c r="T1278" s="19">
        <f>VLOOKUP(A1278,[1]Sheet1!$A$2:$Q$1536,16,FALSE)</f>
        <v>8702.0136471372334</v>
      </c>
      <c r="U1278" s="27">
        <f t="shared" si="58"/>
        <v>-9.1701344679605987E-2</v>
      </c>
      <c r="V1278" s="19">
        <f>VLOOKUP(A1278,[1]Sheet1!$A$2:$Q$1536,17,FALSE)</f>
        <v>1330.663208007812</v>
      </c>
      <c r="W1278" s="27">
        <f t="shared" si="59"/>
        <v>-6.139297113521927</v>
      </c>
    </row>
    <row r="1279" spans="1:23" x14ac:dyDescent="0.3">
      <c r="A1279" s="4" t="s">
        <v>1482</v>
      </c>
      <c r="B1279" s="5">
        <v>2018</v>
      </c>
      <c r="C1279" s="5" t="s">
        <v>1483</v>
      </c>
      <c r="D1279" s="15" t="s">
        <v>1484</v>
      </c>
      <c r="E1279" s="6">
        <v>83220</v>
      </c>
      <c r="F1279" s="5" t="s">
        <v>246</v>
      </c>
      <c r="G1279" s="5" t="s">
        <v>33</v>
      </c>
      <c r="H1279" s="5" t="s">
        <v>17</v>
      </c>
      <c r="I1279" s="5" t="s">
        <v>18</v>
      </c>
      <c r="J1279" s="7">
        <v>45692</v>
      </c>
      <c r="K1279" s="5" t="s">
        <v>17</v>
      </c>
      <c r="L1279" s="8">
        <v>44052</v>
      </c>
      <c r="M1279" s="19">
        <v>235</v>
      </c>
      <c r="N1279" s="19">
        <v>285</v>
      </c>
      <c r="O1279" s="24">
        <v>15000</v>
      </c>
      <c r="P1279" s="24">
        <v>20400</v>
      </c>
      <c r="Q1279" t="s">
        <v>1983</v>
      </c>
      <c r="R1279" s="19">
        <f>VLOOKUP(A1279,[1]Sheet1!$A$2:$Q$1536,15,FALSE)</f>
        <v>12619.1396484375</v>
      </c>
      <c r="S1279" s="27">
        <f t="shared" si="57"/>
        <v>-0.61659198394923265</v>
      </c>
      <c r="T1279" s="19">
        <f>VLOOKUP(A1279,[1]Sheet1!$A$2:$Q$1536,16,FALSE)</f>
        <v>11133.089029953921</v>
      </c>
      <c r="U1279" s="27">
        <f t="shared" si="58"/>
        <v>-0.83237553792241925</v>
      </c>
      <c r="V1279" s="19">
        <f>VLOOKUP(A1279,[1]Sheet1!$A$2:$Q$1536,17,FALSE)</f>
        <v>12732.3681640625</v>
      </c>
      <c r="W1279" s="27">
        <f t="shared" si="59"/>
        <v>-0.60221568659784963</v>
      </c>
    </row>
    <row r="1280" spans="1:23" x14ac:dyDescent="0.3">
      <c r="A1280" s="4" t="s">
        <v>85</v>
      </c>
      <c r="B1280" s="5">
        <v>2015</v>
      </c>
      <c r="C1280" s="5" t="s">
        <v>83</v>
      </c>
      <c r="D1280" s="15" t="s">
        <v>84</v>
      </c>
      <c r="E1280" s="6">
        <v>62766</v>
      </c>
      <c r="F1280" s="5" t="s">
        <v>42</v>
      </c>
      <c r="G1280" s="5" t="s">
        <v>28</v>
      </c>
      <c r="H1280" s="5" t="s">
        <v>17</v>
      </c>
      <c r="I1280" s="5" t="s">
        <v>18</v>
      </c>
      <c r="J1280" s="7">
        <v>45664</v>
      </c>
      <c r="K1280" s="5" t="s">
        <v>17</v>
      </c>
      <c r="L1280" s="8">
        <v>44307</v>
      </c>
      <c r="M1280" s="19">
        <v>235</v>
      </c>
      <c r="N1280" s="19">
        <v>285</v>
      </c>
      <c r="O1280" s="24">
        <v>5700</v>
      </c>
      <c r="P1280" s="24">
        <v>6000</v>
      </c>
      <c r="Q1280" t="s">
        <v>1983</v>
      </c>
      <c r="R1280" s="19">
        <f>VLOOKUP(A1280,[1]Sheet1!$A$2:$Q$1536,15,FALSE)</f>
        <v>5602.8671875</v>
      </c>
      <c r="S1280" s="27">
        <f t="shared" si="57"/>
        <v>-7.0880283113974846E-2</v>
      </c>
      <c r="T1280" s="19">
        <f>VLOOKUP(A1280,[1]Sheet1!$A$2:$Q$1536,16,FALSE)</f>
        <v>11164.295717192361</v>
      </c>
      <c r="U1280" s="27">
        <f t="shared" si="58"/>
        <v>0.46257245848832618</v>
      </c>
      <c r="V1280" s="19">
        <f>VLOOKUP(A1280,[1]Sheet1!$A$2:$Q$1536,17,FALSE)</f>
        <v>5292.21240234375</v>
      </c>
      <c r="W1280" s="27">
        <f t="shared" si="59"/>
        <v>-0.13374134366617518</v>
      </c>
    </row>
    <row r="1281" spans="1:23" x14ac:dyDescent="0.3">
      <c r="A1281" s="4" t="s">
        <v>265</v>
      </c>
      <c r="B1281" s="5">
        <v>2017</v>
      </c>
      <c r="C1281" s="5" t="s">
        <v>237</v>
      </c>
      <c r="D1281" s="15" t="s">
        <v>250</v>
      </c>
      <c r="E1281" s="6">
        <v>37313</v>
      </c>
      <c r="F1281" s="5" t="s">
        <v>170</v>
      </c>
      <c r="G1281" s="5" t="s">
        <v>28</v>
      </c>
      <c r="H1281" s="5" t="s">
        <v>17</v>
      </c>
      <c r="I1281" s="5" t="s">
        <v>18</v>
      </c>
      <c r="J1281" s="7">
        <v>45706</v>
      </c>
      <c r="K1281" s="5" t="s">
        <v>17</v>
      </c>
      <c r="L1281" s="8">
        <v>44052</v>
      </c>
      <c r="M1281" s="19">
        <v>235</v>
      </c>
      <c r="N1281" s="19">
        <v>285</v>
      </c>
      <c r="O1281" s="24">
        <v>6700</v>
      </c>
      <c r="P1281" s="24">
        <v>8600</v>
      </c>
      <c r="Q1281" t="s">
        <v>1983</v>
      </c>
      <c r="R1281" s="19">
        <f>VLOOKUP(A1281,[1]Sheet1!$A$2:$Q$1536,15,FALSE)</f>
        <v>16642.55078125</v>
      </c>
      <c r="S1281" s="27">
        <f t="shared" si="57"/>
        <v>0.48325229028659361</v>
      </c>
      <c r="T1281" s="19">
        <f>VLOOKUP(A1281,[1]Sheet1!$A$2:$Q$1536,16,FALSE)</f>
        <v>11484.400369427671</v>
      </c>
      <c r="U1281" s="27">
        <f t="shared" si="58"/>
        <v>0.25115811680565919</v>
      </c>
      <c r="V1281" s="19">
        <f>VLOOKUP(A1281,[1]Sheet1!$A$2:$Q$1536,17,FALSE)</f>
        <v>16791.2734375</v>
      </c>
      <c r="W1281" s="27">
        <f t="shared" si="59"/>
        <v>0.48782919699267152</v>
      </c>
    </row>
    <row r="1282" spans="1:23" x14ac:dyDescent="0.3">
      <c r="A1282" s="4" t="s">
        <v>293</v>
      </c>
      <c r="B1282" s="5">
        <v>2016</v>
      </c>
      <c r="C1282" s="5" t="s">
        <v>237</v>
      </c>
      <c r="D1282" s="15" t="s">
        <v>286</v>
      </c>
      <c r="E1282" s="6">
        <v>118331</v>
      </c>
      <c r="F1282" s="5" t="s">
        <v>77</v>
      </c>
      <c r="G1282" s="5" t="s">
        <v>33</v>
      </c>
      <c r="H1282" s="5" t="s">
        <v>17</v>
      </c>
      <c r="I1282" s="5" t="s">
        <v>18</v>
      </c>
      <c r="J1282" s="7">
        <v>45706</v>
      </c>
      <c r="K1282" s="5" t="s">
        <v>17</v>
      </c>
      <c r="L1282" s="8">
        <v>43612</v>
      </c>
      <c r="M1282" s="19">
        <v>264</v>
      </c>
      <c r="N1282" s="19">
        <v>314</v>
      </c>
      <c r="O1282" s="24">
        <v>8000</v>
      </c>
      <c r="P1282" s="24">
        <v>9400</v>
      </c>
      <c r="Q1282" t="s">
        <v>1983</v>
      </c>
      <c r="R1282" s="19">
        <f>VLOOKUP(A1282,[1]Sheet1!$A$2:$Q$1536,15,FALSE)</f>
        <v>6631.10986328125</v>
      </c>
      <c r="S1282" s="27">
        <f t="shared" si="57"/>
        <v>-0.41756058846966976</v>
      </c>
      <c r="T1282" s="19">
        <f>VLOOKUP(A1282,[1]Sheet1!$A$2:$Q$1536,16,FALSE)</f>
        <v>9335.6553633323074</v>
      </c>
      <c r="U1282" s="27">
        <f t="shared" si="58"/>
        <v>-6.8923534731604712E-3</v>
      </c>
      <c r="V1282" s="19">
        <f>VLOOKUP(A1282,[1]Sheet1!$A$2:$Q$1536,17,FALSE)</f>
        <v>6816.08837890625</v>
      </c>
      <c r="W1282" s="27">
        <f t="shared" si="59"/>
        <v>-0.3790900994021999</v>
      </c>
    </row>
    <row r="1283" spans="1:23" x14ac:dyDescent="0.3">
      <c r="A1283" s="4" t="s">
        <v>88</v>
      </c>
      <c r="B1283" s="5">
        <v>2015</v>
      </c>
      <c r="C1283" s="5" t="s">
        <v>83</v>
      </c>
      <c r="D1283" s="15" t="s">
        <v>84</v>
      </c>
      <c r="E1283" s="6">
        <v>93062</v>
      </c>
      <c r="F1283" s="5" t="s">
        <v>42</v>
      </c>
      <c r="G1283" s="5" t="s">
        <v>25</v>
      </c>
      <c r="H1283" s="5" t="s">
        <v>18</v>
      </c>
      <c r="I1283" s="5" t="s">
        <v>17</v>
      </c>
      <c r="J1283" s="7">
        <v>45692</v>
      </c>
      <c r="K1283" s="5" t="s">
        <v>17</v>
      </c>
      <c r="L1283" s="8">
        <v>44706</v>
      </c>
      <c r="M1283" s="19">
        <v>222</v>
      </c>
      <c r="N1283" s="19">
        <v>272</v>
      </c>
      <c r="O1283" s="24">
        <v>2500</v>
      </c>
      <c r="P1283" s="24">
        <v>6000</v>
      </c>
      <c r="Q1283" t="s">
        <v>1983</v>
      </c>
      <c r="R1283" s="19">
        <f>VLOOKUP(A1283,[1]Sheet1!$A$2:$Q$1536,15,FALSE)</f>
        <v>3595.343505859375</v>
      </c>
      <c r="S1283" s="27">
        <f t="shared" ref="S1283:S1346" si="60">(R1283-$P1283)/R1283</f>
        <v>-0.66882524304610314</v>
      </c>
      <c r="T1283" s="19">
        <f>VLOOKUP(A1283,[1]Sheet1!$A$2:$Q$1536,16,FALSE)</f>
        <v>9093.0652970616757</v>
      </c>
      <c r="U1283" s="27">
        <f t="shared" ref="U1283:U1346" si="61">(T1283-$P1283)/T1283</f>
        <v>0.34015650344677123</v>
      </c>
      <c r="V1283" s="19">
        <f>VLOOKUP(A1283,[1]Sheet1!$A$2:$Q$1536,17,FALSE)</f>
        <v>3488.23046875</v>
      </c>
      <c r="W1283" s="27">
        <f t="shared" ref="W1283:W1346" si="62">(V1283-$P1283)/V1283</f>
        <v>-0.72006983304348215</v>
      </c>
    </row>
    <row r="1284" spans="1:23" x14ac:dyDescent="0.3">
      <c r="A1284" s="4" t="s">
        <v>598</v>
      </c>
      <c r="B1284" s="5">
        <v>2015</v>
      </c>
      <c r="C1284" s="5" t="s">
        <v>391</v>
      </c>
      <c r="D1284" s="15" t="s">
        <v>594</v>
      </c>
      <c r="E1284" s="6">
        <v>119222</v>
      </c>
      <c r="F1284" s="5" t="s">
        <v>61</v>
      </c>
      <c r="G1284" s="5" t="s">
        <v>25</v>
      </c>
      <c r="H1284" s="5" t="s">
        <v>18</v>
      </c>
      <c r="I1284" s="5" t="s">
        <v>17</v>
      </c>
      <c r="J1284" s="7">
        <v>45680</v>
      </c>
      <c r="K1284" s="5" t="s">
        <v>17</v>
      </c>
      <c r="L1284" s="8">
        <v>44224</v>
      </c>
      <c r="M1284" s="19">
        <v>235</v>
      </c>
      <c r="N1284" s="19">
        <v>285</v>
      </c>
      <c r="O1284" s="24">
        <v>0</v>
      </c>
      <c r="P1284" s="24">
        <v>2400</v>
      </c>
      <c r="Q1284" t="s">
        <v>1983</v>
      </c>
      <c r="R1284" s="19">
        <f>VLOOKUP(A1284,[1]Sheet1!$A$2:$Q$1536,15,FALSE)</f>
        <v>2250.411376953125</v>
      </c>
      <c r="S1284" s="27">
        <f t="shared" si="60"/>
        <v>-6.6471679168901954E-2</v>
      </c>
      <c r="T1284" s="19">
        <f>VLOOKUP(A1284,[1]Sheet1!$A$2:$Q$1536,16,FALSE)</f>
        <v>9331.0664918475941</v>
      </c>
      <c r="U1284" s="27">
        <f t="shared" si="61"/>
        <v>0.74279467388890197</v>
      </c>
      <c r="V1284" s="19">
        <f>VLOOKUP(A1284,[1]Sheet1!$A$2:$Q$1536,17,FALSE)</f>
        <v>2215.851806640625</v>
      </c>
      <c r="W1284" s="27">
        <f t="shared" si="62"/>
        <v>-8.3104922814561138E-2</v>
      </c>
    </row>
    <row r="1285" spans="1:23" x14ac:dyDescent="0.3">
      <c r="A1285" s="4" t="s">
        <v>648</v>
      </c>
      <c r="B1285" s="5">
        <v>2016</v>
      </c>
      <c r="C1285" s="5" t="s">
        <v>636</v>
      </c>
      <c r="D1285" s="15" t="s">
        <v>641</v>
      </c>
      <c r="E1285" s="6">
        <v>110422</v>
      </c>
      <c r="F1285" s="5" t="s">
        <v>184</v>
      </c>
      <c r="G1285" s="5" t="s">
        <v>16</v>
      </c>
      <c r="H1285" s="5" t="s">
        <v>17</v>
      </c>
      <c r="I1285" s="5" t="s">
        <v>18</v>
      </c>
      <c r="J1285" s="7">
        <v>45407</v>
      </c>
      <c r="K1285" s="5" t="s">
        <v>17</v>
      </c>
      <c r="L1285" s="8">
        <v>44224</v>
      </c>
      <c r="M1285" s="19">
        <v>235</v>
      </c>
      <c r="N1285" s="19">
        <v>285</v>
      </c>
      <c r="O1285" s="24">
        <v>0</v>
      </c>
      <c r="P1285" s="24">
        <v>10000</v>
      </c>
      <c r="Q1285" t="s">
        <v>1983</v>
      </c>
      <c r="R1285" s="19">
        <f>VLOOKUP(A1285,[1]Sheet1!$A$2:$Q$1536,15,FALSE)</f>
        <v>6549.88037109375</v>
      </c>
      <c r="S1285" s="27">
        <f t="shared" si="60"/>
        <v>-0.52674544166218451</v>
      </c>
      <c r="T1285" s="19">
        <f>VLOOKUP(A1285,[1]Sheet1!$A$2:$Q$1536,16,FALSE)</f>
        <v>9628.0334252788107</v>
      </c>
      <c r="U1285" s="27">
        <f t="shared" si="61"/>
        <v>-3.8633702054313115E-2</v>
      </c>
      <c r="V1285" s="19">
        <f>VLOOKUP(A1285,[1]Sheet1!$A$2:$Q$1536,17,FALSE)</f>
        <v>6526.119140625</v>
      </c>
      <c r="W1285" s="27">
        <f t="shared" si="62"/>
        <v>-0.53230423541460348</v>
      </c>
    </row>
    <row r="1286" spans="1:23" x14ac:dyDescent="0.3">
      <c r="A1286" s="4" t="s">
        <v>352</v>
      </c>
      <c r="B1286" s="5">
        <v>2015</v>
      </c>
      <c r="C1286" s="5" t="s">
        <v>237</v>
      </c>
      <c r="D1286" s="15" t="s">
        <v>339</v>
      </c>
      <c r="E1286" s="6">
        <v>234603</v>
      </c>
      <c r="F1286" s="5" t="s">
        <v>42</v>
      </c>
      <c r="G1286" s="5" t="s">
        <v>22</v>
      </c>
      <c r="H1286" s="5" t="s">
        <v>18</v>
      </c>
      <c r="I1286" s="5" t="s">
        <v>17</v>
      </c>
      <c r="J1286" s="7">
        <v>45393</v>
      </c>
      <c r="K1286" s="5" t="s">
        <v>17</v>
      </c>
      <c r="L1286" s="8">
        <v>44128</v>
      </c>
      <c r="M1286" s="19">
        <v>264</v>
      </c>
      <c r="N1286" s="19">
        <v>314</v>
      </c>
      <c r="O1286" s="24">
        <v>0</v>
      </c>
      <c r="P1286" s="24">
        <v>9900</v>
      </c>
      <c r="Q1286" t="s">
        <v>1983</v>
      </c>
      <c r="R1286" s="19">
        <f>VLOOKUP(A1286,[1]Sheet1!$A$2:$Q$1536,15,FALSE)</f>
        <v>2707.13818359375</v>
      </c>
      <c r="S1286" s="27">
        <f t="shared" si="60"/>
        <v>-2.6569983977905633</v>
      </c>
      <c r="T1286" s="19">
        <f>VLOOKUP(A1286,[1]Sheet1!$A$2:$Q$1536,16,FALSE)</f>
        <v>9301.3912432523175</v>
      </c>
      <c r="U1286" s="27">
        <f t="shared" si="61"/>
        <v>-6.4356905444864762E-2</v>
      </c>
      <c r="V1286" s="19">
        <f>VLOOKUP(A1286,[1]Sheet1!$A$2:$Q$1536,17,FALSE)</f>
        <v>2556.26416015625</v>
      </c>
      <c r="W1286" s="27">
        <f t="shared" si="62"/>
        <v>-2.8728391823929766</v>
      </c>
    </row>
    <row r="1287" spans="1:23" x14ac:dyDescent="0.3">
      <c r="A1287" s="4" t="s">
        <v>1157</v>
      </c>
      <c r="B1287" s="5">
        <v>2016</v>
      </c>
      <c r="C1287" s="5" t="s">
        <v>636</v>
      </c>
      <c r="D1287" s="15" t="s">
        <v>1142</v>
      </c>
      <c r="E1287" s="6">
        <v>91904</v>
      </c>
      <c r="F1287" s="5" t="s">
        <v>164</v>
      </c>
      <c r="G1287" s="5" t="s">
        <v>25</v>
      </c>
      <c r="H1287" s="5" t="s">
        <v>18</v>
      </c>
      <c r="I1287" s="5" t="s">
        <v>17</v>
      </c>
      <c r="J1287" s="7">
        <v>45463</v>
      </c>
      <c r="K1287" s="5" t="s">
        <v>17</v>
      </c>
      <c r="L1287" s="8">
        <v>43608</v>
      </c>
      <c r="M1287" s="19">
        <v>264</v>
      </c>
      <c r="N1287" s="19">
        <v>314</v>
      </c>
      <c r="O1287" s="24">
        <v>2000</v>
      </c>
      <c r="P1287" s="24">
        <v>5500</v>
      </c>
      <c r="Q1287" t="s">
        <v>1983</v>
      </c>
      <c r="R1287" s="19">
        <f>VLOOKUP(A1287,[1]Sheet1!$A$2:$Q$1536,15,FALSE)</f>
        <v>6953.572265625</v>
      </c>
      <c r="S1287" s="27">
        <f t="shared" si="60"/>
        <v>0.20903964323643226</v>
      </c>
      <c r="T1287" s="19">
        <f>VLOOKUP(A1287,[1]Sheet1!$A$2:$Q$1536,16,FALSE)</f>
        <v>8972.8239067478917</v>
      </c>
      <c r="U1287" s="27">
        <f t="shared" si="61"/>
        <v>0.38703800975478869</v>
      </c>
      <c r="V1287" s="19">
        <f>VLOOKUP(A1287,[1]Sheet1!$A$2:$Q$1536,17,FALSE)</f>
        <v>6976.599609375</v>
      </c>
      <c r="W1287" s="27">
        <f t="shared" si="62"/>
        <v>0.21165032996744979</v>
      </c>
    </row>
    <row r="1288" spans="1:23" x14ac:dyDescent="0.3">
      <c r="A1288" s="4" t="s">
        <v>858</v>
      </c>
      <c r="B1288" s="5">
        <v>2017</v>
      </c>
      <c r="C1288" s="5" t="s">
        <v>391</v>
      </c>
      <c r="D1288" s="15" t="s">
        <v>582</v>
      </c>
      <c r="E1288" s="6">
        <v>86896</v>
      </c>
      <c r="F1288" s="5" t="s">
        <v>144</v>
      </c>
      <c r="G1288" s="5" t="s">
        <v>22</v>
      </c>
      <c r="H1288" s="5" t="s">
        <v>18</v>
      </c>
      <c r="I1288" s="5" t="s">
        <v>17</v>
      </c>
      <c r="J1288" s="7">
        <v>45482</v>
      </c>
      <c r="K1288" s="5" t="s">
        <v>17</v>
      </c>
      <c r="L1288" s="8">
        <v>43612</v>
      </c>
      <c r="M1288" s="19">
        <v>264</v>
      </c>
      <c r="N1288" s="19">
        <v>314</v>
      </c>
      <c r="O1288" s="24">
        <v>4900</v>
      </c>
      <c r="P1288" s="24">
        <v>12200</v>
      </c>
      <c r="Q1288" t="s">
        <v>1983</v>
      </c>
      <c r="R1288" s="19">
        <f>VLOOKUP(A1288,[1]Sheet1!$A$2:$Q$1536,15,FALSE)</f>
        <v>3474.227294921875</v>
      </c>
      <c r="S1288" s="27">
        <f t="shared" si="60"/>
        <v>-2.5115722042228503</v>
      </c>
      <c r="T1288" s="19">
        <f>VLOOKUP(A1288,[1]Sheet1!$A$2:$Q$1536,16,FALSE)</f>
        <v>9471.5738211797725</v>
      </c>
      <c r="U1288" s="27">
        <f t="shared" si="61"/>
        <v>-0.28806471134914058</v>
      </c>
      <c r="V1288" s="19">
        <f>VLOOKUP(A1288,[1]Sheet1!$A$2:$Q$1536,17,FALSE)</f>
        <v>3523.06982421875</v>
      </c>
      <c r="W1288" s="27">
        <f t="shared" si="62"/>
        <v>-2.4628890736519486</v>
      </c>
    </row>
    <row r="1289" spans="1:23" x14ac:dyDescent="0.3">
      <c r="A1289" s="4" t="s">
        <v>1475</v>
      </c>
      <c r="B1289" s="5">
        <v>2012</v>
      </c>
      <c r="C1289" s="5" t="s">
        <v>920</v>
      </c>
      <c r="D1289" s="15" t="s">
        <v>921</v>
      </c>
      <c r="E1289" s="6">
        <v>87113</v>
      </c>
      <c r="F1289" s="5" t="s">
        <v>87</v>
      </c>
      <c r="G1289" s="5" t="s">
        <v>28</v>
      </c>
      <c r="H1289" s="5" t="s">
        <v>17</v>
      </c>
      <c r="I1289" s="5" t="s">
        <v>18</v>
      </c>
      <c r="J1289" s="7">
        <v>45687</v>
      </c>
      <c r="K1289" s="5" t="s">
        <v>17</v>
      </c>
      <c r="L1289" s="8">
        <v>43950</v>
      </c>
      <c r="M1289" s="19">
        <v>264</v>
      </c>
      <c r="N1289" s="19">
        <v>314</v>
      </c>
      <c r="O1289" s="24">
        <v>7000</v>
      </c>
      <c r="P1289" s="24">
        <v>7500</v>
      </c>
      <c r="Q1289" t="s">
        <v>1983</v>
      </c>
      <c r="R1289" s="19">
        <f>VLOOKUP(A1289,[1]Sheet1!$A$2:$Q$1536,15,FALSE)</f>
        <v>4613.83837890625</v>
      </c>
      <c r="S1289" s="27">
        <f t="shared" si="60"/>
        <v>-0.62554458653966538</v>
      </c>
      <c r="T1289" s="19">
        <f>VLOOKUP(A1289,[1]Sheet1!$A$2:$Q$1536,16,FALSE)</f>
        <v>9552.8548370460794</v>
      </c>
      <c r="U1289" s="27">
        <f t="shared" si="61"/>
        <v>0.21489438205269121</v>
      </c>
      <c r="V1289" s="19">
        <f>VLOOKUP(A1289,[1]Sheet1!$A$2:$Q$1536,17,FALSE)</f>
        <v>4599.1796875</v>
      </c>
      <c r="W1289" s="27">
        <f t="shared" si="62"/>
        <v>-0.6307255879530147</v>
      </c>
    </row>
    <row r="1290" spans="1:23" x14ac:dyDescent="0.3">
      <c r="A1290" s="4" t="s">
        <v>627</v>
      </c>
      <c r="B1290" s="5">
        <v>2018</v>
      </c>
      <c r="C1290" s="5" t="s">
        <v>30</v>
      </c>
      <c r="D1290" s="15" t="s">
        <v>614</v>
      </c>
      <c r="E1290" s="6">
        <v>144179</v>
      </c>
      <c r="F1290" s="5" t="s">
        <v>42</v>
      </c>
      <c r="G1290" s="5" t="s">
        <v>28</v>
      </c>
      <c r="H1290" s="5" t="s">
        <v>17</v>
      </c>
      <c r="I1290" s="5" t="s">
        <v>18</v>
      </c>
      <c r="J1290" s="7">
        <v>45300</v>
      </c>
      <c r="K1290" s="5" t="s">
        <v>17</v>
      </c>
      <c r="L1290" s="8">
        <v>44224</v>
      </c>
      <c r="M1290" s="19">
        <v>235</v>
      </c>
      <c r="N1290" s="19">
        <v>285</v>
      </c>
      <c r="O1290" s="24">
        <v>10200</v>
      </c>
      <c r="P1290" s="24">
        <v>10300</v>
      </c>
      <c r="Q1290" t="s">
        <v>1983</v>
      </c>
      <c r="R1290" s="19">
        <f>VLOOKUP(A1290,[1]Sheet1!$A$2:$Q$1536,15,FALSE)</f>
        <v>4889.77587890625</v>
      </c>
      <c r="S1290" s="27">
        <f t="shared" si="60"/>
        <v>-1.1064360116038519</v>
      </c>
      <c r="T1290" s="19">
        <f>VLOOKUP(A1290,[1]Sheet1!$A$2:$Q$1536,16,FALSE)</f>
        <v>9192.8743074745089</v>
      </c>
      <c r="U1290" s="27">
        <f t="shared" si="61"/>
        <v>-0.12043302839736571</v>
      </c>
      <c r="V1290" s="19">
        <f>VLOOKUP(A1290,[1]Sheet1!$A$2:$Q$1536,17,FALSE)</f>
        <v>4802.310546875</v>
      </c>
      <c r="W1290" s="27">
        <f t="shared" si="62"/>
        <v>-1.1448009035364244</v>
      </c>
    </row>
    <row r="1291" spans="1:23" x14ac:dyDescent="0.3">
      <c r="A1291" s="4" t="s">
        <v>1346</v>
      </c>
      <c r="B1291" s="5">
        <v>2017</v>
      </c>
      <c r="C1291" s="5" t="s">
        <v>1089</v>
      </c>
      <c r="D1291" s="15" t="s">
        <v>1328</v>
      </c>
      <c r="E1291" s="6">
        <v>106125</v>
      </c>
      <c r="F1291" s="5" t="s">
        <v>44</v>
      </c>
      <c r="G1291" s="5" t="s">
        <v>28</v>
      </c>
      <c r="H1291" s="5" t="s">
        <v>17</v>
      </c>
      <c r="I1291" s="5" t="s">
        <v>18</v>
      </c>
      <c r="J1291" s="7">
        <v>45435</v>
      </c>
      <c r="K1291" s="5" t="s">
        <v>17</v>
      </c>
      <c r="L1291" s="8">
        <v>44067</v>
      </c>
      <c r="M1291" s="19">
        <v>235</v>
      </c>
      <c r="N1291" s="19">
        <v>285</v>
      </c>
      <c r="O1291" s="24">
        <v>5800</v>
      </c>
      <c r="P1291" s="24">
        <v>7200</v>
      </c>
      <c r="Q1291" t="s">
        <v>1983</v>
      </c>
      <c r="R1291" s="19">
        <f>VLOOKUP(A1291,[1]Sheet1!$A$2:$Q$1536,15,FALSE)</f>
        <v>6102.1982421875</v>
      </c>
      <c r="S1291" s="27">
        <f t="shared" si="60"/>
        <v>-0.1799026701923343</v>
      </c>
      <c r="T1291" s="19">
        <f>VLOOKUP(A1291,[1]Sheet1!$A$2:$Q$1536,16,FALSE)</f>
        <v>8683.9702984058422</v>
      </c>
      <c r="U1291" s="27">
        <f t="shared" si="61"/>
        <v>0.17088615545797775</v>
      </c>
      <c r="V1291" s="19">
        <f>VLOOKUP(A1291,[1]Sheet1!$A$2:$Q$1536,17,FALSE)</f>
        <v>5960.9638671875</v>
      </c>
      <c r="W1291" s="27">
        <f t="shared" si="62"/>
        <v>-0.20785835318225165</v>
      </c>
    </row>
    <row r="1292" spans="1:23" x14ac:dyDescent="0.3">
      <c r="A1292" s="4" t="s">
        <v>1340</v>
      </c>
      <c r="B1292" s="5">
        <v>2019</v>
      </c>
      <c r="C1292" s="5" t="s">
        <v>1089</v>
      </c>
      <c r="D1292" s="15" t="s">
        <v>1328</v>
      </c>
      <c r="E1292" s="6">
        <v>92150</v>
      </c>
      <c r="F1292" s="5" t="s">
        <v>79</v>
      </c>
      <c r="G1292" s="5" t="s">
        <v>22</v>
      </c>
      <c r="H1292" s="5" t="s">
        <v>18</v>
      </c>
      <c r="I1292" s="5" t="s">
        <v>17</v>
      </c>
      <c r="J1292" s="7">
        <v>45505</v>
      </c>
      <c r="K1292" s="5" t="s">
        <v>17</v>
      </c>
      <c r="L1292" s="8">
        <v>44067</v>
      </c>
      <c r="M1292" s="19">
        <v>235</v>
      </c>
      <c r="N1292" s="19">
        <v>285</v>
      </c>
      <c r="O1292" s="24">
        <v>3400</v>
      </c>
      <c r="P1292" s="24">
        <v>8200</v>
      </c>
      <c r="Q1292" t="s">
        <v>1983</v>
      </c>
      <c r="R1292" s="19">
        <f>VLOOKUP(A1292,[1]Sheet1!$A$2:$Q$1536,15,FALSE)</f>
        <v>4475.57470703125</v>
      </c>
      <c r="S1292" s="27">
        <f t="shared" si="60"/>
        <v>-0.83216693648696693</v>
      </c>
      <c r="T1292" s="19">
        <f>VLOOKUP(A1292,[1]Sheet1!$A$2:$Q$1536,16,FALSE)</f>
        <v>8888.9675750854658</v>
      </c>
      <c r="U1292" s="27">
        <f t="shared" si="61"/>
        <v>7.7508166079550758E-2</v>
      </c>
      <c r="V1292" s="19">
        <f>VLOOKUP(A1292,[1]Sheet1!$A$2:$Q$1536,17,FALSE)</f>
        <v>4365.63232421875</v>
      </c>
      <c r="W1292" s="27">
        <f t="shared" si="62"/>
        <v>-0.87830751447155542</v>
      </c>
    </row>
    <row r="1293" spans="1:23" x14ac:dyDescent="0.3">
      <c r="A1293" s="4" t="s">
        <v>1364</v>
      </c>
      <c r="B1293" s="5">
        <v>2017</v>
      </c>
      <c r="C1293" s="5" t="s">
        <v>1089</v>
      </c>
      <c r="D1293" s="15" t="s">
        <v>1363</v>
      </c>
      <c r="E1293" s="6">
        <v>108107</v>
      </c>
      <c r="F1293" s="5" t="s">
        <v>32</v>
      </c>
      <c r="G1293" s="5" t="s">
        <v>25</v>
      </c>
      <c r="H1293" s="5" t="s">
        <v>18</v>
      </c>
      <c r="I1293" s="5" t="s">
        <v>17</v>
      </c>
      <c r="J1293" s="7">
        <v>45365</v>
      </c>
      <c r="K1293" s="5" t="s">
        <v>17</v>
      </c>
      <c r="L1293" s="8">
        <v>44113</v>
      </c>
      <c r="M1293" s="19">
        <v>264</v>
      </c>
      <c r="N1293" s="19">
        <v>314</v>
      </c>
      <c r="O1293" s="24">
        <v>2300</v>
      </c>
      <c r="P1293" s="24">
        <v>11200</v>
      </c>
      <c r="Q1293" t="s">
        <v>1983</v>
      </c>
      <c r="R1293" s="19">
        <f>VLOOKUP(A1293,[1]Sheet1!$A$2:$Q$1536,15,FALSE)</f>
        <v>2860.06201171875</v>
      </c>
      <c r="S1293" s="27">
        <f t="shared" si="60"/>
        <v>-2.915999007752065</v>
      </c>
      <c r="T1293" s="19">
        <f>VLOOKUP(A1293,[1]Sheet1!$A$2:$Q$1536,16,FALSE)</f>
        <v>8533.5959340562513</v>
      </c>
      <c r="U1293" s="27">
        <f t="shared" si="61"/>
        <v>-0.31245961099500219</v>
      </c>
      <c r="V1293" s="19">
        <f>VLOOKUP(A1293,[1]Sheet1!$A$2:$Q$1536,17,FALSE)</f>
        <v>2773.76025390625</v>
      </c>
      <c r="W1293" s="27">
        <f t="shared" si="62"/>
        <v>-3.0378399626381509</v>
      </c>
    </row>
    <row r="1294" spans="1:23" x14ac:dyDescent="0.3">
      <c r="A1294" s="4" t="s">
        <v>151</v>
      </c>
      <c r="B1294" s="5">
        <v>2015</v>
      </c>
      <c r="C1294" s="5" t="s">
        <v>96</v>
      </c>
      <c r="D1294" s="15" t="s">
        <v>130</v>
      </c>
      <c r="E1294" s="6">
        <v>128042</v>
      </c>
      <c r="F1294" s="5" t="s">
        <v>32</v>
      </c>
      <c r="G1294" s="5" t="s">
        <v>25</v>
      </c>
      <c r="H1294" s="5" t="s">
        <v>18</v>
      </c>
      <c r="I1294" s="5" t="s">
        <v>17</v>
      </c>
      <c r="J1294" s="7">
        <v>45664</v>
      </c>
      <c r="K1294" s="5" t="s">
        <v>17</v>
      </c>
      <c r="L1294" s="8">
        <v>44113</v>
      </c>
      <c r="M1294" s="19">
        <v>264</v>
      </c>
      <c r="N1294" s="19">
        <v>314</v>
      </c>
      <c r="O1294" s="24">
        <v>2000</v>
      </c>
      <c r="P1294" s="24">
        <v>8600</v>
      </c>
      <c r="Q1294" t="s">
        <v>1983</v>
      </c>
      <c r="R1294" s="19">
        <f>VLOOKUP(A1294,[1]Sheet1!$A$2:$Q$1536,15,FALSE)</f>
        <v>2314.31689453125</v>
      </c>
      <c r="S1294" s="27">
        <f t="shared" si="60"/>
        <v>-2.7159993172593913</v>
      </c>
      <c r="T1294" s="19">
        <f>VLOOKUP(A1294,[1]Sheet1!$A$2:$Q$1536,16,FALSE)</f>
        <v>9013.6616232407141</v>
      </c>
      <c r="U1294" s="27">
        <f t="shared" si="61"/>
        <v>4.5892739325174361E-2</v>
      </c>
      <c r="V1294" s="19">
        <f>VLOOKUP(A1294,[1]Sheet1!$A$2:$Q$1536,17,FALSE)</f>
        <v>2171.309814453125</v>
      </c>
      <c r="W1294" s="27">
        <f t="shared" si="62"/>
        <v>-2.960742931641946</v>
      </c>
    </row>
    <row r="1295" spans="1:23" x14ac:dyDescent="0.3">
      <c r="A1295" s="4" t="s">
        <v>1740</v>
      </c>
      <c r="B1295" s="5">
        <v>2016</v>
      </c>
      <c r="C1295" s="5" t="s">
        <v>1086</v>
      </c>
      <c r="D1295" s="15" t="s">
        <v>1093</v>
      </c>
      <c r="E1295" s="6">
        <v>85996</v>
      </c>
      <c r="F1295" s="5" t="s">
        <v>57</v>
      </c>
      <c r="G1295" s="5" t="s">
        <v>25</v>
      </c>
      <c r="H1295" s="5" t="s">
        <v>18</v>
      </c>
      <c r="I1295" s="5" t="s">
        <v>17</v>
      </c>
      <c r="J1295" s="7">
        <v>45365</v>
      </c>
      <c r="K1295" s="5" t="s">
        <v>17</v>
      </c>
      <c r="L1295" s="8">
        <v>44128</v>
      </c>
      <c r="M1295" s="19">
        <v>264</v>
      </c>
      <c r="N1295" s="19">
        <v>314</v>
      </c>
      <c r="O1295" s="24">
        <v>3100</v>
      </c>
      <c r="P1295" s="24">
        <v>3400</v>
      </c>
      <c r="Q1295" t="s">
        <v>1983</v>
      </c>
      <c r="R1295" s="19">
        <f>VLOOKUP(A1295,[1]Sheet1!$A$2:$Q$1536,15,FALSE)</f>
        <v>3582.149169921875</v>
      </c>
      <c r="S1295" s="27">
        <f t="shared" si="60"/>
        <v>5.0849130307392416E-2</v>
      </c>
      <c r="T1295" s="19">
        <f>VLOOKUP(A1295,[1]Sheet1!$A$2:$Q$1536,16,FALSE)</f>
        <v>8797.7836295596553</v>
      </c>
      <c r="U1295" s="27">
        <f t="shared" si="61"/>
        <v>0.61353902946915551</v>
      </c>
      <c r="V1295" s="19">
        <f>VLOOKUP(A1295,[1]Sheet1!$A$2:$Q$1536,17,FALSE)</f>
        <v>3459.5888671875</v>
      </c>
      <c r="W1295" s="27">
        <f t="shared" si="62"/>
        <v>1.7224262614749145E-2</v>
      </c>
    </row>
    <row r="1296" spans="1:23" x14ac:dyDescent="0.3">
      <c r="A1296" s="4" t="s">
        <v>632</v>
      </c>
      <c r="B1296" s="5">
        <v>2010</v>
      </c>
      <c r="C1296" s="5" t="s">
        <v>633</v>
      </c>
      <c r="D1296" s="15" t="s">
        <v>634</v>
      </c>
      <c r="E1296" s="6">
        <v>125485</v>
      </c>
      <c r="F1296" s="5" t="s">
        <v>87</v>
      </c>
      <c r="G1296" s="5" t="s">
        <v>22</v>
      </c>
      <c r="H1296" s="5" t="s">
        <v>18</v>
      </c>
      <c r="I1296" s="5" t="s">
        <v>17</v>
      </c>
      <c r="J1296" s="7">
        <v>45720</v>
      </c>
      <c r="K1296" s="5" t="s">
        <v>17</v>
      </c>
      <c r="L1296" s="8">
        <v>43612</v>
      </c>
      <c r="M1296" s="19">
        <v>264</v>
      </c>
      <c r="N1296" s="19">
        <v>314</v>
      </c>
      <c r="O1296" s="24">
        <v>400</v>
      </c>
      <c r="P1296" s="24">
        <v>3100</v>
      </c>
      <c r="Q1296" t="s">
        <v>1983</v>
      </c>
      <c r="R1296" s="19">
        <f>VLOOKUP(A1296,[1]Sheet1!$A$2:$Q$1536,15,FALSE)</f>
        <v>1708.197631835938</v>
      </c>
      <c r="S1296" s="27">
        <f t="shared" si="60"/>
        <v>-0.8147783032974818</v>
      </c>
      <c r="T1296" s="19">
        <f>VLOOKUP(A1296,[1]Sheet1!$A$2:$Q$1536,16,FALSE)</f>
        <v>8955.9777930396594</v>
      </c>
      <c r="U1296" s="27">
        <f t="shared" si="61"/>
        <v>0.6538624735749976</v>
      </c>
      <c r="V1296" s="19">
        <f>VLOOKUP(A1296,[1]Sheet1!$A$2:$Q$1536,17,FALSE)</f>
        <v>1672.987060546875</v>
      </c>
      <c r="W1296" s="27">
        <f t="shared" si="62"/>
        <v>-0.85297308814011708</v>
      </c>
    </row>
    <row r="1297" spans="1:23" x14ac:dyDescent="0.3">
      <c r="A1297" s="4" t="s">
        <v>1038</v>
      </c>
      <c r="B1297" s="5">
        <v>2018</v>
      </c>
      <c r="C1297" s="5" t="s">
        <v>559</v>
      </c>
      <c r="D1297" s="15" t="s">
        <v>760</v>
      </c>
      <c r="E1297" s="6">
        <v>87557</v>
      </c>
      <c r="F1297" s="5" t="s">
        <v>92</v>
      </c>
      <c r="G1297" s="5" t="s">
        <v>25</v>
      </c>
      <c r="H1297" s="5" t="s">
        <v>18</v>
      </c>
      <c r="I1297" s="5" t="s">
        <v>17</v>
      </c>
      <c r="J1297" s="7">
        <v>45664</v>
      </c>
      <c r="K1297" s="5" t="s">
        <v>17</v>
      </c>
      <c r="L1297" s="8">
        <v>44128</v>
      </c>
      <c r="M1297" s="19">
        <v>264</v>
      </c>
      <c r="N1297" s="19">
        <v>314</v>
      </c>
      <c r="O1297" s="24">
        <v>9900</v>
      </c>
      <c r="P1297" s="24">
        <v>13700</v>
      </c>
      <c r="Q1297" t="s">
        <v>1983</v>
      </c>
      <c r="R1297" s="19">
        <f>VLOOKUP(A1297,[1]Sheet1!$A$2:$Q$1536,15,FALSE)</f>
        <v>15590.7158203125</v>
      </c>
      <c r="S1297" s="27">
        <f t="shared" si="60"/>
        <v>0.12127190579980711</v>
      </c>
      <c r="T1297" s="19">
        <f>VLOOKUP(A1297,[1]Sheet1!$A$2:$Q$1536,16,FALSE)</f>
        <v>11159.77615326472</v>
      </c>
      <c r="U1297" s="27">
        <f t="shared" si="61"/>
        <v>-0.22762318991426669</v>
      </c>
      <c r="V1297" s="19">
        <f>VLOOKUP(A1297,[1]Sheet1!$A$2:$Q$1536,17,FALSE)</f>
        <v>15584.6455078125</v>
      </c>
      <c r="W1297" s="27">
        <f t="shared" si="62"/>
        <v>0.12092963595917131</v>
      </c>
    </row>
    <row r="1298" spans="1:23" x14ac:dyDescent="0.3">
      <c r="A1298" s="4" t="s">
        <v>676</v>
      </c>
      <c r="B1298" s="5">
        <v>2019</v>
      </c>
      <c r="C1298" s="5" t="s">
        <v>636</v>
      </c>
      <c r="D1298" s="15" t="s">
        <v>677</v>
      </c>
      <c r="E1298" s="6">
        <v>64433</v>
      </c>
      <c r="F1298" s="5" t="s">
        <v>36</v>
      </c>
      <c r="G1298" s="5" t="s">
        <v>33</v>
      </c>
      <c r="H1298" s="5" t="s">
        <v>17</v>
      </c>
      <c r="I1298" s="5" t="s">
        <v>18</v>
      </c>
      <c r="J1298" s="7">
        <v>45594</v>
      </c>
      <c r="K1298" s="5" t="s">
        <v>17</v>
      </c>
      <c r="L1298" s="8">
        <v>44907</v>
      </c>
      <c r="M1298" s="19">
        <v>128</v>
      </c>
      <c r="N1298" s="19">
        <v>158</v>
      </c>
      <c r="O1298" s="24">
        <v>23000</v>
      </c>
      <c r="P1298" s="24">
        <v>26500</v>
      </c>
      <c r="Q1298" t="s">
        <v>1983</v>
      </c>
      <c r="R1298" s="19">
        <f>VLOOKUP(A1298,[1]Sheet1!$A$2:$Q$1536,15,FALSE)</f>
        <v>6445.4208984375</v>
      </c>
      <c r="S1298" s="27">
        <f t="shared" si="60"/>
        <v>-3.1114460044687129</v>
      </c>
      <c r="T1298" s="19">
        <f>VLOOKUP(A1298,[1]Sheet1!$A$2:$Q$1536,16,FALSE)</f>
        <v>11432.986745127</v>
      </c>
      <c r="U1298" s="27">
        <f t="shared" si="61"/>
        <v>-1.3178545196245333</v>
      </c>
      <c r="V1298" s="19">
        <f>VLOOKUP(A1298,[1]Sheet1!$A$2:$Q$1536,17,FALSE)</f>
        <v>6072.61572265625</v>
      </c>
      <c r="W1298" s="27">
        <f t="shared" si="62"/>
        <v>-3.3638526148018002</v>
      </c>
    </row>
    <row r="1299" spans="1:23" x14ac:dyDescent="0.3">
      <c r="A1299" s="4" t="s">
        <v>733</v>
      </c>
      <c r="B1299" s="5">
        <v>2015</v>
      </c>
      <c r="C1299" s="5" t="s">
        <v>83</v>
      </c>
      <c r="D1299" s="15" t="s">
        <v>714</v>
      </c>
      <c r="E1299" s="6">
        <v>73301</v>
      </c>
      <c r="F1299" s="5" t="s">
        <v>87</v>
      </c>
      <c r="G1299" s="5" t="s">
        <v>33</v>
      </c>
      <c r="H1299" s="5" t="s">
        <v>17</v>
      </c>
      <c r="I1299" s="5" t="s">
        <v>18</v>
      </c>
      <c r="J1299" s="7">
        <v>45664</v>
      </c>
      <c r="K1299" s="5" t="s">
        <v>17</v>
      </c>
      <c r="L1299" s="8">
        <v>44113</v>
      </c>
      <c r="M1299" s="19">
        <v>264</v>
      </c>
      <c r="N1299" s="19">
        <v>314</v>
      </c>
      <c r="O1299" s="24">
        <v>13600</v>
      </c>
      <c r="P1299" s="24">
        <v>15400</v>
      </c>
      <c r="Q1299" t="s">
        <v>1983</v>
      </c>
      <c r="R1299" s="19">
        <f>VLOOKUP(A1299,[1]Sheet1!$A$2:$Q$1536,15,FALSE)</f>
        <v>4493.560546875</v>
      </c>
      <c r="S1299" s="27">
        <f t="shared" si="60"/>
        <v>-2.4271264044076961</v>
      </c>
      <c r="T1299" s="19">
        <f>VLOOKUP(A1299,[1]Sheet1!$A$2:$Q$1536,16,FALSE)</f>
        <v>10057.66203356314</v>
      </c>
      <c r="U1299" s="27">
        <f t="shared" si="61"/>
        <v>-0.5311709568892945</v>
      </c>
      <c r="V1299" s="19">
        <f>VLOOKUP(A1299,[1]Sheet1!$A$2:$Q$1536,17,FALSE)</f>
        <v>4299.771484375</v>
      </c>
      <c r="W1299" s="27">
        <f t="shared" si="62"/>
        <v>-2.5815856856491739</v>
      </c>
    </row>
    <row r="1300" spans="1:23" x14ac:dyDescent="0.3">
      <c r="A1300" s="4" t="s">
        <v>1012</v>
      </c>
      <c r="B1300" s="5">
        <v>2014</v>
      </c>
      <c r="C1300" s="5" t="s">
        <v>237</v>
      </c>
      <c r="D1300" s="15" t="s">
        <v>241</v>
      </c>
      <c r="E1300" s="6">
        <v>105269</v>
      </c>
      <c r="F1300" s="5" t="s">
        <v>32</v>
      </c>
      <c r="G1300" s="5" t="s">
        <v>25</v>
      </c>
      <c r="H1300" s="5" t="s">
        <v>18</v>
      </c>
      <c r="I1300" s="5" t="s">
        <v>17</v>
      </c>
      <c r="J1300" s="7">
        <v>45398</v>
      </c>
      <c r="K1300" s="5" t="s">
        <v>17</v>
      </c>
      <c r="L1300" s="8">
        <v>44473</v>
      </c>
      <c r="M1300" s="19">
        <v>307</v>
      </c>
      <c r="N1300" s="19">
        <v>357</v>
      </c>
      <c r="O1300" s="24">
        <v>1600</v>
      </c>
      <c r="P1300" s="24">
        <v>8100</v>
      </c>
      <c r="Q1300" t="s">
        <v>1983</v>
      </c>
      <c r="R1300" s="19">
        <f>VLOOKUP(A1300,[1]Sheet1!$A$2:$Q$1536,15,FALSE)</f>
        <v>2970.575927734375</v>
      </c>
      <c r="S1300" s="27">
        <f t="shared" si="60"/>
        <v>-1.7267439705464049</v>
      </c>
      <c r="T1300" s="19">
        <f>VLOOKUP(A1300,[1]Sheet1!$A$2:$Q$1536,16,FALSE)</f>
        <v>9064.4806097471264</v>
      </c>
      <c r="U1300" s="27">
        <f t="shared" si="61"/>
        <v>0.10640219238927058</v>
      </c>
      <c r="V1300" s="19">
        <f>VLOOKUP(A1300,[1]Sheet1!$A$2:$Q$1536,17,FALSE)</f>
        <v>2859.3427734375</v>
      </c>
      <c r="W1300" s="27">
        <f t="shared" si="62"/>
        <v>-1.8328188125071081</v>
      </c>
    </row>
    <row r="1301" spans="1:23" x14ac:dyDescent="0.3">
      <c r="A1301" s="4" t="s">
        <v>1183</v>
      </c>
      <c r="B1301" s="5">
        <v>2019</v>
      </c>
      <c r="C1301" s="5" t="s">
        <v>684</v>
      </c>
      <c r="D1301" s="15" t="s">
        <v>1184</v>
      </c>
      <c r="E1301" s="6">
        <v>157604</v>
      </c>
      <c r="F1301" s="5" t="s">
        <v>57</v>
      </c>
      <c r="G1301" s="5" t="s">
        <v>25</v>
      </c>
      <c r="H1301" s="5" t="s">
        <v>18</v>
      </c>
      <c r="I1301" s="5" t="s">
        <v>17</v>
      </c>
      <c r="J1301" s="7">
        <v>45736</v>
      </c>
      <c r="K1301" s="5" t="s">
        <v>17</v>
      </c>
      <c r="L1301" s="8">
        <v>44310</v>
      </c>
      <c r="M1301" s="19">
        <v>235</v>
      </c>
      <c r="N1301" s="19">
        <v>285</v>
      </c>
      <c r="O1301" s="24">
        <v>0</v>
      </c>
      <c r="P1301" s="24">
        <v>15500</v>
      </c>
      <c r="Q1301" t="s">
        <v>1983</v>
      </c>
      <c r="R1301" s="19">
        <f>VLOOKUP(A1301,[1]Sheet1!$A$2:$Q$1536,15,FALSE)</f>
        <v>3281.716552734375</v>
      </c>
      <c r="S1301" s="27">
        <f t="shared" si="60"/>
        <v>-3.723137952631884</v>
      </c>
      <c r="T1301" s="19">
        <f>VLOOKUP(A1301,[1]Sheet1!$A$2:$Q$1536,16,FALSE)</f>
        <v>9008.7857027437785</v>
      </c>
      <c r="U1301" s="27">
        <f t="shared" si="61"/>
        <v>-0.72054264708274862</v>
      </c>
      <c r="V1301" s="19">
        <f>VLOOKUP(A1301,[1]Sheet1!$A$2:$Q$1536,17,FALSE)</f>
        <v>3205.46240234375</v>
      </c>
      <c r="W1301" s="27">
        <f t="shared" si="62"/>
        <v>-3.8354958051190389</v>
      </c>
    </row>
    <row r="1302" spans="1:23" x14ac:dyDescent="0.3">
      <c r="A1302" s="4" t="s">
        <v>1970</v>
      </c>
      <c r="B1302" s="5">
        <v>2021</v>
      </c>
      <c r="C1302" s="5" t="s">
        <v>96</v>
      </c>
      <c r="D1302" s="15" t="s">
        <v>1951</v>
      </c>
      <c r="E1302" s="6">
        <v>18976</v>
      </c>
      <c r="F1302" s="5" t="s">
        <v>101</v>
      </c>
      <c r="G1302" s="5" t="s">
        <v>16</v>
      </c>
      <c r="H1302" s="5" t="s">
        <v>17</v>
      </c>
      <c r="I1302" s="5" t="s">
        <v>18</v>
      </c>
      <c r="J1302" s="7">
        <v>45706</v>
      </c>
      <c r="K1302" s="5" t="s">
        <v>17</v>
      </c>
      <c r="L1302" s="8">
        <v>44035</v>
      </c>
      <c r="M1302" s="19">
        <v>222</v>
      </c>
      <c r="N1302" s="19">
        <v>272</v>
      </c>
      <c r="O1302" s="24">
        <v>18700</v>
      </c>
      <c r="P1302" s="24">
        <v>19000</v>
      </c>
      <c r="Q1302" t="s">
        <v>1983</v>
      </c>
      <c r="R1302" s="19">
        <f>VLOOKUP(A1302,[1]Sheet1!$A$2:$Q$1536,15,FALSE)</f>
        <v>21229.234375</v>
      </c>
      <c r="S1302" s="27">
        <f t="shared" si="60"/>
        <v>0.10500776126082031</v>
      </c>
      <c r="T1302" s="19">
        <f>VLOOKUP(A1302,[1]Sheet1!$A$2:$Q$1536,16,FALSE)</f>
        <v>14679.82686353345</v>
      </c>
      <c r="U1302" s="27">
        <f t="shared" si="61"/>
        <v>-0.29429319409743226</v>
      </c>
      <c r="V1302" s="19">
        <f>VLOOKUP(A1302,[1]Sheet1!$A$2:$Q$1536,17,FALSE)</f>
        <v>20877.73828125</v>
      </c>
      <c r="W1302" s="27">
        <f t="shared" si="62"/>
        <v>8.993973657272876E-2</v>
      </c>
    </row>
    <row r="1303" spans="1:23" x14ac:dyDescent="0.3">
      <c r="A1303" s="4" t="s">
        <v>1779</v>
      </c>
      <c r="B1303" s="5">
        <v>2018</v>
      </c>
      <c r="C1303" s="5" t="s">
        <v>1086</v>
      </c>
      <c r="D1303" s="15" t="s">
        <v>1758</v>
      </c>
      <c r="E1303" s="6">
        <v>159721</v>
      </c>
      <c r="F1303" s="5" t="s">
        <v>112</v>
      </c>
      <c r="G1303" s="5" t="s">
        <v>22</v>
      </c>
      <c r="H1303" s="5" t="s">
        <v>18</v>
      </c>
      <c r="I1303" s="5" t="s">
        <v>17</v>
      </c>
      <c r="J1303" s="7">
        <v>45715</v>
      </c>
      <c r="K1303" s="5" t="s">
        <v>17</v>
      </c>
      <c r="L1303" s="8">
        <v>44827</v>
      </c>
      <c r="M1303" s="19">
        <v>128</v>
      </c>
      <c r="N1303" s="19">
        <v>158</v>
      </c>
      <c r="O1303" s="24">
        <v>1400</v>
      </c>
      <c r="P1303" s="24">
        <v>7800</v>
      </c>
      <c r="Q1303" t="s">
        <v>1983</v>
      </c>
      <c r="R1303" s="19">
        <f>VLOOKUP(A1303,[1]Sheet1!$A$2:$Q$1536,15,FALSE)</f>
        <v>1401.3369140625</v>
      </c>
      <c r="S1303" s="27">
        <f t="shared" si="60"/>
        <v>-4.5661132749209212</v>
      </c>
      <c r="T1303" s="19">
        <f>VLOOKUP(A1303,[1]Sheet1!$A$2:$Q$1536,16,FALSE)</f>
        <v>8585.5873804235489</v>
      </c>
      <c r="U1303" s="27">
        <f t="shared" si="61"/>
        <v>9.1500714583000825E-2</v>
      </c>
      <c r="V1303" s="19">
        <f>VLOOKUP(A1303,[1]Sheet1!$A$2:$Q$1536,17,FALSE)</f>
        <v>1390.846557617188</v>
      </c>
      <c r="W1303" s="27">
        <f t="shared" si="62"/>
        <v>-4.6080952692315948</v>
      </c>
    </row>
    <row r="1304" spans="1:23" x14ac:dyDescent="0.3">
      <c r="A1304" s="4" t="s">
        <v>1312</v>
      </c>
      <c r="B1304" s="5">
        <v>2019</v>
      </c>
      <c r="C1304" s="5" t="s">
        <v>636</v>
      </c>
      <c r="D1304" s="15" t="s">
        <v>1313</v>
      </c>
      <c r="E1304" s="6">
        <v>121856</v>
      </c>
      <c r="F1304" s="5" t="s">
        <v>36</v>
      </c>
      <c r="G1304" s="5" t="s">
        <v>33</v>
      </c>
      <c r="H1304" s="5" t="s">
        <v>17</v>
      </c>
      <c r="I1304" s="5" t="s">
        <v>18</v>
      </c>
      <c r="J1304" s="7">
        <v>45622</v>
      </c>
      <c r="K1304" s="5" t="s">
        <v>17</v>
      </c>
      <c r="L1304" s="8">
        <v>44067</v>
      </c>
      <c r="M1304" s="19">
        <v>235</v>
      </c>
      <c r="N1304" s="19">
        <v>285</v>
      </c>
      <c r="O1304" s="24">
        <v>0</v>
      </c>
      <c r="P1304" s="24">
        <v>20600</v>
      </c>
      <c r="Q1304" t="s">
        <v>1983</v>
      </c>
      <c r="R1304" s="19">
        <f>VLOOKUP(A1304,[1]Sheet1!$A$2:$Q$1536,15,FALSE)</f>
        <v>3319.9375</v>
      </c>
      <c r="S1304" s="27">
        <f t="shared" si="60"/>
        <v>-5.2049360868992265</v>
      </c>
      <c r="T1304" s="19">
        <f>VLOOKUP(A1304,[1]Sheet1!$A$2:$Q$1536,16,FALSE)</f>
        <v>8990.6797664237783</v>
      </c>
      <c r="U1304" s="27">
        <f t="shared" si="61"/>
        <v>-1.2912616771127707</v>
      </c>
      <c r="V1304" s="19">
        <f>VLOOKUP(A1304,[1]Sheet1!$A$2:$Q$1536,17,FALSE)</f>
        <v>3234.11572265625</v>
      </c>
      <c r="W1304" s="27">
        <f t="shared" si="62"/>
        <v>-5.3695927315429426</v>
      </c>
    </row>
    <row r="1305" spans="1:23" x14ac:dyDescent="0.3">
      <c r="A1305" s="4" t="s">
        <v>977</v>
      </c>
      <c r="B1305" s="5">
        <v>2014</v>
      </c>
      <c r="C1305" s="5" t="s">
        <v>83</v>
      </c>
      <c r="D1305" s="15" t="s">
        <v>965</v>
      </c>
      <c r="E1305" s="6">
        <v>121976</v>
      </c>
      <c r="F1305" s="5" t="s">
        <v>61</v>
      </c>
      <c r="G1305" s="5" t="s">
        <v>22</v>
      </c>
      <c r="H1305" s="5" t="s">
        <v>18</v>
      </c>
      <c r="I1305" s="5" t="s">
        <v>17</v>
      </c>
      <c r="J1305" s="7">
        <v>45678</v>
      </c>
      <c r="K1305" s="5" t="s">
        <v>17</v>
      </c>
      <c r="L1305" s="8">
        <v>44451</v>
      </c>
      <c r="M1305" s="19">
        <v>264</v>
      </c>
      <c r="N1305" s="19">
        <v>314</v>
      </c>
      <c r="O1305" s="24">
        <v>700</v>
      </c>
      <c r="P1305" s="24">
        <v>2800</v>
      </c>
      <c r="Q1305" t="s">
        <v>1983</v>
      </c>
      <c r="R1305" s="19">
        <f>VLOOKUP(A1305,[1]Sheet1!$A$2:$Q$1536,15,FALSE)</f>
        <v>2059.791015625</v>
      </c>
      <c r="S1305" s="27">
        <f t="shared" si="60"/>
        <v>-0.35936120643307073</v>
      </c>
      <c r="T1305" s="19">
        <f>VLOOKUP(A1305,[1]Sheet1!$A$2:$Q$1536,16,FALSE)</f>
        <v>8795.2397677398312</v>
      </c>
      <c r="U1305" s="27">
        <f t="shared" si="61"/>
        <v>0.68164597282837536</v>
      </c>
      <c r="V1305" s="19">
        <f>VLOOKUP(A1305,[1]Sheet1!$A$2:$Q$1536,17,FALSE)</f>
        <v>2011.743041992188</v>
      </c>
      <c r="W1305" s="27">
        <f t="shared" si="62"/>
        <v>-0.3918278535350207</v>
      </c>
    </row>
    <row r="1306" spans="1:23" x14ac:dyDescent="0.3">
      <c r="A1306" s="4" t="s">
        <v>939</v>
      </c>
      <c r="B1306" s="5">
        <v>2021</v>
      </c>
      <c r="C1306" s="5" t="s">
        <v>96</v>
      </c>
      <c r="D1306" s="15" t="s">
        <v>107</v>
      </c>
      <c r="E1306" s="6">
        <v>24719</v>
      </c>
      <c r="F1306" s="5" t="s">
        <v>246</v>
      </c>
      <c r="G1306" s="5" t="s">
        <v>16</v>
      </c>
      <c r="H1306" s="5" t="s">
        <v>17</v>
      </c>
      <c r="I1306" s="5" t="s">
        <v>18</v>
      </c>
      <c r="J1306" s="7">
        <v>45314</v>
      </c>
      <c r="K1306" s="5" t="s">
        <v>17</v>
      </c>
      <c r="L1306" s="8">
        <v>44128</v>
      </c>
      <c r="M1306" s="19">
        <v>264</v>
      </c>
      <c r="N1306" s="19">
        <v>314</v>
      </c>
      <c r="O1306" s="24">
        <v>17000</v>
      </c>
      <c r="P1306" s="24">
        <v>23000</v>
      </c>
      <c r="Q1306" t="s">
        <v>1983</v>
      </c>
      <c r="R1306" s="19">
        <f>VLOOKUP(A1306,[1]Sheet1!$A$2:$Q$1536,15,FALSE)</f>
        <v>18709.6640625</v>
      </c>
      <c r="S1306" s="27">
        <f t="shared" si="60"/>
        <v>-0.22931122243392765</v>
      </c>
      <c r="T1306" s="19">
        <f>VLOOKUP(A1306,[1]Sheet1!$A$2:$Q$1536,16,FALSE)</f>
        <v>14776.717186766249</v>
      </c>
      <c r="U1306" s="27">
        <f t="shared" si="61"/>
        <v>-0.55650268657766344</v>
      </c>
      <c r="V1306" s="19">
        <f>VLOOKUP(A1306,[1]Sheet1!$A$2:$Q$1536,17,FALSE)</f>
        <v>18840.40625</v>
      </c>
      <c r="W1306" s="27">
        <f t="shared" si="62"/>
        <v>-0.22078047016634791</v>
      </c>
    </row>
    <row r="1307" spans="1:23" x14ac:dyDescent="0.3">
      <c r="A1307" s="4" t="s">
        <v>1269</v>
      </c>
      <c r="B1307" s="5">
        <v>2015</v>
      </c>
      <c r="C1307" s="5" t="s">
        <v>519</v>
      </c>
      <c r="D1307" s="15" t="s">
        <v>1267</v>
      </c>
      <c r="E1307" s="6">
        <v>151130</v>
      </c>
      <c r="F1307" s="5" t="s">
        <v>87</v>
      </c>
      <c r="G1307" s="5" t="s">
        <v>33</v>
      </c>
      <c r="H1307" s="5" t="s">
        <v>17</v>
      </c>
      <c r="I1307" s="5" t="s">
        <v>18</v>
      </c>
      <c r="J1307" s="7">
        <v>45412</v>
      </c>
      <c r="K1307" s="5" t="s">
        <v>17</v>
      </c>
      <c r="L1307" s="8">
        <v>43612</v>
      </c>
      <c r="M1307" s="19">
        <v>264</v>
      </c>
      <c r="N1307" s="19">
        <v>314</v>
      </c>
      <c r="O1307" s="24">
        <v>5000</v>
      </c>
      <c r="P1307" s="24">
        <v>7600</v>
      </c>
      <c r="Q1307" t="s">
        <v>1983</v>
      </c>
      <c r="R1307" s="19">
        <f>VLOOKUP(A1307,[1]Sheet1!$A$2:$Q$1536,15,FALSE)</f>
        <v>1855.89501953125</v>
      </c>
      <c r="S1307" s="27">
        <f t="shared" si="60"/>
        <v>-3.0950592140279354</v>
      </c>
      <c r="T1307" s="19">
        <f>VLOOKUP(A1307,[1]Sheet1!$A$2:$Q$1536,16,FALSE)</f>
        <v>8927.7911515878059</v>
      </c>
      <c r="U1307" s="27">
        <f t="shared" si="61"/>
        <v>0.14872560626058759</v>
      </c>
      <c r="V1307" s="19">
        <f>VLOOKUP(A1307,[1]Sheet1!$A$2:$Q$1536,17,FALSE)</f>
        <v>1778.49755859375</v>
      </c>
      <c r="W1307" s="27">
        <f t="shared" si="62"/>
        <v>-3.2732698525654911</v>
      </c>
    </row>
    <row r="1308" spans="1:23" x14ac:dyDescent="0.3">
      <c r="A1308" s="4" t="s">
        <v>929</v>
      </c>
      <c r="B1308" s="5">
        <v>2015</v>
      </c>
      <c r="C1308" s="5" t="s">
        <v>920</v>
      </c>
      <c r="D1308" s="15" t="s">
        <v>930</v>
      </c>
      <c r="E1308" s="6">
        <v>113381</v>
      </c>
      <c r="F1308" s="5" t="s">
        <v>77</v>
      </c>
      <c r="G1308" s="5" t="s">
        <v>28</v>
      </c>
      <c r="H1308" s="5" t="s">
        <v>17</v>
      </c>
      <c r="I1308" s="5" t="s">
        <v>18</v>
      </c>
      <c r="J1308" s="7">
        <v>45617</v>
      </c>
      <c r="K1308" s="5" t="s">
        <v>17</v>
      </c>
      <c r="L1308" s="8">
        <v>43605</v>
      </c>
      <c r="M1308" s="19">
        <v>264</v>
      </c>
      <c r="N1308" s="19">
        <v>314</v>
      </c>
      <c r="O1308" s="24">
        <v>0</v>
      </c>
      <c r="P1308" s="24">
        <v>12000</v>
      </c>
      <c r="Q1308" t="s">
        <v>1983</v>
      </c>
      <c r="R1308" s="19">
        <f>VLOOKUP(A1308,[1]Sheet1!$A$2:$Q$1536,15,FALSE)</f>
        <v>8674.2958984375</v>
      </c>
      <c r="S1308" s="27">
        <f t="shared" si="60"/>
        <v>-0.38339758529122331</v>
      </c>
      <c r="T1308" s="19">
        <f>VLOOKUP(A1308,[1]Sheet1!$A$2:$Q$1536,16,FALSE)</f>
        <v>9478.3623514482751</v>
      </c>
      <c r="U1308" s="27">
        <f t="shared" si="61"/>
        <v>-0.26604149061324117</v>
      </c>
      <c r="V1308" s="19">
        <f>VLOOKUP(A1308,[1]Sheet1!$A$2:$Q$1536,17,FALSE)</f>
        <v>8663.201171875</v>
      </c>
      <c r="W1308" s="27">
        <f t="shared" si="62"/>
        <v>-0.38516926502386734</v>
      </c>
    </row>
    <row r="1309" spans="1:23" x14ac:dyDescent="0.3">
      <c r="A1309" s="4" t="s">
        <v>882</v>
      </c>
      <c r="B1309" s="5">
        <v>2015</v>
      </c>
      <c r="C1309" s="5" t="s">
        <v>391</v>
      </c>
      <c r="D1309" s="15" t="s">
        <v>883</v>
      </c>
      <c r="E1309" s="6">
        <v>136993</v>
      </c>
      <c r="F1309" s="5" t="s">
        <v>27</v>
      </c>
      <c r="G1309" s="5" t="s">
        <v>25</v>
      </c>
      <c r="H1309" s="5" t="s">
        <v>18</v>
      </c>
      <c r="I1309" s="5" t="s">
        <v>17</v>
      </c>
      <c r="J1309" s="7">
        <v>45400</v>
      </c>
      <c r="K1309" s="5" t="s">
        <v>17</v>
      </c>
      <c r="L1309" s="8">
        <v>43608</v>
      </c>
      <c r="M1309" s="19">
        <v>264</v>
      </c>
      <c r="N1309" s="19">
        <v>314</v>
      </c>
      <c r="O1309" s="24">
        <v>0</v>
      </c>
      <c r="P1309" s="24">
        <v>10500</v>
      </c>
      <c r="Q1309" t="s">
        <v>1983</v>
      </c>
      <c r="R1309" s="19">
        <f>VLOOKUP(A1309,[1]Sheet1!$A$2:$Q$1536,15,FALSE)</f>
        <v>2833.339111328125</v>
      </c>
      <c r="S1309" s="27">
        <f t="shared" si="60"/>
        <v>-2.7058747955793172</v>
      </c>
      <c r="T1309" s="19">
        <f>VLOOKUP(A1309,[1]Sheet1!$A$2:$Q$1536,16,FALSE)</f>
        <v>9318.7034386576215</v>
      </c>
      <c r="U1309" s="27">
        <f t="shared" si="61"/>
        <v>-0.12676619329271699</v>
      </c>
      <c r="V1309" s="19">
        <f>VLOOKUP(A1309,[1]Sheet1!$A$2:$Q$1536,17,FALSE)</f>
        <v>2708.66552734375</v>
      </c>
      <c r="W1309" s="27">
        <f t="shared" si="62"/>
        <v>-2.8764476063963547</v>
      </c>
    </row>
    <row r="1310" spans="1:23" x14ac:dyDescent="0.3">
      <c r="A1310" s="4" t="s">
        <v>384</v>
      </c>
      <c r="B1310" s="5">
        <v>2015</v>
      </c>
      <c r="C1310" s="5" t="s">
        <v>237</v>
      </c>
      <c r="D1310" s="15" t="s">
        <v>376</v>
      </c>
      <c r="E1310" s="6">
        <v>31163</v>
      </c>
      <c r="F1310" s="5" t="s">
        <v>199</v>
      </c>
      <c r="G1310" s="5" t="s">
        <v>16</v>
      </c>
      <c r="H1310" s="5" t="s">
        <v>17</v>
      </c>
      <c r="I1310" s="5" t="s">
        <v>18</v>
      </c>
      <c r="J1310" s="7">
        <v>45314</v>
      </c>
      <c r="K1310" s="5" t="s">
        <v>17</v>
      </c>
      <c r="L1310" s="8">
        <v>44081</v>
      </c>
      <c r="M1310" s="19">
        <v>325</v>
      </c>
      <c r="N1310" s="19">
        <v>375</v>
      </c>
      <c r="O1310" s="24">
        <v>0</v>
      </c>
      <c r="P1310" s="24">
        <v>14200</v>
      </c>
      <c r="Q1310" t="s">
        <v>1983</v>
      </c>
      <c r="R1310" s="19">
        <f>VLOOKUP(A1310,[1]Sheet1!$A$2:$Q$1536,15,FALSE)</f>
        <v>14709.7265625</v>
      </c>
      <c r="S1310" s="27">
        <f t="shared" si="60"/>
        <v>3.4652347909679235E-2</v>
      </c>
      <c r="T1310" s="19">
        <f>VLOOKUP(A1310,[1]Sheet1!$A$2:$Q$1536,16,FALSE)</f>
        <v>12714.62078173265</v>
      </c>
      <c r="U1310" s="27">
        <f t="shared" si="61"/>
        <v>-0.11682450021642986</v>
      </c>
      <c r="V1310" s="19">
        <f>VLOOKUP(A1310,[1]Sheet1!$A$2:$Q$1536,17,FALSE)</f>
        <v>14589.0830078125</v>
      </c>
      <c r="W1310" s="27">
        <f t="shared" si="62"/>
        <v>2.6669462885648455E-2</v>
      </c>
    </row>
    <row r="1311" spans="1:23" x14ac:dyDescent="0.3">
      <c r="A1311" s="4" t="s">
        <v>1133</v>
      </c>
      <c r="B1311" s="5">
        <v>2020</v>
      </c>
      <c r="C1311" s="5" t="s">
        <v>920</v>
      </c>
      <c r="D1311" s="15" t="s">
        <v>1134</v>
      </c>
      <c r="E1311" s="6">
        <v>99151</v>
      </c>
      <c r="F1311" s="5" t="s">
        <v>77</v>
      </c>
      <c r="G1311" s="5" t="s">
        <v>28</v>
      </c>
      <c r="H1311" s="5" t="s">
        <v>17</v>
      </c>
      <c r="I1311" s="5" t="s">
        <v>18</v>
      </c>
      <c r="J1311" s="7">
        <v>45594</v>
      </c>
      <c r="K1311" s="5" t="s">
        <v>17</v>
      </c>
      <c r="L1311" s="8">
        <v>43612</v>
      </c>
      <c r="M1311" s="19">
        <v>264</v>
      </c>
      <c r="N1311" s="19">
        <v>314</v>
      </c>
      <c r="O1311" s="24">
        <v>8500</v>
      </c>
      <c r="P1311" s="24">
        <v>10600</v>
      </c>
      <c r="Q1311" t="s">
        <v>1983</v>
      </c>
      <c r="R1311" s="19">
        <f>VLOOKUP(A1311,[1]Sheet1!$A$2:$Q$1536,15,FALSE)</f>
        <v>12775.3603515625</v>
      </c>
      <c r="S1311" s="27">
        <f t="shared" si="60"/>
        <v>0.17027780756857014</v>
      </c>
      <c r="T1311" s="19">
        <f>VLOOKUP(A1311,[1]Sheet1!$A$2:$Q$1536,16,FALSE)</f>
        <v>10853.64946096104</v>
      </c>
      <c r="U1311" s="27">
        <f t="shared" si="61"/>
        <v>2.3369969877263797E-2</v>
      </c>
      <c r="V1311" s="19">
        <f>VLOOKUP(A1311,[1]Sheet1!$A$2:$Q$1536,17,FALSE)</f>
        <v>12976.556640625</v>
      </c>
      <c r="W1311" s="27">
        <f t="shared" si="62"/>
        <v>0.18314231628942637</v>
      </c>
    </row>
    <row r="1312" spans="1:23" x14ac:dyDescent="0.3">
      <c r="A1312" s="4" t="s">
        <v>1725</v>
      </c>
      <c r="B1312" s="5">
        <v>2015</v>
      </c>
      <c r="C1312" s="5" t="s">
        <v>1089</v>
      </c>
      <c r="D1312" s="15" t="s">
        <v>1720</v>
      </c>
      <c r="E1312" s="6">
        <v>112014</v>
      </c>
      <c r="F1312" s="5" t="s">
        <v>103</v>
      </c>
      <c r="G1312" s="5" t="s">
        <v>25</v>
      </c>
      <c r="H1312" s="5" t="s">
        <v>18</v>
      </c>
      <c r="I1312" s="5" t="s">
        <v>17</v>
      </c>
      <c r="J1312" s="7">
        <v>45729</v>
      </c>
      <c r="K1312" s="5" t="s">
        <v>17</v>
      </c>
      <c r="L1312" s="8">
        <v>43612</v>
      </c>
      <c r="M1312" s="19">
        <v>264</v>
      </c>
      <c r="N1312" s="19">
        <v>314</v>
      </c>
      <c r="O1312" s="24">
        <v>0</v>
      </c>
      <c r="P1312" s="24">
        <v>4467.6470588235297</v>
      </c>
      <c r="Q1312" t="s">
        <v>1983</v>
      </c>
      <c r="R1312" s="19">
        <f>VLOOKUP(A1312,[1]Sheet1!$A$2:$Q$1536,15,FALSE)</f>
        <v>4557.71630859375</v>
      </c>
      <c r="S1312" s="27">
        <f t="shared" si="60"/>
        <v>1.9761925418743422E-2</v>
      </c>
      <c r="T1312" s="19">
        <f>VLOOKUP(A1312,[1]Sheet1!$A$2:$Q$1536,16,FALSE)</f>
        <v>8728.9974677224382</v>
      </c>
      <c r="U1312" s="27">
        <f t="shared" si="61"/>
        <v>0.48818325639986421</v>
      </c>
      <c r="V1312" s="19">
        <f>VLOOKUP(A1312,[1]Sheet1!$A$2:$Q$1536,17,FALSE)</f>
        <v>4476.63671875</v>
      </c>
      <c r="W1312" s="27">
        <f t="shared" si="62"/>
        <v>2.0081280861629592E-3</v>
      </c>
    </row>
    <row r="1313" spans="1:23" x14ac:dyDescent="0.3">
      <c r="A1313" s="4" t="s">
        <v>566</v>
      </c>
      <c r="B1313" s="5">
        <v>2019</v>
      </c>
      <c r="C1313" s="5" t="s">
        <v>559</v>
      </c>
      <c r="D1313" s="15" t="s">
        <v>560</v>
      </c>
      <c r="E1313" s="6">
        <v>80236</v>
      </c>
      <c r="F1313" s="5" t="s">
        <v>42</v>
      </c>
      <c r="G1313" s="5" t="s">
        <v>33</v>
      </c>
      <c r="H1313" s="5" t="s">
        <v>17</v>
      </c>
      <c r="I1313" s="5" t="s">
        <v>18</v>
      </c>
      <c r="J1313" s="7">
        <v>45510</v>
      </c>
      <c r="K1313" s="5" t="s">
        <v>17</v>
      </c>
      <c r="L1313" s="8">
        <v>43608</v>
      </c>
      <c r="M1313" s="19">
        <v>264</v>
      </c>
      <c r="N1313" s="19">
        <v>314</v>
      </c>
      <c r="O1313" s="24">
        <v>16700</v>
      </c>
      <c r="P1313" s="24">
        <v>20100</v>
      </c>
      <c r="Q1313" t="s">
        <v>1983</v>
      </c>
      <c r="R1313" s="19">
        <f>VLOOKUP(A1313,[1]Sheet1!$A$2:$Q$1536,15,FALSE)</f>
        <v>11668.3759765625</v>
      </c>
      <c r="S1313" s="27">
        <f t="shared" si="60"/>
        <v>-0.72260476011173702</v>
      </c>
      <c r="T1313" s="19">
        <f>VLOOKUP(A1313,[1]Sheet1!$A$2:$Q$1536,16,FALSE)</f>
        <v>10457.12319960443</v>
      </c>
      <c r="U1313" s="27">
        <f t="shared" si="61"/>
        <v>-0.92213476080690526</v>
      </c>
      <c r="V1313" s="19">
        <f>VLOOKUP(A1313,[1]Sheet1!$A$2:$Q$1536,17,FALSE)</f>
        <v>11631.1376953125</v>
      </c>
      <c r="W1313" s="27">
        <f t="shared" si="62"/>
        <v>-0.728119856073973</v>
      </c>
    </row>
    <row r="1314" spans="1:23" x14ac:dyDescent="0.3">
      <c r="A1314" s="4" t="s">
        <v>695</v>
      </c>
      <c r="B1314" s="5">
        <v>2016</v>
      </c>
      <c r="C1314" s="5" t="s">
        <v>684</v>
      </c>
      <c r="D1314" s="15" t="s">
        <v>693</v>
      </c>
      <c r="E1314" s="6">
        <v>107624</v>
      </c>
      <c r="F1314" s="5" t="s">
        <v>170</v>
      </c>
      <c r="G1314" s="5" t="s">
        <v>25</v>
      </c>
      <c r="H1314" s="5" t="s">
        <v>18</v>
      </c>
      <c r="I1314" s="5" t="s">
        <v>17</v>
      </c>
      <c r="J1314" s="7">
        <v>45622</v>
      </c>
      <c r="K1314" s="5" t="s">
        <v>17</v>
      </c>
      <c r="L1314" s="8">
        <v>44224</v>
      </c>
      <c r="M1314" s="19">
        <v>235</v>
      </c>
      <c r="N1314" s="19">
        <v>285</v>
      </c>
      <c r="O1314" s="24">
        <v>4000</v>
      </c>
      <c r="P1314" s="24">
        <v>10000</v>
      </c>
      <c r="Q1314" t="s">
        <v>1983</v>
      </c>
      <c r="R1314" s="19">
        <f>VLOOKUP(A1314,[1]Sheet1!$A$2:$Q$1536,15,FALSE)</f>
        <v>5512.615234375</v>
      </c>
      <c r="S1314" s="27">
        <f t="shared" si="60"/>
        <v>-0.81402103626660294</v>
      </c>
      <c r="T1314" s="19">
        <f>VLOOKUP(A1314,[1]Sheet1!$A$2:$Q$1536,16,FALSE)</f>
        <v>8797.4038865103357</v>
      </c>
      <c r="U1314" s="27">
        <f t="shared" si="61"/>
        <v>-0.13669897722141502</v>
      </c>
      <c r="V1314" s="19">
        <f>VLOOKUP(A1314,[1]Sheet1!$A$2:$Q$1536,17,FALSE)</f>
        <v>5558.56103515625</v>
      </c>
      <c r="W1314" s="27">
        <f t="shared" si="62"/>
        <v>-0.79902675112371091</v>
      </c>
    </row>
    <row r="1315" spans="1:23" x14ac:dyDescent="0.3">
      <c r="A1315" s="4" t="s">
        <v>122</v>
      </c>
      <c r="B1315" s="5">
        <v>2017</v>
      </c>
      <c r="C1315" s="5" t="s">
        <v>96</v>
      </c>
      <c r="D1315" s="15" t="s">
        <v>107</v>
      </c>
      <c r="E1315" s="6">
        <v>70916</v>
      </c>
      <c r="F1315" s="5" t="s">
        <v>42</v>
      </c>
      <c r="G1315" s="5" t="s">
        <v>22</v>
      </c>
      <c r="H1315" s="5" t="s">
        <v>18</v>
      </c>
      <c r="I1315" s="5" t="s">
        <v>17</v>
      </c>
      <c r="J1315" s="7">
        <v>45356</v>
      </c>
      <c r="K1315" s="5" t="s">
        <v>17</v>
      </c>
      <c r="L1315" s="8">
        <v>44135</v>
      </c>
      <c r="M1315" s="19">
        <v>235</v>
      </c>
      <c r="N1315" s="19">
        <v>285</v>
      </c>
      <c r="O1315" s="24">
        <v>3000</v>
      </c>
      <c r="P1315" s="24">
        <v>6500</v>
      </c>
      <c r="Q1315" t="s">
        <v>1983</v>
      </c>
      <c r="R1315" s="19">
        <f>VLOOKUP(A1315,[1]Sheet1!$A$2:$Q$1536,15,FALSE)</f>
        <v>6545.5146484375</v>
      </c>
      <c r="S1315" s="27">
        <f t="shared" si="60"/>
        <v>6.9535629942200101E-3</v>
      </c>
      <c r="T1315" s="19">
        <f>VLOOKUP(A1315,[1]Sheet1!$A$2:$Q$1536,16,FALSE)</f>
        <v>9632.4626055894896</v>
      </c>
      <c r="U1315" s="27">
        <f t="shared" si="61"/>
        <v>0.32519852231471896</v>
      </c>
      <c r="V1315" s="19">
        <f>VLOOKUP(A1315,[1]Sheet1!$A$2:$Q$1536,17,FALSE)</f>
        <v>6526.119140625</v>
      </c>
      <c r="W1315" s="27">
        <f t="shared" si="62"/>
        <v>4.0022469805077133E-3</v>
      </c>
    </row>
    <row r="1316" spans="1:23" x14ac:dyDescent="0.3">
      <c r="A1316" s="4" t="s">
        <v>812</v>
      </c>
      <c r="B1316" s="5">
        <v>2015</v>
      </c>
      <c r="C1316" s="5" t="s">
        <v>571</v>
      </c>
      <c r="D1316" s="15" t="s">
        <v>809</v>
      </c>
      <c r="E1316" s="6">
        <v>138922</v>
      </c>
      <c r="F1316" s="5" t="s">
        <v>42</v>
      </c>
      <c r="G1316" s="5" t="s">
        <v>28</v>
      </c>
      <c r="H1316" s="5" t="s">
        <v>17</v>
      </c>
      <c r="I1316" s="5" t="s">
        <v>18</v>
      </c>
      <c r="J1316" s="7">
        <v>45470</v>
      </c>
      <c r="K1316" s="5" t="s">
        <v>17</v>
      </c>
      <c r="L1316" s="8">
        <v>44827</v>
      </c>
      <c r="M1316" s="19">
        <v>128</v>
      </c>
      <c r="N1316" s="19">
        <v>158</v>
      </c>
      <c r="O1316" s="24">
        <v>0</v>
      </c>
      <c r="P1316" s="24">
        <v>5000</v>
      </c>
      <c r="Q1316" t="s">
        <v>1983</v>
      </c>
      <c r="R1316" s="19">
        <f>VLOOKUP(A1316,[1]Sheet1!$A$2:$Q$1536,15,FALSE)</f>
        <v>2843.375732421875</v>
      </c>
      <c r="S1316" s="27">
        <f t="shared" si="60"/>
        <v>-0.75847319191304974</v>
      </c>
      <c r="T1316" s="19">
        <f>VLOOKUP(A1316,[1]Sheet1!$A$2:$Q$1536,16,FALSE)</f>
        <v>9299.3436487745803</v>
      </c>
      <c r="U1316" s="27">
        <f t="shared" si="61"/>
        <v>0.46232764495600998</v>
      </c>
      <c r="V1316" s="19">
        <f>VLOOKUP(A1316,[1]Sheet1!$A$2:$Q$1536,17,FALSE)</f>
        <v>2708.66552734375</v>
      </c>
      <c r="W1316" s="27">
        <f t="shared" si="62"/>
        <v>-0.84592743161731188</v>
      </c>
    </row>
    <row r="1317" spans="1:23" x14ac:dyDescent="0.3">
      <c r="A1317" s="4" t="s">
        <v>291</v>
      </c>
      <c r="B1317" s="5">
        <v>2017</v>
      </c>
      <c r="C1317" s="5" t="s">
        <v>237</v>
      </c>
      <c r="D1317" s="15" t="s">
        <v>286</v>
      </c>
      <c r="E1317" s="6">
        <v>114069</v>
      </c>
      <c r="F1317" s="5" t="s">
        <v>79</v>
      </c>
      <c r="G1317" s="5" t="s">
        <v>22</v>
      </c>
      <c r="H1317" s="5" t="s">
        <v>18</v>
      </c>
      <c r="I1317" s="5" t="s">
        <v>17</v>
      </c>
      <c r="J1317" s="7">
        <v>45706</v>
      </c>
      <c r="K1317" s="5" t="s">
        <v>17</v>
      </c>
      <c r="L1317" s="8">
        <v>44052</v>
      </c>
      <c r="M1317" s="19">
        <v>235</v>
      </c>
      <c r="N1317" s="19">
        <v>285</v>
      </c>
      <c r="O1317" s="24">
        <v>3000</v>
      </c>
      <c r="P1317" s="24">
        <v>17000</v>
      </c>
      <c r="Q1317" t="s">
        <v>1983</v>
      </c>
      <c r="R1317" s="19">
        <f>VLOOKUP(A1317,[1]Sheet1!$A$2:$Q$1536,15,FALSE)</f>
        <v>3749.44140625</v>
      </c>
      <c r="S1317" s="27">
        <f t="shared" si="60"/>
        <v>-3.5340087117143493</v>
      </c>
      <c r="T1317" s="19">
        <f>VLOOKUP(A1317,[1]Sheet1!$A$2:$Q$1536,16,FALSE)</f>
        <v>9199.7270301230656</v>
      </c>
      <c r="U1317" s="27">
        <f t="shared" si="61"/>
        <v>-0.84788091476368399</v>
      </c>
      <c r="V1317" s="19">
        <f>VLOOKUP(A1317,[1]Sheet1!$A$2:$Q$1536,17,FALSE)</f>
        <v>3588.97705078125</v>
      </c>
      <c r="W1317" s="27">
        <f t="shared" si="62"/>
        <v>-3.7367257464907535</v>
      </c>
    </row>
    <row r="1318" spans="1:23" x14ac:dyDescent="0.3">
      <c r="A1318" s="4" t="s">
        <v>427</v>
      </c>
      <c r="B1318" s="5">
        <v>2017</v>
      </c>
      <c r="C1318" s="5" t="s">
        <v>391</v>
      </c>
      <c r="D1318" s="15" t="s">
        <v>413</v>
      </c>
      <c r="E1318" s="6">
        <v>60460</v>
      </c>
      <c r="F1318" s="5" t="s">
        <v>15</v>
      </c>
      <c r="G1318" s="5" t="s">
        <v>28</v>
      </c>
      <c r="H1318" s="5" t="s">
        <v>17</v>
      </c>
      <c r="I1318" s="5" t="s">
        <v>18</v>
      </c>
      <c r="J1318" s="7">
        <v>45300</v>
      </c>
      <c r="K1318" s="5" t="s">
        <v>17</v>
      </c>
      <c r="L1318" s="8">
        <v>44028</v>
      </c>
      <c r="M1318" s="19">
        <v>235</v>
      </c>
      <c r="N1318" s="19">
        <v>285</v>
      </c>
      <c r="O1318" s="24">
        <v>8300</v>
      </c>
      <c r="P1318" s="24">
        <v>13400</v>
      </c>
      <c r="Q1318" t="s">
        <v>1983</v>
      </c>
      <c r="R1318" s="19">
        <f>VLOOKUP(A1318,[1]Sheet1!$A$2:$Q$1536,15,FALSE)</f>
        <v>12740.5244140625</v>
      </c>
      <c r="S1318" s="27">
        <f t="shared" si="60"/>
        <v>-5.1762044049740705E-2</v>
      </c>
      <c r="T1318" s="19">
        <f>VLOOKUP(A1318,[1]Sheet1!$A$2:$Q$1536,16,FALSE)</f>
        <v>12231.33021366496</v>
      </c>
      <c r="U1318" s="27">
        <f t="shared" si="61"/>
        <v>-9.5547235330903826E-2</v>
      </c>
      <c r="V1318" s="19">
        <f>VLOOKUP(A1318,[1]Sheet1!$A$2:$Q$1536,17,FALSE)</f>
        <v>12874.529296875</v>
      </c>
      <c r="W1318" s="27">
        <f t="shared" si="62"/>
        <v>-4.0814750660635502E-2</v>
      </c>
    </row>
    <row r="1319" spans="1:23" x14ac:dyDescent="0.3">
      <c r="A1319" s="4" t="s">
        <v>1680</v>
      </c>
      <c r="B1319" s="5">
        <v>2014</v>
      </c>
      <c r="C1319" s="5" t="s">
        <v>1089</v>
      </c>
      <c r="D1319" s="15" t="s">
        <v>1666</v>
      </c>
      <c r="E1319" s="6">
        <v>162140</v>
      </c>
      <c r="F1319" s="5" t="s">
        <v>79</v>
      </c>
      <c r="G1319" s="5" t="s">
        <v>25</v>
      </c>
      <c r="H1319" s="5" t="s">
        <v>18</v>
      </c>
      <c r="I1319" s="5" t="s">
        <v>17</v>
      </c>
      <c r="J1319" s="7">
        <v>45622</v>
      </c>
      <c r="K1319" s="5" t="s">
        <v>17</v>
      </c>
      <c r="L1319" s="8">
        <v>44451</v>
      </c>
      <c r="M1319" s="19">
        <v>264</v>
      </c>
      <c r="N1319" s="19">
        <v>314</v>
      </c>
      <c r="O1319" s="24">
        <v>0</v>
      </c>
      <c r="P1319" s="24">
        <v>5600</v>
      </c>
      <c r="Q1319" t="s">
        <v>1983</v>
      </c>
      <c r="R1319" s="19">
        <f>VLOOKUP(A1319,[1]Sheet1!$A$2:$Q$1536,15,FALSE)</f>
        <v>965.35693359375</v>
      </c>
      <c r="S1319" s="27">
        <f t="shared" si="60"/>
        <v>-4.8009631516839981</v>
      </c>
      <c r="T1319" s="19">
        <f>VLOOKUP(A1319,[1]Sheet1!$A$2:$Q$1536,16,FALSE)</f>
        <v>8676.1219526653676</v>
      </c>
      <c r="U1319" s="27">
        <f t="shared" si="61"/>
        <v>0.35455033590443719</v>
      </c>
      <c r="V1319" s="19">
        <f>VLOOKUP(A1319,[1]Sheet1!$A$2:$Q$1536,17,FALSE)</f>
        <v>1174.935546875</v>
      </c>
      <c r="W1319" s="27">
        <f t="shared" si="62"/>
        <v>-3.766218891661278</v>
      </c>
    </row>
    <row r="1320" spans="1:23" x14ac:dyDescent="0.3">
      <c r="A1320" s="4" t="s">
        <v>1619</v>
      </c>
      <c r="B1320" s="5">
        <v>2017</v>
      </c>
      <c r="C1320" s="5" t="s">
        <v>519</v>
      </c>
      <c r="D1320" s="15" t="s">
        <v>1607</v>
      </c>
      <c r="E1320" s="6">
        <v>66736</v>
      </c>
      <c r="F1320" s="5" t="s">
        <v>57</v>
      </c>
      <c r="G1320" s="5" t="s">
        <v>28</v>
      </c>
      <c r="H1320" s="5" t="s">
        <v>17</v>
      </c>
      <c r="I1320" s="5" t="s">
        <v>18</v>
      </c>
      <c r="J1320" s="7">
        <v>45566</v>
      </c>
      <c r="K1320" s="5" t="s">
        <v>17</v>
      </c>
      <c r="L1320" s="8">
        <v>44310</v>
      </c>
      <c r="M1320" s="19">
        <v>235</v>
      </c>
      <c r="N1320" s="19">
        <v>285</v>
      </c>
      <c r="O1320" s="24">
        <v>8200</v>
      </c>
      <c r="P1320" s="24">
        <v>9300</v>
      </c>
      <c r="Q1320" t="s">
        <v>1983</v>
      </c>
      <c r="R1320" s="19">
        <f>VLOOKUP(A1320,[1]Sheet1!$A$2:$Q$1536,15,FALSE)</f>
        <v>5410.23046875</v>
      </c>
      <c r="S1320" s="27">
        <f t="shared" si="60"/>
        <v>-0.71896558819770706</v>
      </c>
      <c r="T1320" s="19">
        <f>VLOOKUP(A1320,[1]Sheet1!$A$2:$Q$1536,16,FALSE)</f>
        <v>10162.12948781321</v>
      </c>
      <c r="U1320" s="27">
        <f t="shared" si="61"/>
        <v>8.4837483014471221E-2</v>
      </c>
      <c r="V1320" s="19">
        <f>VLOOKUP(A1320,[1]Sheet1!$A$2:$Q$1536,17,FALSE)</f>
        <v>5263.06396484375</v>
      </c>
      <c r="W1320" s="27">
        <f t="shared" si="62"/>
        <v>-0.76703153564581439</v>
      </c>
    </row>
    <row r="1321" spans="1:23" x14ac:dyDescent="0.3">
      <c r="A1321" s="4" t="s">
        <v>697</v>
      </c>
      <c r="B1321" s="5">
        <v>2014</v>
      </c>
      <c r="C1321" s="5" t="s">
        <v>684</v>
      </c>
      <c r="D1321" s="15" t="s">
        <v>691</v>
      </c>
      <c r="E1321" s="6">
        <v>194371</v>
      </c>
      <c r="F1321" s="5" t="s">
        <v>103</v>
      </c>
      <c r="G1321" s="5" t="s">
        <v>22</v>
      </c>
      <c r="H1321" s="5" t="s">
        <v>18</v>
      </c>
      <c r="I1321" s="5" t="s">
        <v>17</v>
      </c>
      <c r="J1321" s="7">
        <v>45568</v>
      </c>
      <c r="K1321" s="5" t="s">
        <v>17</v>
      </c>
      <c r="L1321" s="8">
        <v>44113</v>
      </c>
      <c r="M1321" s="19">
        <v>264</v>
      </c>
      <c r="N1321" s="19">
        <v>314</v>
      </c>
      <c r="O1321" s="24">
        <v>0</v>
      </c>
      <c r="P1321" s="24">
        <v>3000</v>
      </c>
      <c r="Q1321" t="s">
        <v>1983</v>
      </c>
      <c r="R1321" s="19">
        <f>VLOOKUP(A1321,[1]Sheet1!$A$2:$Q$1536,15,FALSE)</f>
        <v>2648.407958984375</v>
      </c>
      <c r="S1321" s="27">
        <f t="shared" si="60"/>
        <v>-0.13275599773928157</v>
      </c>
      <c r="T1321" s="19">
        <f>VLOOKUP(A1321,[1]Sheet1!$A$2:$Q$1536,16,FALSE)</f>
        <v>8936.3605561875611</v>
      </c>
      <c r="U1321" s="27">
        <f t="shared" si="61"/>
        <v>0.66429286496024476</v>
      </c>
      <c r="V1321" s="19">
        <f>VLOOKUP(A1321,[1]Sheet1!$A$2:$Q$1536,17,FALSE)</f>
        <v>2498.12890625</v>
      </c>
      <c r="W1321" s="27">
        <f t="shared" si="62"/>
        <v>-0.20089879769389904</v>
      </c>
    </row>
    <row r="1322" spans="1:23" x14ac:dyDescent="0.3">
      <c r="A1322" s="4" t="s">
        <v>358</v>
      </c>
      <c r="B1322" s="5">
        <v>2014</v>
      </c>
      <c r="C1322" s="5" t="s">
        <v>237</v>
      </c>
      <c r="D1322" s="15" t="s">
        <v>339</v>
      </c>
      <c r="E1322" s="6">
        <v>122189</v>
      </c>
      <c r="F1322" s="5" t="s">
        <v>112</v>
      </c>
      <c r="G1322" s="5" t="s">
        <v>22</v>
      </c>
      <c r="H1322" s="5" t="s">
        <v>18</v>
      </c>
      <c r="I1322" s="5" t="s">
        <v>17</v>
      </c>
      <c r="J1322" s="7">
        <v>45435</v>
      </c>
      <c r="K1322" s="5" t="s">
        <v>17</v>
      </c>
      <c r="L1322" s="8">
        <v>44137</v>
      </c>
      <c r="M1322" s="19">
        <v>280</v>
      </c>
      <c r="N1322" s="19">
        <v>330</v>
      </c>
      <c r="O1322" s="24">
        <v>0</v>
      </c>
      <c r="P1322" s="24">
        <v>10000</v>
      </c>
      <c r="Q1322" t="s">
        <v>1983</v>
      </c>
      <c r="R1322" s="19">
        <f>VLOOKUP(A1322,[1]Sheet1!$A$2:$Q$1536,15,FALSE)</f>
        <v>2388.09814453125</v>
      </c>
      <c r="S1322" s="27">
        <f t="shared" si="60"/>
        <v>-3.1874325906161025</v>
      </c>
      <c r="T1322" s="19">
        <f>VLOOKUP(A1322,[1]Sheet1!$A$2:$Q$1536,16,FALSE)</f>
        <v>9187.9895732270325</v>
      </c>
      <c r="U1322" s="27">
        <f t="shared" si="61"/>
        <v>-8.8377377912910587E-2</v>
      </c>
      <c r="V1322" s="19">
        <f>VLOOKUP(A1322,[1]Sheet1!$A$2:$Q$1536,17,FALSE)</f>
        <v>2321.60986328125</v>
      </c>
      <c r="W1322" s="27">
        <f t="shared" si="62"/>
        <v>-3.3073559249384341</v>
      </c>
    </row>
    <row r="1323" spans="1:23" x14ac:dyDescent="0.3">
      <c r="A1323" s="4" t="s">
        <v>433</v>
      </c>
      <c r="B1323" s="5">
        <v>2015</v>
      </c>
      <c r="C1323" s="5" t="s">
        <v>391</v>
      </c>
      <c r="D1323" s="15" t="s">
        <v>432</v>
      </c>
      <c r="E1323" s="6">
        <v>156710</v>
      </c>
      <c r="F1323" s="5" t="s">
        <v>57</v>
      </c>
      <c r="G1323" s="5" t="s">
        <v>25</v>
      </c>
      <c r="H1323" s="5" t="s">
        <v>18</v>
      </c>
      <c r="I1323" s="5" t="s">
        <v>17</v>
      </c>
      <c r="J1323" s="7">
        <v>45568</v>
      </c>
      <c r="K1323" s="5" t="s">
        <v>17</v>
      </c>
      <c r="L1323" s="8">
        <v>44067</v>
      </c>
      <c r="M1323" s="19">
        <v>235</v>
      </c>
      <c r="N1323" s="19">
        <v>285</v>
      </c>
      <c r="O1323" s="24">
        <v>1100</v>
      </c>
      <c r="P1323" s="24">
        <v>5500</v>
      </c>
      <c r="Q1323" t="s">
        <v>1983</v>
      </c>
      <c r="R1323" s="19">
        <f>VLOOKUP(A1323,[1]Sheet1!$A$2:$Q$1536,15,FALSE)</f>
        <v>2153.894775390625</v>
      </c>
      <c r="S1323" s="27">
        <f t="shared" si="60"/>
        <v>-1.5535137848145499</v>
      </c>
      <c r="T1323" s="19">
        <f>VLOOKUP(A1323,[1]Sheet1!$A$2:$Q$1536,16,FALSE)</f>
        <v>9194.4812679482766</v>
      </c>
      <c r="U1323" s="27">
        <f t="shared" si="61"/>
        <v>0.40181508453632314</v>
      </c>
      <c r="V1323" s="19">
        <f>VLOOKUP(A1323,[1]Sheet1!$A$2:$Q$1536,17,FALSE)</f>
        <v>2086.583740234375</v>
      </c>
      <c r="W1323" s="27">
        <f t="shared" si="62"/>
        <v>-1.635887500677166</v>
      </c>
    </row>
    <row r="1324" spans="1:23" x14ac:dyDescent="0.3">
      <c r="A1324" s="4" t="s">
        <v>314</v>
      </c>
      <c r="B1324" s="5">
        <v>2020</v>
      </c>
      <c r="C1324" s="5" t="s">
        <v>237</v>
      </c>
      <c r="D1324" s="15" t="s">
        <v>315</v>
      </c>
      <c r="E1324" s="6">
        <v>26091</v>
      </c>
      <c r="F1324" s="5" t="s">
        <v>158</v>
      </c>
      <c r="G1324" s="5" t="s">
        <v>16</v>
      </c>
      <c r="H1324" s="5" t="s">
        <v>17</v>
      </c>
      <c r="I1324" s="5" t="s">
        <v>18</v>
      </c>
      <c r="J1324" s="7">
        <v>45463</v>
      </c>
      <c r="K1324" s="5" t="s">
        <v>17</v>
      </c>
      <c r="L1324" s="8">
        <v>44310</v>
      </c>
      <c r="M1324" s="19">
        <v>235</v>
      </c>
      <c r="N1324" s="19">
        <v>285</v>
      </c>
      <c r="O1324" s="24">
        <v>0</v>
      </c>
      <c r="P1324" s="24">
        <v>16800</v>
      </c>
      <c r="Q1324" t="s">
        <v>1983</v>
      </c>
      <c r="R1324" s="19">
        <f>VLOOKUP(A1324,[1]Sheet1!$A$2:$Q$1536,15,FALSE)</f>
        <v>21181.1875</v>
      </c>
      <c r="S1324" s="27">
        <f t="shared" si="60"/>
        <v>0.20684333680536088</v>
      </c>
      <c r="T1324" s="19">
        <f>VLOOKUP(A1324,[1]Sheet1!$A$2:$Q$1536,16,FALSE)</f>
        <v>13716.679963988179</v>
      </c>
      <c r="U1324" s="27">
        <f t="shared" si="61"/>
        <v>-0.22478617596289921</v>
      </c>
      <c r="V1324" s="19">
        <f>VLOOKUP(A1324,[1]Sheet1!$A$2:$Q$1536,17,FALSE)</f>
        <v>21094.974609375</v>
      </c>
      <c r="W1324" s="27">
        <f t="shared" si="62"/>
        <v>0.20360179089602853</v>
      </c>
    </row>
    <row r="1325" spans="1:23" x14ac:dyDescent="0.3">
      <c r="A1325" s="4" t="s">
        <v>1059</v>
      </c>
      <c r="B1325" s="5">
        <v>2017</v>
      </c>
      <c r="C1325" s="5" t="s">
        <v>391</v>
      </c>
      <c r="D1325" s="15" t="s">
        <v>1060</v>
      </c>
      <c r="E1325" s="6">
        <v>87788</v>
      </c>
      <c r="F1325" s="5" t="s">
        <v>125</v>
      </c>
      <c r="G1325" s="5" t="s">
        <v>16</v>
      </c>
      <c r="H1325" s="5" t="s">
        <v>17</v>
      </c>
      <c r="I1325" s="5" t="s">
        <v>18</v>
      </c>
      <c r="J1325" s="7">
        <v>45428</v>
      </c>
      <c r="K1325" s="5" t="s">
        <v>17</v>
      </c>
      <c r="L1325" s="8">
        <v>44113</v>
      </c>
      <c r="M1325" s="19">
        <v>264</v>
      </c>
      <c r="N1325" s="19">
        <v>314</v>
      </c>
      <c r="O1325" s="24">
        <v>0</v>
      </c>
      <c r="P1325" s="24">
        <v>9600</v>
      </c>
      <c r="Q1325" t="s">
        <v>1983</v>
      </c>
      <c r="R1325" s="19">
        <f>VLOOKUP(A1325,[1]Sheet1!$A$2:$Q$1536,15,FALSE)</f>
        <v>11873.8662109375</v>
      </c>
      <c r="S1325" s="27">
        <f t="shared" si="60"/>
        <v>0.19150175440270242</v>
      </c>
      <c r="T1325" s="19">
        <f>VLOOKUP(A1325,[1]Sheet1!$A$2:$Q$1536,16,FALSE)</f>
        <v>10366.894875408219</v>
      </c>
      <c r="U1325" s="27">
        <f t="shared" si="61"/>
        <v>7.3975369155850651E-2</v>
      </c>
      <c r="V1325" s="19">
        <f>VLOOKUP(A1325,[1]Sheet1!$A$2:$Q$1536,17,FALSE)</f>
        <v>11871.0888671875</v>
      </c>
      <c r="W1325" s="27">
        <f t="shared" si="62"/>
        <v>0.19131259925658081</v>
      </c>
    </row>
    <row r="1326" spans="1:23" x14ac:dyDescent="0.3">
      <c r="A1326" s="4" t="s">
        <v>1251</v>
      </c>
      <c r="B1326" s="5">
        <v>2011</v>
      </c>
      <c r="C1326" s="5" t="s">
        <v>920</v>
      </c>
      <c r="D1326" s="15" t="s">
        <v>1238</v>
      </c>
      <c r="E1326" s="6">
        <v>163502</v>
      </c>
      <c r="F1326" s="5" t="s">
        <v>24</v>
      </c>
      <c r="G1326" s="5" t="s">
        <v>25</v>
      </c>
      <c r="H1326" s="5" t="s">
        <v>18</v>
      </c>
      <c r="I1326" s="5" t="s">
        <v>17</v>
      </c>
      <c r="J1326" s="7">
        <v>45309</v>
      </c>
      <c r="K1326" s="5" t="s">
        <v>17</v>
      </c>
      <c r="L1326" s="8">
        <v>44128</v>
      </c>
      <c r="M1326" s="19">
        <v>264</v>
      </c>
      <c r="N1326" s="19">
        <v>314</v>
      </c>
      <c r="O1326" s="24">
        <v>0</v>
      </c>
      <c r="P1326" s="24">
        <v>3400</v>
      </c>
      <c r="Q1326" t="s">
        <v>1983</v>
      </c>
      <c r="R1326" s="19">
        <f>VLOOKUP(A1326,[1]Sheet1!$A$2:$Q$1536,15,FALSE)</f>
        <v>2289.236328125</v>
      </c>
      <c r="S1326" s="27">
        <f t="shared" si="60"/>
        <v>-0.48521144725357884</v>
      </c>
      <c r="T1326" s="19">
        <f>VLOOKUP(A1326,[1]Sheet1!$A$2:$Q$1536,16,FALSE)</f>
        <v>9438.717414790126</v>
      </c>
      <c r="U1326" s="27">
        <f t="shared" si="61"/>
        <v>0.63978156664884112</v>
      </c>
      <c r="V1326" s="19">
        <f>VLOOKUP(A1326,[1]Sheet1!$A$2:$Q$1536,17,FALSE)</f>
        <v>2255.45654296875</v>
      </c>
      <c r="W1326" s="27">
        <f t="shared" si="62"/>
        <v>-0.50745533563893985</v>
      </c>
    </row>
    <row r="1327" spans="1:23" x14ac:dyDescent="0.3">
      <c r="A1327" s="4" t="s">
        <v>563</v>
      </c>
      <c r="B1327" s="5">
        <v>2019</v>
      </c>
      <c r="C1327" s="5" t="s">
        <v>559</v>
      </c>
      <c r="D1327" s="15" t="s">
        <v>560</v>
      </c>
      <c r="E1327" s="6">
        <v>64565</v>
      </c>
      <c r="F1327" s="5" t="s">
        <v>44</v>
      </c>
      <c r="G1327" s="5" t="s">
        <v>28</v>
      </c>
      <c r="H1327" s="5" t="s">
        <v>17</v>
      </c>
      <c r="I1327" s="5" t="s">
        <v>18</v>
      </c>
      <c r="J1327" s="7">
        <v>45454</v>
      </c>
      <c r="K1327" s="5" t="s">
        <v>17</v>
      </c>
      <c r="L1327" s="8">
        <v>43605</v>
      </c>
      <c r="M1327" s="19">
        <v>264</v>
      </c>
      <c r="N1327" s="19">
        <v>314</v>
      </c>
      <c r="O1327" s="24">
        <v>18700</v>
      </c>
      <c r="P1327" s="24">
        <v>28800</v>
      </c>
      <c r="Q1327" t="s">
        <v>1983</v>
      </c>
      <c r="R1327" s="19">
        <f>VLOOKUP(A1327,[1]Sheet1!$A$2:$Q$1536,15,FALSE)</f>
        <v>18512.4765625</v>
      </c>
      <c r="S1327" s="27">
        <f t="shared" si="60"/>
        <v>-0.55570757390391701</v>
      </c>
      <c r="T1327" s="19">
        <f>VLOOKUP(A1327,[1]Sheet1!$A$2:$Q$1536,16,FALSE)</f>
        <v>12466.862591599751</v>
      </c>
      <c r="U1327" s="27">
        <f t="shared" si="61"/>
        <v>-1.3101241221191944</v>
      </c>
      <c r="V1327" s="19">
        <f>VLOOKUP(A1327,[1]Sheet1!$A$2:$Q$1536,17,FALSE)</f>
        <v>18665.3671875</v>
      </c>
      <c r="W1327" s="27">
        <f t="shared" si="62"/>
        <v>-0.54296455626584494</v>
      </c>
    </row>
    <row r="1328" spans="1:23" x14ac:dyDescent="0.3">
      <c r="A1328" s="4" t="s">
        <v>1906</v>
      </c>
      <c r="B1328" s="5">
        <v>2015</v>
      </c>
      <c r="C1328" s="5" t="s">
        <v>1223</v>
      </c>
      <c r="D1328" s="15" t="s">
        <v>1904</v>
      </c>
      <c r="E1328" s="6">
        <v>38534</v>
      </c>
      <c r="F1328" s="5" t="s">
        <v>81</v>
      </c>
      <c r="G1328" s="5" t="s">
        <v>33</v>
      </c>
      <c r="H1328" s="5" t="s">
        <v>17</v>
      </c>
      <c r="I1328" s="5" t="s">
        <v>18</v>
      </c>
      <c r="J1328" s="7">
        <v>45678</v>
      </c>
      <c r="K1328" s="5" t="s">
        <v>17</v>
      </c>
      <c r="L1328" s="8">
        <v>44054</v>
      </c>
      <c r="M1328" s="19">
        <v>235</v>
      </c>
      <c r="N1328" s="19">
        <v>285</v>
      </c>
      <c r="O1328" s="24"/>
      <c r="P1328" s="24">
        <v>2100</v>
      </c>
      <c r="R1328" s="19">
        <f>VLOOKUP(A1328,[1]Sheet1!$A$2:$Q$1536,15,FALSE)</f>
        <v>12000.78515625</v>
      </c>
      <c r="S1328" s="27">
        <f t="shared" si="60"/>
        <v>0.82501144944617877</v>
      </c>
      <c r="T1328" s="19">
        <f>VLOOKUP(A1328,[1]Sheet1!$A$2:$Q$1536,16,FALSE)</f>
        <v>12446.31242323725</v>
      </c>
      <c r="U1328" s="27">
        <f t="shared" si="61"/>
        <v>0.83127532649113789</v>
      </c>
      <c r="V1328" s="19">
        <f>VLOOKUP(A1328,[1]Sheet1!$A$2:$Q$1536,17,FALSE)</f>
        <v>11980.67578125</v>
      </c>
      <c r="W1328" s="27">
        <f t="shared" si="62"/>
        <v>0.82471773392895398</v>
      </c>
    </row>
    <row r="1329" spans="1:23" x14ac:dyDescent="0.3">
      <c r="A1329" s="4" t="s">
        <v>611</v>
      </c>
      <c r="B1329" s="5">
        <v>2014</v>
      </c>
      <c r="C1329" s="5" t="s">
        <v>535</v>
      </c>
      <c r="D1329" s="15" t="s">
        <v>612</v>
      </c>
      <c r="E1329" s="6">
        <v>92854</v>
      </c>
      <c r="F1329" s="5" t="s">
        <v>59</v>
      </c>
      <c r="G1329" s="5" t="s">
        <v>16</v>
      </c>
      <c r="H1329" s="5" t="s">
        <v>17</v>
      </c>
      <c r="I1329" s="5" t="s">
        <v>18</v>
      </c>
      <c r="J1329" s="7">
        <v>45692</v>
      </c>
      <c r="K1329" s="5" t="s">
        <v>17</v>
      </c>
      <c r="L1329" s="8">
        <v>43612</v>
      </c>
      <c r="M1329" s="19">
        <v>264</v>
      </c>
      <c r="N1329" s="19">
        <v>314</v>
      </c>
      <c r="O1329" s="24">
        <v>15300</v>
      </c>
      <c r="P1329" s="24">
        <v>24903.896103896099</v>
      </c>
      <c r="Q1329" t="s">
        <v>1983</v>
      </c>
      <c r="R1329" s="19">
        <f>VLOOKUP(A1329,[1]Sheet1!$A$2:$Q$1536,15,FALSE)</f>
        <v>9859.4599609375</v>
      </c>
      <c r="S1329" s="27">
        <f t="shared" si="60"/>
        <v>-1.5258884566257804</v>
      </c>
      <c r="T1329" s="19">
        <f>VLOOKUP(A1329,[1]Sheet1!$A$2:$Q$1536,16,FALSE)</f>
        <v>12791.23555918987</v>
      </c>
      <c r="U1329" s="27">
        <f t="shared" si="61"/>
        <v>-0.94695000249634842</v>
      </c>
      <c r="V1329" s="19">
        <f>VLOOKUP(A1329,[1]Sheet1!$A$2:$Q$1536,17,FALSE)</f>
        <v>9891.29296875</v>
      </c>
      <c r="W1329" s="27">
        <f t="shared" si="62"/>
        <v>-1.5177594256459779</v>
      </c>
    </row>
    <row r="1330" spans="1:23" x14ac:dyDescent="0.3">
      <c r="A1330" s="4" t="s">
        <v>947</v>
      </c>
      <c r="B1330" s="5">
        <v>2018</v>
      </c>
      <c r="C1330" s="5" t="s">
        <v>96</v>
      </c>
      <c r="D1330" s="15" t="s">
        <v>107</v>
      </c>
      <c r="E1330" s="6">
        <v>102891</v>
      </c>
      <c r="F1330" s="5" t="s">
        <v>246</v>
      </c>
      <c r="G1330" s="5" t="s">
        <v>16</v>
      </c>
      <c r="H1330" s="5" t="s">
        <v>17</v>
      </c>
      <c r="I1330" s="5" t="s">
        <v>18</v>
      </c>
      <c r="J1330" s="7">
        <v>45664</v>
      </c>
      <c r="K1330" s="5" t="s">
        <v>17</v>
      </c>
      <c r="L1330" s="8">
        <v>43612</v>
      </c>
      <c r="M1330" s="19">
        <v>264</v>
      </c>
      <c r="N1330" s="19">
        <v>314</v>
      </c>
      <c r="O1330" s="24">
        <v>9800</v>
      </c>
      <c r="P1330" s="24">
        <v>10000</v>
      </c>
      <c r="Q1330" t="s">
        <v>1983</v>
      </c>
      <c r="R1330" s="19">
        <f>VLOOKUP(A1330,[1]Sheet1!$A$2:$Q$1536,15,FALSE)</f>
        <v>9973.7900390625</v>
      </c>
      <c r="S1330" s="27">
        <f t="shared" si="60"/>
        <v>-2.6278837668377106E-3</v>
      </c>
      <c r="T1330" s="19">
        <f>VLOOKUP(A1330,[1]Sheet1!$A$2:$Q$1536,16,FALSE)</f>
        <v>10144.261907711099</v>
      </c>
      <c r="U1330" s="27">
        <f t="shared" si="61"/>
        <v>1.4221035401445974E-2</v>
      </c>
      <c r="V1330" s="19">
        <f>VLOOKUP(A1330,[1]Sheet1!$A$2:$Q$1536,17,FALSE)</f>
        <v>9994.708984375</v>
      </c>
      <c r="W1330" s="27">
        <f t="shared" si="62"/>
        <v>-5.2938165916302201E-4</v>
      </c>
    </row>
    <row r="1331" spans="1:23" x14ac:dyDescent="0.3">
      <c r="A1331" s="4" t="s">
        <v>328</v>
      </c>
      <c r="B1331" s="5">
        <v>2016</v>
      </c>
      <c r="C1331" s="5" t="s">
        <v>237</v>
      </c>
      <c r="D1331" s="15" t="s">
        <v>306</v>
      </c>
      <c r="E1331" s="6">
        <v>107159</v>
      </c>
      <c r="F1331" s="5" t="s">
        <v>21</v>
      </c>
      <c r="G1331" s="5" t="s">
        <v>25</v>
      </c>
      <c r="H1331" s="5" t="s">
        <v>18</v>
      </c>
      <c r="I1331" s="5" t="s">
        <v>17</v>
      </c>
      <c r="J1331" s="7">
        <v>45386</v>
      </c>
      <c r="K1331" s="5" t="s">
        <v>17</v>
      </c>
      <c r="L1331" s="8">
        <v>43950</v>
      </c>
      <c r="M1331" s="19">
        <v>264</v>
      </c>
      <c r="N1331" s="19">
        <v>314</v>
      </c>
      <c r="O1331" s="24">
        <v>0</v>
      </c>
      <c r="P1331" s="24">
        <v>10200</v>
      </c>
      <c r="Q1331" t="s">
        <v>1983</v>
      </c>
      <c r="R1331" s="19">
        <f>VLOOKUP(A1331,[1]Sheet1!$A$2:$Q$1536,15,FALSE)</f>
        <v>3436.276123046875</v>
      </c>
      <c r="S1331" s="27">
        <f t="shared" si="60"/>
        <v>-1.9683295622226862</v>
      </c>
      <c r="T1331" s="19">
        <f>VLOOKUP(A1331,[1]Sheet1!$A$2:$Q$1536,16,FALSE)</f>
        <v>9199.7120787487675</v>
      </c>
      <c r="U1331" s="27">
        <f t="shared" si="61"/>
        <v>-0.10873035076411647</v>
      </c>
      <c r="V1331" s="19">
        <f>VLOOKUP(A1331,[1]Sheet1!$A$2:$Q$1536,17,FALSE)</f>
        <v>3359.09765625</v>
      </c>
      <c r="W1331" s="27">
        <f t="shared" si="62"/>
        <v>-2.0365297600150711</v>
      </c>
    </row>
    <row r="1332" spans="1:23" x14ac:dyDescent="0.3">
      <c r="A1332" s="4" t="s">
        <v>1434</v>
      </c>
      <c r="B1332" s="5">
        <v>2016</v>
      </c>
      <c r="C1332" s="5" t="s">
        <v>1086</v>
      </c>
      <c r="D1332" s="15" t="s">
        <v>1411</v>
      </c>
      <c r="E1332" s="6">
        <v>127481</v>
      </c>
      <c r="F1332" s="5" t="s">
        <v>112</v>
      </c>
      <c r="G1332" s="5" t="s">
        <v>22</v>
      </c>
      <c r="H1332" s="5" t="s">
        <v>18</v>
      </c>
      <c r="I1332" s="5" t="s">
        <v>17</v>
      </c>
      <c r="J1332" s="7">
        <v>45664</v>
      </c>
      <c r="K1332" s="5" t="s">
        <v>17</v>
      </c>
      <c r="L1332" s="8">
        <v>44310</v>
      </c>
      <c r="M1332" s="19">
        <v>235</v>
      </c>
      <c r="N1332" s="19">
        <v>285</v>
      </c>
      <c r="O1332" s="24">
        <v>1100</v>
      </c>
      <c r="P1332" s="24">
        <v>5000</v>
      </c>
      <c r="Q1332" t="s">
        <v>1983</v>
      </c>
      <c r="R1332" s="19">
        <f>VLOOKUP(A1332,[1]Sheet1!$A$2:$Q$1536,15,FALSE)</f>
        <v>1391.105712890625</v>
      </c>
      <c r="S1332" s="27">
        <f t="shared" si="60"/>
        <v>-2.5942631488518102</v>
      </c>
      <c r="T1332" s="19">
        <f>VLOOKUP(A1332,[1]Sheet1!$A$2:$Q$1536,16,FALSE)</f>
        <v>8579.3708408190196</v>
      </c>
      <c r="U1332" s="27">
        <f t="shared" si="61"/>
        <v>0.41720668184536935</v>
      </c>
      <c r="V1332" s="19">
        <f>VLOOKUP(A1332,[1]Sheet1!$A$2:$Q$1536,17,FALSE)</f>
        <v>1390.846557617188</v>
      </c>
      <c r="W1332" s="27">
        <f t="shared" si="62"/>
        <v>-2.5949328648920478</v>
      </c>
    </row>
    <row r="1333" spans="1:23" x14ac:dyDescent="0.3">
      <c r="A1333" s="4" t="s">
        <v>716</v>
      </c>
      <c r="B1333" s="5">
        <v>2012</v>
      </c>
      <c r="C1333" s="5" t="s">
        <v>46</v>
      </c>
      <c r="D1333" s="15" t="s">
        <v>717</v>
      </c>
      <c r="E1333" s="6">
        <v>85352</v>
      </c>
      <c r="F1333" s="5" t="s">
        <v>718</v>
      </c>
      <c r="G1333" s="5" t="s">
        <v>22</v>
      </c>
      <c r="H1333" s="5" t="s">
        <v>18</v>
      </c>
      <c r="I1333" s="5" t="s">
        <v>17</v>
      </c>
      <c r="J1333" s="7">
        <v>45426</v>
      </c>
      <c r="K1333" s="5" t="s">
        <v>17</v>
      </c>
      <c r="L1333" s="8">
        <v>44067</v>
      </c>
      <c r="M1333" s="19">
        <v>235</v>
      </c>
      <c r="N1333" s="19">
        <v>285</v>
      </c>
      <c r="O1333" s="24">
        <v>0</v>
      </c>
      <c r="P1333" s="24">
        <v>4400</v>
      </c>
      <c r="Q1333" t="s">
        <v>1983</v>
      </c>
      <c r="R1333" s="19">
        <f>VLOOKUP(A1333,[1]Sheet1!$A$2:$Q$1536,15,FALSE)</f>
        <v>2205.5966796875</v>
      </c>
      <c r="S1333" s="27">
        <f t="shared" si="60"/>
        <v>-0.99492501984697135</v>
      </c>
      <c r="T1333" s="19">
        <f>VLOOKUP(A1333,[1]Sheet1!$A$2:$Q$1536,16,FALSE)</f>
        <v>9127.5959301339972</v>
      </c>
      <c r="U1333" s="27">
        <f t="shared" si="61"/>
        <v>0.51794535673147335</v>
      </c>
      <c r="V1333" s="19">
        <f>VLOOKUP(A1333,[1]Sheet1!$A$2:$Q$1536,17,FALSE)</f>
        <v>2098.140869140625</v>
      </c>
      <c r="W1333" s="27">
        <f t="shared" si="62"/>
        <v>-1.0970946539934616</v>
      </c>
    </row>
    <row r="1334" spans="1:23" x14ac:dyDescent="0.3">
      <c r="A1334" s="4" t="s">
        <v>743</v>
      </c>
      <c r="B1334" s="5">
        <v>2017</v>
      </c>
      <c r="C1334" s="5" t="s">
        <v>83</v>
      </c>
      <c r="D1334" s="15" t="s">
        <v>744</v>
      </c>
      <c r="E1334" s="6">
        <v>109253</v>
      </c>
      <c r="F1334" s="5" t="s">
        <v>73</v>
      </c>
      <c r="G1334" s="5" t="s">
        <v>28</v>
      </c>
      <c r="H1334" s="5" t="s">
        <v>17</v>
      </c>
      <c r="I1334" s="5" t="s">
        <v>18</v>
      </c>
      <c r="J1334" s="7">
        <v>45636</v>
      </c>
      <c r="K1334" s="5" t="s">
        <v>17</v>
      </c>
      <c r="L1334" s="8">
        <v>44144</v>
      </c>
      <c r="M1334" s="19">
        <v>235</v>
      </c>
      <c r="N1334" s="19">
        <v>285</v>
      </c>
      <c r="O1334" s="24">
        <v>5000</v>
      </c>
      <c r="P1334" s="24">
        <v>7900</v>
      </c>
      <c r="Q1334" t="s">
        <v>1983</v>
      </c>
      <c r="R1334" s="19">
        <f>VLOOKUP(A1334,[1]Sheet1!$A$2:$Q$1536,15,FALSE)</f>
        <v>3951.65771484375</v>
      </c>
      <c r="S1334" s="27">
        <f t="shared" si="60"/>
        <v>-0.99916100281786902</v>
      </c>
      <c r="T1334" s="19">
        <f>VLOOKUP(A1334,[1]Sheet1!$A$2:$Q$1536,16,FALSE)</f>
        <v>8935.8711482913204</v>
      </c>
      <c r="U1334" s="27">
        <f t="shared" si="61"/>
        <v>0.11592279377141593</v>
      </c>
      <c r="V1334" s="19">
        <f>VLOOKUP(A1334,[1]Sheet1!$A$2:$Q$1536,17,FALSE)</f>
        <v>3881.8876953125</v>
      </c>
      <c r="W1334" s="27">
        <f t="shared" si="62"/>
        <v>-1.0350923622905153</v>
      </c>
    </row>
    <row r="1335" spans="1:23" x14ac:dyDescent="0.3">
      <c r="A1335" s="4" t="s">
        <v>1470</v>
      </c>
      <c r="B1335" s="5">
        <v>2016</v>
      </c>
      <c r="C1335" s="5" t="s">
        <v>1089</v>
      </c>
      <c r="D1335" s="15" t="s">
        <v>1324</v>
      </c>
      <c r="E1335" s="6">
        <v>118234</v>
      </c>
      <c r="F1335" s="5" t="s">
        <v>24</v>
      </c>
      <c r="G1335" s="5" t="s">
        <v>33</v>
      </c>
      <c r="H1335" s="5" t="s">
        <v>17</v>
      </c>
      <c r="I1335" s="5" t="s">
        <v>18</v>
      </c>
      <c r="J1335" s="7">
        <v>45729</v>
      </c>
      <c r="K1335" s="5" t="s">
        <v>17</v>
      </c>
      <c r="L1335" s="8">
        <v>44451</v>
      </c>
      <c r="M1335" s="19">
        <v>264</v>
      </c>
      <c r="N1335" s="19">
        <v>314</v>
      </c>
      <c r="O1335" s="24">
        <v>0</v>
      </c>
      <c r="P1335" s="24">
        <v>4100</v>
      </c>
      <c r="Q1335" t="s">
        <v>1983</v>
      </c>
      <c r="R1335" s="19">
        <f>VLOOKUP(A1335,[1]Sheet1!$A$2:$Q$1536,15,FALSE)</f>
        <v>1701.625244140625</v>
      </c>
      <c r="S1335" s="27">
        <f t="shared" si="60"/>
        <v>-1.4094611984148311</v>
      </c>
      <c r="T1335" s="19">
        <f>VLOOKUP(A1335,[1]Sheet1!$A$2:$Q$1536,16,FALSE)</f>
        <v>8793.2534132269266</v>
      </c>
      <c r="U1335" s="27">
        <f t="shared" si="61"/>
        <v>0.53373344229648534</v>
      </c>
      <c r="V1335" s="19">
        <f>VLOOKUP(A1335,[1]Sheet1!$A$2:$Q$1536,17,FALSE)</f>
        <v>1678.0625</v>
      </c>
      <c r="W1335" s="27">
        <f t="shared" si="62"/>
        <v>-1.443293977429327</v>
      </c>
    </row>
    <row r="1336" spans="1:23" x14ac:dyDescent="0.3">
      <c r="A1336" s="4" t="s">
        <v>615</v>
      </c>
      <c r="B1336" s="5">
        <v>2010</v>
      </c>
      <c r="C1336" s="5" t="s">
        <v>30</v>
      </c>
      <c r="D1336" s="15" t="s">
        <v>616</v>
      </c>
      <c r="E1336" s="6">
        <v>229013</v>
      </c>
      <c r="F1336" s="5" t="s">
        <v>79</v>
      </c>
      <c r="G1336" s="5" t="s">
        <v>22</v>
      </c>
      <c r="H1336" s="5" t="s">
        <v>18</v>
      </c>
      <c r="I1336" s="5" t="s">
        <v>17</v>
      </c>
      <c r="J1336" s="7">
        <v>45344</v>
      </c>
      <c r="K1336" s="5" t="s">
        <v>17</v>
      </c>
      <c r="L1336" s="8">
        <v>44035</v>
      </c>
      <c r="M1336" s="19">
        <v>222</v>
      </c>
      <c r="N1336" s="19">
        <v>272</v>
      </c>
      <c r="O1336" s="24">
        <v>0</v>
      </c>
      <c r="P1336" s="24">
        <v>15800</v>
      </c>
      <c r="Q1336" t="s">
        <v>1983</v>
      </c>
      <c r="R1336" s="19">
        <f>VLOOKUP(A1336,[1]Sheet1!$A$2:$Q$1536,15,FALSE)</f>
        <v>1558.908447265625</v>
      </c>
      <c r="S1336" s="27">
        <f t="shared" si="60"/>
        <v>-9.135296930178102</v>
      </c>
      <c r="T1336" s="19">
        <f>VLOOKUP(A1336,[1]Sheet1!$A$2:$Q$1536,16,FALSE)</f>
        <v>8993.4084210917626</v>
      </c>
      <c r="U1336" s="27">
        <f t="shared" si="61"/>
        <v>-0.75684226271155441</v>
      </c>
      <c r="V1336" s="19">
        <f>VLOOKUP(A1336,[1]Sheet1!$A$2:$Q$1536,17,FALSE)</f>
        <v>1519.196655273438</v>
      </c>
      <c r="W1336" s="27">
        <f t="shared" si="62"/>
        <v>-9.4002335347138999</v>
      </c>
    </row>
    <row r="1337" spans="1:23" x14ac:dyDescent="0.3">
      <c r="A1337" s="4" t="s">
        <v>1106</v>
      </c>
      <c r="B1337" s="5">
        <v>2017</v>
      </c>
      <c r="C1337" s="5" t="s">
        <v>1086</v>
      </c>
      <c r="D1337" s="15" t="s">
        <v>1093</v>
      </c>
      <c r="E1337" s="6">
        <v>122667</v>
      </c>
      <c r="F1337" s="5" t="s">
        <v>79</v>
      </c>
      <c r="G1337" s="5" t="s">
        <v>22</v>
      </c>
      <c r="H1337" s="5" t="s">
        <v>18</v>
      </c>
      <c r="I1337" s="5" t="s">
        <v>17</v>
      </c>
      <c r="J1337" s="7">
        <v>45526</v>
      </c>
      <c r="K1337" s="5" t="s">
        <v>17</v>
      </c>
      <c r="L1337" s="8">
        <v>44444</v>
      </c>
      <c r="M1337" s="19">
        <v>264</v>
      </c>
      <c r="N1337" s="19">
        <v>314</v>
      </c>
      <c r="O1337" s="24">
        <v>800</v>
      </c>
      <c r="P1337" s="24">
        <v>11000</v>
      </c>
      <c r="Q1337" t="s">
        <v>1983</v>
      </c>
      <c r="R1337" s="19">
        <f>VLOOKUP(A1337,[1]Sheet1!$A$2:$Q$1536,15,FALSE)</f>
        <v>2692.586181640625</v>
      </c>
      <c r="S1337" s="27">
        <f t="shared" si="60"/>
        <v>-3.0852917076539286</v>
      </c>
      <c r="T1337" s="19">
        <f>VLOOKUP(A1337,[1]Sheet1!$A$2:$Q$1536,16,FALSE)</f>
        <v>8568.2679176146921</v>
      </c>
      <c r="U1337" s="27">
        <f t="shared" si="61"/>
        <v>-0.28380672800696854</v>
      </c>
      <c r="V1337" s="19">
        <f>VLOOKUP(A1337,[1]Sheet1!$A$2:$Q$1536,17,FALSE)</f>
        <v>2551.73291015625</v>
      </c>
      <c r="W1337" s="27">
        <f t="shared" si="62"/>
        <v>-3.3107959913118172</v>
      </c>
    </row>
    <row r="1338" spans="1:23" x14ac:dyDescent="0.3">
      <c r="A1338" s="4" t="s">
        <v>1832</v>
      </c>
      <c r="B1338" s="5">
        <v>2017</v>
      </c>
      <c r="C1338" s="5" t="s">
        <v>1830</v>
      </c>
      <c r="D1338" s="15" t="s">
        <v>1833</v>
      </c>
      <c r="E1338" s="6">
        <v>96509</v>
      </c>
      <c r="F1338" s="5" t="s">
        <v>32</v>
      </c>
      <c r="G1338" s="5" t="s">
        <v>25</v>
      </c>
      <c r="H1338" s="5" t="s">
        <v>18</v>
      </c>
      <c r="I1338" s="5" t="s">
        <v>17</v>
      </c>
      <c r="J1338" s="7">
        <v>45566</v>
      </c>
      <c r="K1338" s="5" t="s">
        <v>17</v>
      </c>
      <c r="L1338" s="8">
        <v>44307</v>
      </c>
      <c r="M1338" s="19">
        <v>235</v>
      </c>
      <c r="N1338" s="19">
        <v>285</v>
      </c>
      <c r="O1338" s="24">
        <v>6200</v>
      </c>
      <c r="P1338" s="24">
        <v>13800</v>
      </c>
      <c r="Q1338" t="s">
        <v>1983</v>
      </c>
      <c r="R1338" s="19">
        <f>VLOOKUP(A1338,[1]Sheet1!$A$2:$Q$1536,15,FALSE)</f>
        <v>5242.2548828125</v>
      </c>
      <c r="S1338" s="27">
        <f t="shared" si="60"/>
        <v>-1.6324549852097654</v>
      </c>
      <c r="T1338" s="19">
        <f>VLOOKUP(A1338,[1]Sheet1!$A$2:$Q$1536,16,FALSE)</f>
        <v>9556.1262351629921</v>
      </c>
      <c r="U1338" s="27">
        <f t="shared" si="61"/>
        <v>-0.44409980157243317</v>
      </c>
      <c r="V1338" s="19">
        <f>VLOOKUP(A1338,[1]Sheet1!$A$2:$Q$1536,17,FALSE)</f>
        <v>5193.2509765625</v>
      </c>
      <c r="W1338" s="27">
        <f t="shared" si="62"/>
        <v>-1.65729502815873</v>
      </c>
    </row>
    <row r="1339" spans="1:23" x14ac:dyDescent="0.3">
      <c r="A1339" s="4" t="s">
        <v>878</v>
      </c>
      <c r="B1339" s="5">
        <v>2018</v>
      </c>
      <c r="C1339" s="5" t="s">
        <v>391</v>
      </c>
      <c r="D1339" s="15" t="s">
        <v>582</v>
      </c>
      <c r="E1339" s="6">
        <v>111986</v>
      </c>
      <c r="F1339" s="5" t="s">
        <v>36</v>
      </c>
      <c r="G1339" s="5" t="s">
        <v>28</v>
      </c>
      <c r="H1339" s="5" t="s">
        <v>17</v>
      </c>
      <c r="I1339" s="5" t="s">
        <v>18</v>
      </c>
      <c r="J1339" s="7">
        <v>45622</v>
      </c>
      <c r="K1339" s="5" t="s">
        <v>17</v>
      </c>
      <c r="L1339" s="8">
        <v>44135</v>
      </c>
      <c r="M1339" s="19">
        <v>235</v>
      </c>
      <c r="N1339" s="19">
        <v>285</v>
      </c>
      <c r="O1339" s="24">
        <v>8200</v>
      </c>
      <c r="P1339" s="24">
        <v>14100</v>
      </c>
      <c r="Q1339" t="s">
        <v>1983</v>
      </c>
      <c r="R1339" s="19">
        <f>VLOOKUP(A1339,[1]Sheet1!$A$2:$Q$1536,15,FALSE)</f>
        <v>3709.717529296875</v>
      </c>
      <c r="S1339" s="27">
        <f t="shared" si="60"/>
        <v>-2.8008284697278443</v>
      </c>
      <c r="T1339" s="19">
        <f>VLOOKUP(A1339,[1]Sheet1!$A$2:$Q$1536,16,FALSE)</f>
        <v>9491.4164473310484</v>
      </c>
      <c r="U1339" s="27">
        <f t="shared" si="61"/>
        <v>-0.48555277057355001</v>
      </c>
      <c r="V1339" s="19">
        <f>VLOOKUP(A1339,[1]Sheet1!$A$2:$Q$1536,17,FALSE)</f>
        <v>3745.45263671875</v>
      </c>
      <c r="W1339" s="27">
        <f t="shared" si="62"/>
        <v>-2.7645650252708784</v>
      </c>
    </row>
    <row r="1340" spans="1:23" x14ac:dyDescent="0.3">
      <c r="A1340" s="4" t="s">
        <v>742</v>
      </c>
      <c r="B1340" s="5">
        <v>2017</v>
      </c>
      <c r="C1340" s="5" t="s">
        <v>46</v>
      </c>
      <c r="D1340" s="15" t="s">
        <v>740</v>
      </c>
      <c r="E1340" s="6">
        <v>110161</v>
      </c>
      <c r="F1340" s="5" t="s">
        <v>92</v>
      </c>
      <c r="G1340" s="5" t="s">
        <v>28</v>
      </c>
      <c r="H1340" s="5" t="s">
        <v>17</v>
      </c>
      <c r="I1340" s="5" t="s">
        <v>18</v>
      </c>
      <c r="J1340" s="7">
        <v>45356</v>
      </c>
      <c r="K1340" s="5" t="s">
        <v>17</v>
      </c>
      <c r="L1340" s="8">
        <v>44054</v>
      </c>
      <c r="M1340" s="19">
        <v>235</v>
      </c>
      <c r="N1340" s="19">
        <v>285</v>
      </c>
      <c r="O1340" s="24">
        <v>12250</v>
      </c>
      <c r="P1340" s="24">
        <v>12700</v>
      </c>
      <c r="Q1340" t="s">
        <v>1983</v>
      </c>
      <c r="R1340" s="19">
        <f>VLOOKUP(A1340,[1]Sheet1!$A$2:$Q$1536,15,FALSE)</f>
        <v>8459.134765625</v>
      </c>
      <c r="S1340" s="27">
        <f t="shared" si="60"/>
        <v>-0.50133558004163858</v>
      </c>
      <c r="T1340" s="19">
        <f>VLOOKUP(A1340,[1]Sheet1!$A$2:$Q$1536,16,FALSE)</f>
        <v>9713.1591969025449</v>
      </c>
      <c r="U1340" s="27">
        <f t="shared" si="61"/>
        <v>-0.30750456597580905</v>
      </c>
      <c r="V1340" s="19">
        <f>VLOOKUP(A1340,[1]Sheet1!$A$2:$Q$1536,17,FALSE)</f>
        <v>8503.9990234375</v>
      </c>
      <c r="W1340" s="27">
        <f t="shared" si="62"/>
        <v>-0.49341503509091256</v>
      </c>
    </row>
    <row r="1341" spans="1:23" x14ac:dyDescent="0.3">
      <c r="A1341" s="4" t="s">
        <v>848</v>
      </c>
      <c r="B1341" s="5">
        <v>2017</v>
      </c>
      <c r="C1341" s="5" t="s">
        <v>391</v>
      </c>
      <c r="D1341" s="15" t="s">
        <v>582</v>
      </c>
      <c r="E1341" s="6">
        <v>48466</v>
      </c>
      <c r="F1341" s="5" t="s">
        <v>32</v>
      </c>
      <c r="G1341" s="5" t="s">
        <v>25</v>
      </c>
      <c r="H1341" s="5" t="s">
        <v>18</v>
      </c>
      <c r="I1341" s="5" t="s">
        <v>17</v>
      </c>
      <c r="J1341" s="7">
        <v>45538</v>
      </c>
      <c r="K1341" s="5" t="s">
        <v>17</v>
      </c>
      <c r="L1341" s="8">
        <v>43612</v>
      </c>
      <c r="M1341" s="19">
        <v>264</v>
      </c>
      <c r="N1341" s="19">
        <v>314</v>
      </c>
      <c r="O1341" s="24">
        <v>2400</v>
      </c>
      <c r="P1341" s="24">
        <v>12200</v>
      </c>
      <c r="Q1341" t="s">
        <v>1983</v>
      </c>
      <c r="R1341" s="19">
        <f>VLOOKUP(A1341,[1]Sheet1!$A$2:$Q$1536,15,FALSE)</f>
        <v>3954.761474609375</v>
      </c>
      <c r="S1341" s="27">
        <f t="shared" si="60"/>
        <v>-2.0848889568504343</v>
      </c>
      <c r="T1341" s="19">
        <f>VLOOKUP(A1341,[1]Sheet1!$A$2:$Q$1536,16,FALSE)</f>
        <v>11432.982003552461</v>
      </c>
      <c r="U1341" s="27">
        <f t="shared" si="61"/>
        <v>-6.708818366102659E-2</v>
      </c>
      <c r="V1341" s="19">
        <f>VLOOKUP(A1341,[1]Sheet1!$A$2:$Q$1536,17,FALSE)</f>
        <v>3864.642333984375</v>
      </c>
      <c r="W1341" s="27">
        <f t="shared" si="62"/>
        <v>-2.1568251200679742</v>
      </c>
    </row>
    <row r="1342" spans="1:23" x14ac:dyDescent="0.3">
      <c r="A1342" s="4" t="s">
        <v>1467</v>
      </c>
      <c r="B1342" s="5">
        <v>2015</v>
      </c>
      <c r="C1342" s="5" t="s">
        <v>1089</v>
      </c>
      <c r="D1342" s="15" t="s">
        <v>1464</v>
      </c>
      <c r="E1342" s="6">
        <v>161429</v>
      </c>
      <c r="F1342" s="5" t="s">
        <v>42</v>
      </c>
      <c r="G1342" s="5" t="s">
        <v>25</v>
      </c>
      <c r="H1342" s="5" t="s">
        <v>18</v>
      </c>
      <c r="I1342" s="5" t="s">
        <v>17</v>
      </c>
      <c r="J1342" s="7">
        <v>45351</v>
      </c>
      <c r="K1342" s="5" t="s">
        <v>17</v>
      </c>
      <c r="L1342" s="8">
        <v>43612</v>
      </c>
      <c r="M1342" s="19">
        <v>264</v>
      </c>
      <c r="N1342" s="19">
        <v>314</v>
      </c>
      <c r="O1342" s="24">
        <v>0</v>
      </c>
      <c r="P1342" s="24">
        <v>3000</v>
      </c>
      <c r="Q1342" t="s">
        <v>1983</v>
      </c>
      <c r="R1342" s="19">
        <f>VLOOKUP(A1342,[1]Sheet1!$A$2:$Q$1536,15,FALSE)</f>
        <v>1619.369506835938</v>
      </c>
      <c r="S1342" s="27">
        <f t="shared" si="60"/>
        <v>-0.85257286081769901</v>
      </c>
      <c r="T1342" s="19">
        <f>VLOOKUP(A1342,[1]Sheet1!$A$2:$Q$1536,16,FALSE)</f>
        <v>8746.6526781620123</v>
      </c>
      <c r="U1342" s="27">
        <f t="shared" si="61"/>
        <v>0.65701164658222044</v>
      </c>
      <c r="V1342" s="19">
        <f>VLOOKUP(A1342,[1]Sheet1!$A$2:$Q$1536,17,FALSE)</f>
        <v>1545.571166992188</v>
      </c>
      <c r="W1342" s="27">
        <f t="shared" si="62"/>
        <v>-0.94102999853332758</v>
      </c>
    </row>
    <row r="1343" spans="1:23" x14ac:dyDescent="0.3">
      <c r="A1343" s="4" t="s">
        <v>331</v>
      </c>
      <c r="B1343" s="5">
        <v>2018</v>
      </c>
      <c r="C1343" s="5" t="s">
        <v>237</v>
      </c>
      <c r="D1343" s="15" t="s">
        <v>310</v>
      </c>
      <c r="E1343" s="6">
        <v>89438</v>
      </c>
      <c r="F1343" s="5" t="s">
        <v>79</v>
      </c>
      <c r="G1343" s="5" t="s">
        <v>33</v>
      </c>
      <c r="H1343" s="5" t="s">
        <v>17</v>
      </c>
      <c r="I1343" s="5" t="s">
        <v>18</v>
      </c>
      <c r="J1343" s="7">
        <v>45580</v>
      </c>
      <c r="K1343" s="5" t="s">
        <v>17</v>
      </c>
      <c r="L1343" s="8">
        <v>43612</v>
      </c>
      <c r="M1343" s="19">
        <v>264</v>
      </c>
      <c r="N1343" s="19">
        <v>314</v>
      </c>
      <c r="O1343" s="24">
        <v>2900</v>
      </c>
      <c r="P1343" s="24">
        <v>10800</v>
      </c>
      <c r="Q1343" t="s">
        <v>1983</v>
      </c>
      <c r="R1343" s="19">
        <f>VLOOKUP(A1343,[1]Sheet1!$A$2:$Q$1536,15,FALSE)</f>
        <v>4645.63916015625</v>
      </c>
      <c r="S1343" s="27">
        <f t="shared" si="60"/>
        <v>-1.3247608407960716</v>
      </c>
      <c r="T1343" s="19">
        <f>VLOOKUP(A1343,[1]Sheet1!$A$2:$Q$1536,16,FALSE)</f>
        <v>9446.5477335915184</v>
      </c>
      <c r="U1343" s="27">
        <f t="shared" si="61"/>
        <v>-0.14327480308977464</v>
      </c>
      <c r="V1343" s="19">
        <f>VLOOKUP(A1343,[1]Sheet1!$A$2:$Q$1536,17,FALSE)</f>
        <v>4643.6630859375</v>
      </c>
      <c r="W1343" s="27">
        <f t="shared" si="62"/>
        <v>-1.3257501244450445</v>
      </c>
    </row>
    <row r="1344" spans="1:23" x14ac:dyDescent="0.3">
      <c r="A1344" s="4" t="s">
        <v>1007</v>
      </c>
      <c r="B1344" s="5">
        <v>2017</v>
      </c>
      <c r="C1344" s="5" t="s">
        <v>237</v>
      </c>
      <c r="D1344" s="15" t="s">
        <v>241</v>
      </c>
      <c r="E1344" s="6">
        <v>152410</v>
      </c>
      <c r="F1344" s="5" t="s">
        <v>32</v>
      </c>
      <c r="G1344" s="5" t="s">
        <v>25</v>
      </c>
      <c r="H1344" s="5" t="s">
        <v>18</v>
      </c>
      <c r="I1344" s="5" t="s">
        <v>17</v>
      </c>
      <c r="J1344" s="7">
        <v>45594</v>
      </c>
      <c r="K1344" s="5" t="s">
        <v>17</v>
      </c>
      <c r="L1344" s="8">
        <v>43950</v>
      </c>
      <c r="M1344" s="19">
        <v>264</v>
      </c>
      <c r="N1344" s="19">
        <v>314</v>
      </c>
      <c r="O1344" s="24">
        <v>3500</v>
      </c>
      <c r="P1344" s="24">
        <v>8800</v>
      </c>
      <c r="Q1344" t="s">
        <v>1983</v>
      </c>
      <c r="R1344" s="19">
        <f>VLOOKUP(A1344,[1]Sheet1!$A$2:$Q$1536,15,FALSE)</f>
        <v>2488.33154296875</v>
      </c>
      <c r="S1344" s="27">
        <f t="shared" si="60"/>
        <v>-2.5365062283866711</v>
      </c>
      <c r="T1344" s="19">
        <f>VLOOKUP(A1344,[1]Sheet1!$A$2:$Q$1536,16,FALSE)</f>
        <v>9097.0208163310035</v>
      </c>
      <c r="U1344" s="27">
        <f t="shared" si="61"/>
        <v>3.2650339306445328E-2</v>
      </c>
      <c r="V1344" s="19">
        <f>VLOOKUP(A1344,[1]Sheet1!$A$2:$Q$1536,17,FALSE)</f>
        <v>2338.3408203125</v>
      </c>
      <c r="W1344" s="27">
        <f t="shared" si="62"/>
        <v>-2.7633521698620274</v>
      </c>
    </row>
    <row r="1345" spans="1:23" x14ac:dyDescent="0.3">
      <c r="A1345" s="4" t="s">
        <v>1143</v>
      </c>
      <c r="B1345" s="5">
        <v>2019</v>
      </c>
      <c r="C1345" s="5" t="s">
        <v>636</v>
      </c>
      <c r="D1345" s="15" t="s">
        <v>1142</v>
      </c>
      <c r="E1345" s="6">
        <v>143391</v>
      </c>
      <c r="F1345" s="5" t="s">
        <v>47</v>
      </c>
      <c r="G1345" s="5" t="s">
        <v>25</v>
      </c>
      <c r="H1345" s="5" t="s">
        <v>18</v>
      </c>
      <c r="I1345" s="5" t="s">
        <v>17</v>
      </c>
      <c r="J1345" s="7">
        <v>45316</v>
      </c>
      <c r="K1345" s="5" t="s">
        <v>17</v>
      </c>
      <c r="L1345" s="8">
        <v>44081</v>
      </c>
      <c r="M1345" s="19">
        <v>325</v>
      </c>
      <c r="N1345" s="19">
        <v>375</v>
      </c>
      <c r="O1345" s="24">
        <v>3000</v>
      </c>
      <c r="P1345" s="24">
        <v>14100</v>
      </c>
      <c r="Q1345" t="s">
        <v>1983</v>
      </c>
      <c r="R1345" s="19">
        <f>VLOOKUP(A1345,[1]Sheet1!$A$2:$Q$1536,15,FALSE)</f>
        <v>4731.95556640625</v>
      </c>
      <c r="S1345" s="27">
        <f t="shared" si="60"/>
        <v>-1.9797405749328374</v>
      </c>
      <c r="T1345" s="19">
        <f>VLOOKUP(A1345,[1]Sheet1!$A$2:$Q$1536,16,FALSE)</f>
        <v>9551.4584427536465</v>
      </c>
      <c r="U1345" s="27">
        <f t="shared" si="61"/>
        <v>-0.47621434825978548</v>
      </c>
      <c r="V1345" s="19">
        <f>VLOOKUP(A1345,[1]Sheet1!$A$2:$Q$1536,17,FALSE)</f>
        <v>4760.8662109375</v>
      </c>
      <c r="W1345" s="27">
        <f t="shared" si="62"/>
        <v>-1.9616459222498204</v>
      </c>
    </row>
    <row r="1346" spans="1:23" x14ac:dyDescent="0.3">
      <c r="A1346" s="4" t="s">
        <v>1445</v>
      </c>
      <c r="B1346" s="5">
        <v>2014</v>
      </c>
      <c r="C1346" s="5" t="s">
        <v>1086</v>
      </c>
      <c r="D1346" s="15" t="s">
        <v>1442</v>
      </c>
      <c r="E1346" s="6">
        <v>97789</v>
      </c>
      <c r="F1346" s="5" t="s">
        <v>44</v>
      </c>
      <c r="G1346" s="5" t="s">
        <v>33</v>
      </c>
      <c r="H1346" s="5" t="s">
        <v>17</v>
      </c>
      <c r="I1346" s="5" t="s">
        <v>18</v>
      </c>
      <c r="J1346" s="7">
        <v>45547</v>
      </c>
      <c r="K1346" s="5" t="s">
        <v>17</v>
      </c>
      <c r="L1346" s="8">
        <v>44144</v>
      </c>
      <c r="M1346" s="19">
        <v>235</v>
      </c>
      <c r="N1346" s="19">
        <v>285</v>
      </c>
      <c r="O1346" s="24">
        <v>0</v>
      </c>
      <c r="P1346" s="24">
        <v>10500</v>
      </c>
      <c r="Q1346" t="s">
        <v>1983</v>
      </c>
      <c r="R1346" s="19">
        <f>VLOOKUP(A1346,[1]Sheet1!$A$2:$Q$1536,15,FALSE)</f>
        <v>5165.87451171875</v>
      </c>
      <c r="S1346" s="27">
        <f t="shared" si="60"/>
        <v>-1.0325696987375175</v>
      </c>
      <c r="T1346" s="19">
        <f>VLOOKUP(A1346,[1]Sheet1!$A$2:$Q$1536,16,FALSE)</f>
        <v>8924.3964353748452</v>
      </c>
      <c r="U1346" s="27">
        <f t="shared" si="61"/>
        <v>-0.17655015395547877</v>
      </c>
      <c r="V1346" s="19">
        <f>VLOOKUP(A1346,[1]Sheet1!$A$2:$Q$1536,17,FALSE)</f>
        <v>5096.99560546875</v>
      </c>
      <c r="W1346" s="27">
        <f t="shared" si="62"/>
        <v>-1.0600370910138066</v>
      </c>
    </row>
    <row r="1347" spans="1:23" x14ac:dyDescent="0.3">
      <c r="A1347" s="4" t="s">
        <v>120</v>
      </c>
      <c r="B1347" s="5">
        <v>2014</v>
      </c>
      <c r="C1347" s="5" t="s">
        <v>96</v>
      </c>
      <c r="D1347" s="15" t="s">
        <v>117</v>
      </c>
      <c r="E1347" s="6">
        <v>129347</v>
      </c>
      <c r="F1347" s="5" t="s">
        <v>81</v>
      </c>
      <c r="G1347" s="5" t="s">
        <v>25</v>
      </c>
      <c r="H1347" s="5" t="s">
        <v>18</v>
      </c>
      <c r="I1347" s="5" t="s">
        <v>17</v>
      </c>
      <c r="J1347" s="7">
        <v>45715</v>
      </c>
      <c r="K1347" s="5" t="s">
        <v>17</v>
      </c>
      <c r="L1347" s="8">
        <v>44224</v>
      </c>
      <c r="M1347" s="19">
        <v>235</v>
      </c>
      <c r="N1347" s="19">
        <v>285</v>
      </c>
      <c r="O1347" s="24">
        <v>0</v>
      </c>
      <c r="P1347" s="24">
        <v>6400</v>
      </c>
      <c r="Q1347" t="s">
        <v>1983</v>
      </c>
      <c r="R1347" s="19">
        <f>VLOOKUP(A1347,[1]Sheet1!$A$2:$Q$1536,15,FALSE)</f>
        <v>2001.772705078125</v>
      </c>
      <c r="S1347" s="27">
        <f t="shared" ref="S1347:S1410" si="63">(R1347-$P1347)/R1347</f>
        <v>-2.1971661836353302</v>
      </c>
      <c r="T1347" s="19">
        <f>VLOOKUP(A1347,[1]Sheet1!$A$2:$Q$1536,16,FALSE)</f>
        <v>9232.7221954143643</v>
      </c>
      <c r="U1347" s="27">
        <f t="shared" ref="U1347:U1410" si="64">(T1347-$P1347)/T1347</f>
        <v>0.3068133249824519</v>
      </c>
      <c r="V1347" s="19">
        <f>VLOOKUP(A1347,[1]Sheet1!$A$2:$Q$1536,17,FALSE)</f>
        <v>1951.93798828125</v>
      </c>
      <c r="W1347" s="27">
        <f t="shared" ref="W1347:W1410" si="65">(V1347-$P1347)/V1347</f>
        <v>-2.2787926862550716</v>
      </c>
    </row>
    <row r="1348" spans="1:23" x14ac:dyDescent="0.3">
      <c r="A1348" s="4" t="s">
        <v>419</v>
      </c>
      <c r="B1348" s="5">
        <v>2019</v>
      </c>
      <c r="C1348" s="5" t="s">
        <v>391</v>
      </c>
      <c r="D1348" s="15" t="s">
        <v>413</v>
      </c>
      <c r="E1348" s="6">
        <v>136398</v>
      </c>
      <c r="F1348" s="5" t="s">
        <v>40</v>
      </c>
      <c r="G1348" s="5" t="s">
        <v>25</v>
      </c>
      <c r="H1348" s="5" t="s">
        <v>18</v>
      </c>
      <c r="I1348" s="5" t="s">
        <v>17</v>
      </c>
      <c r="J1348" s="7">
        <v>45678</v>
      </c>
      <c r="K1348" s="5" t="s">
        <v>17</v>
      </c>
      <c r="L1348" s="8">
        <v>43605</v>
      </c>
      <c r="M1348" s="19">
        <v>264</v>
      </c>
      <c r="N1348" s="19">
        <v>314</v>
      </c>
      <c r="O1348" s="24">
        <v>3500</v>
      </c>
      <c r="P1348" s="24">
        <v>8800</v>
      </c>
      <c r="Q1348" t="s">
        <v>1983</v>
      </c>
      <c r="R1348" s="19">
        <f>VLOOKUP(A1348,[1]Sheet1!$A$2:$Q$1536,15,FALSE)</f>
        <v>4693.39306640625</v>
      </c>
      <c r="S1348" s="27">
        <f t="shared" si="63"/>
        <v>-0.87497613677138608</v>
      </c>
      <c r="T1348" s="19">
        <f>VLOOKUP(A1348,[1]Sheet1!$A$2:$Q$1536,16,FALSE)</f>
        <v>9437.7576637017137</v>
      </c>
      <c r="U1348" s="27">
        <f t="shared" si="64"/>
        <v>6.7575126044460213E-2</v>
      </c>
      <c r="V1348" s="19">
        <f>VLOOKUP(A1348,[1]Sheet1!$A$2:$Q$1536,17,FALSE)</f>
        <v>4748.45361328125</v>
      </c>
      <c r="W1348" s="27">
        <f t="shared" si="65"/>
        <v>-0.85323490902105981</v>
      </c>
    </row>
    <row r="1349" spans="1:23" x14ac:dyDescent="0.3">
      <c r="A1349" s="4" t="s">
        <v>1163</v>
      </c>
      <c r="B1349" s="5">
        <v>2018</v>
      </c>
      <c r="C1349" s="5" t="s">
        <v>636</v>
      </c>
      <c r="D1349" s="15" t="s">
        <v>1164</v>
      </c>
      <c r="E1349" s="6">
        <v>82802</v>
      </c>
      <c r="F1349" s="5" t="s">
        <v>42</v>
      </c>
      <c r="G1349" s="5" t="s">
        <v>28</v>
      </c>
      <c r="H1349" s="5" t="s">
        <v>17</v>
      </c>
      <c r="I1349" s="5" t="s">
        <v>18</v>
      </c>
      <c r="J1349" s="7">
        <v>45526</v>
      </c>
      <c r="K1349" s="5" t="s">
        <v>17</v>
      </c>
      <c r="L1349" s="8">
        <v>44662</v>
      </c>
      <c r="M1349" s="19">
        <v>235</v>
      </c>
      <c r="N1349" s="19">
        <v>285</v>
      </c>
      <c r="O1349" s="24">
        <v>3300</v>
      </c>
      <c r="P1349" s="24">
        <v>6400</v>
      </c>
      <c r="Q1349" t="s">
        <v>1983</v>
      </c>
      <c r="R1349" s="19">
        <f>VLOOKUP(A1349,[1]Sheet1!$A$2:$Q$1536,15,FALSE)</f>
        <v>4717.3408203125</v>
      </c>
      <c r="S1349" s="27">
        <f t="shared" si="63"/>
        <v>-0.35669654658872674</v>
      </c>
      <c r="T1349" s="19">
        <f>VLOOKUP(A1349,[1]Sheet1!$A$2:$Q$1536,16,FALSE)</f>
        <v>9104.88657189677</v>
      </c>
      <c r="U1349" s="27">
        <f t="shared" si="64"/>
        <v>0.29708075444297116</v>
      </c>
      <c r="V1349" s="19">
        <f>VLOOKUP(A1349,[1]Sheet1!$A$2:$Q$1536,17,FALSE)</f>
        <v>4646.1630859375</v>
      </c>
      <c r="W1349" s="27">
        <f t="shared" si="65"/>
        <v>-0.37748070431940334</v>
      </c>
    </row>
    <row r="1350" spans="1:23" x14ac:dyDescent="0.3">
      <c r="A1350" s="4" t="s">
        <v>575</v>
      </c>
      <c r="B1350" s="5">
        <v>2018</v>
      </c>
      <c r="C1350" s="5" t="s">
        <v>559</v>
      </c>
      <c r="D1350" s="15" t="s">
        <v>576</v>
      </c>
      <c r="E1350" s="6">
        <v>114191</v>
      </c>
      <c r="F1350" s="5" t="s">
        <v>103</v>
      </c>
      <c r="G1350" s="5" t="s">
        <v>28</v>
      </c>
      <c r="H1350" s="5" t="s">
        <v>17</v>
      </c>
      <c r="I1350" s="5" t="s">
        <v>18</v>
      </c>
      <c r="J1350" s="7">
        <v>45412</v>
      </c>
      <c r="K1350" s="5" t="s">
        <v>17</v>
      </c>
      <c r="L1350" s="8">
        <v>44067</v>
      </c>
      <c r="M1350" s="19">
        <v>235</v>
      </c>
      <c r="N1350" s="19">
        <v>285</v>
      </c>
      <c r="O1350" s="24">
        <v>22750</v>
      </c>
      <c r="P1350" s="24">
        <v>26800</v>
      </c>
      <c r="Q1350" t="s">
        <v>1983</v>
      </c>
      <c r="R1350" s="19">
        <f>VLOOKUP(A1350,[1]Sheet1!$A$2:$Q$1536,15,FALSE)</f>
        <v>16045.1962890625</v>
      </c>
      <c r="S1350" s="27">
        <f t="shared" si="63"/>
        <v>-0.67028184119309953</v>
      </c>
      <c r="T1350" s="19">
        <f>VLOOKUP(A1350,[1]Sheet1!$A$2:$Q$1536,16,FALSE)</f>
        <v>10606.54914773382</v>
      </c>
      <c r="U1350" s="27">
        <f t="shared" si="64"/>
        <v>-1.5267407548595624</v>
      </c>
      <c r="V1350" s="19">
        <f>VLOOKUP(A1350,[1]Sheet1!$A$2:$Q$1536,17,FALSE)</f>
        <v>16330.7470703125</v>
      </c>
      <c r="W1350" s="27">
        <f t="shared" si="65"/>
        <v>-0.64107617885524959</v>
      </c>
    </row>
    <row r="1351" spans="1:23" x14ac:dyDescent="0.3">
      <c r="A1351" s="4" t="s">
        <v>1798</v>
      </c>
      <c r="B1351" s="5">
        <v>2019</v>
      </c>
      <c r="C1351" s="5" t="s">
        <v>1086</v>
      </c>
      <c r="D1351" s="15" t="s">
        <v>1795</v>
      </c>
      <c r="E1351" s="6">
        <v>80259</v>
      </c>
      <c r="F1351" s="5" t="s">
        <v>158</v>
      </c>
      <c r="G1351" s="5" t="s">
        <v>16</v>
      </c>
      <c r="H1351" s="5" t="s">
        <v>17</v>
      </c>
      <c r="I1351" s="5" t="s">
        <v>18</v>
      </c>
      <c r="J1351" s="7">
        <v>45617</v>
      </c>
      <c r="K1351" s="5" t="s">
        <v>17</v>
      </c>
      <c r="L1351" s="8">
        <v>44310</v>
      </c>
      <c r="M1351" s="19">
        <v>235</v>
      </c>
      <c r="N1351" s="19">
        <v>285</v>
      </c>
      <c r="O1351" s="24">
        <v>0</v>
      </c>
      <c r="P1351" s="24">
        <v>9300</v>
      </c>
      <c r="Q1351" t="s">
        <v>1983</v>
      </c>
      <c r="R1351" s="19">
        <f>VLOOKUP(A1351,[1]Sheet1!$A$2:$Q$1536,15,FALSE)</f>
        <v>9317.1123046875</v>
      </c>
      <c r="S1351" s="27">
        <f t="shared" si="63"/>
        <v>1.8366532599258987E-3</v>
      </c>
      <c r="T1351" s="19">
        <f>VLOOKUP(A1351,[1]Sheet1!$A$2:$Q$1536,16,FALSE)</f>
        <v>9892.071317411921</v>
      </c>
      <c r="U1351" s="27">
        <f t="shared" si="64"/>
        <v>5.9853118564740147E-2</v>
      </c>
      <c r="V1351" s="19">
        <f>VLOOKUP(A1351,[1]Sheet1!$A$2:$Q$1536,17,FALSE)</f>
        <v>9545.10546875</v>
      </c>
      <c r="W1351" s="27">
        <f t="shared" si="65"/>
        <v>2.5678654840688556E-2</v>
      </c>
    </row>
    <row r="1352" spans="1:23" x14ac:dyDescent="0.3">
      <c r="A1352" s="4" t="s">
        <v>431</v>
      </c>
      <c r="B1352" s="5">
        <v>2012</v>
      </c>
      <c r="C1352" s="5" t="s">
        <v>391</v>
      </c>
      <c r="D1352" s="15" t="s">
        <v>432</v>
      </c>
      <c r="E1352" s="6">
        <v>99150</v>
      </c>
      <c r="F1352" s="5" t="s">
        <v>92</v>
      </c>
      <c r="G1352" s="5" t="s">
        <v>25</v>
      </c>
      <c r="H1352" s="5" t="s">
        <v>18</v>
      </c>
      <c r="I1352" s="5" t="s">
        <v>17</v>
      </c>
      <c r="J1352" s="7">
        <v>45398</v>
      </c>
      <c r="K1352" s="5" t="s">
        <v>17</v>
      </c>
      <c r="L1352" s="8">
        <v>44483</v>
      </c>
      <c r="M1352" s="19">
        <v>264</v>
      </c>
      <c r="N1352" s="19">
        <v>314</v>
      </c>
      <c r="O1352" s="24">
        <v>2100</v>
      </c>
      <c r="P1352" s="24">
        <v>3700</v>
      </c>
      <c r="Q1352" t="s">
        <v>1983</v>
      </c>
      <c r="R1352" s="19">
        <f>VLOOKUP(A1352,[1]Sheet1!$A$2:$Q$1536,15,FALSE)</f>
        <v>5553.70263671875</v>
      </c>
      <c r="S1352" s="27">
        <f t="shared" si="63"/>
        <v>0.33377779797982815</v>
      </c>
      <c r="T1352" s="19">
        <f>VLOOKUP(A1352,[1]Sheet1!$A$2:$Q$1536,16,FALSE)</f>
        <v>10215.95692987817</v>
      </c>
      <c r="U1352" s="27">
        <f t="shared" si="64"/>
        <v>0.63782149578383895</v>
      </c>
      <c r="V1352" s="19">
        <f>VLOOKUP(A1352,[1]Sheet1!$A$2:$Q$1536,17,FALSE)</f>
        <v>5377.67626953125</v>
      </c>
      <c r="W1352" s="27">
        <f t="shared" si="65"/>
        <v>0.31197048417298762</v>
      </c>
    </row>
    <row r="1353" spans="1:23" x14ac:dyDescent="0.3">
      <c r="A1353" s="4" t="s">
        <v>438</v>
      </c>
      <c r="B1353" s="5">
        <v>2015</v>
      </c>
      <c r="C1353" s="5" t="s">
        <v>391</v>
      </c>
      <c r="D1353" s="15" t="s">
        <v>432</v>
      </c>
      <c r="E1353" s="6">
        <v>105467</v>
      </c>
      <c r="F1353" s="5" t="s">
        <v>57</v>
      </c>
      <c r="G1353" s="5" t="s">
        <v>28</v>
      </c>
      <c r="H1353" s="5" t="s">
        <v>17</v>
      </c>
      <c r="I1353" s="5" t="s">
        <v>18</v>
      </c>
      <c r="J1353" s="7">
        <v>45342</v>
      </c>
      <c r="K1353" s="5" t="s">
        <v>17</v>
      </c>
      <c r="L1353" s="8">
        <v>44128</v>
      </c>
      <c r="M1353" s="19">
        <v>264</v>
      </c>
      <c r="N1353" s="19">
        <v>314</v>
      </c>
      <c r="O1353" s="24">
        <v>3400</v>
      </c>
      <c r="P1353" s="24">
        <v>4200</v>
      </c>
      <c r="Q1353" t="s">
        <v>1983</v>
      </c>
      <c r="R1353" s="19">
        <f>VLOOKUP(A1353,[1]Sheet1!$A$2:$Q$1536,15,FALSE)</f>
        <v>3300.971435546875</v>
      </c>
      <c r="S1353" s="27">
        <f t="shared" si="63"/>
        <v>-0.27235272464700444</v>
      </c>
      <c r="T1353" s="19">
        <f>VLOOKUP(A1353,[1]Sheet1!$A$2:$Q$1536,16,FALSE)</f>
        <v>9193.4210898111123</v>
      </c>
      <c r="U1353" s="27">
        <f t="shared" si="64"/>
        <v>0.54315156904378314</v>
      </c>
      <c r="V1353" s="19">
        <f>VLOOKUP(A1353,[1]Sheet1!$A$2:$Q$1536,17,FALSE)</f>
        <v>3212.71337890625</v>
      </c>
      <c r="W1353" s="27">
        <f t="shared" si="65"/>
        <v>-0.30730616293877611</v>
      </c>
    </row>
    <row r="1354" spans="1:23" x14ac:dyDescent="0.3">
      <c r="A1354" s="4" t="s">
        <v>1838</v>
      </c>
      <c r="B1354" s="5">
        <v>2011</v>
      </c>
      <c r="C1354" s="5" t="s">
        <v>519</v>
      </c>
      <c r="D1354" s="15" t="s">
        <v>801</v>
      </c>
      <c r="E1354" s="6">
        <v>66611</v>
      </c>
      <c r="F1354" s="5" t="s">
        <v>40</v>
      </c>
      <c r="G1354" s="5" t="s">
        <v>33</v>
      </c>
      <c r="H1354" s="5" t="s">
        <v>17</v>
      </c>
      <c r="I1354" s="5" t="s">
        <v>18</v>
      </c>
      <c r="J1354" s="7">
        <v>45720</v>
      </c>
      <c r="K1354" s="5" t="s">
        <v>17</v>
      </c>
      <c r="L1354" s="8">
        <v>44128</v>
      </c>
      <c r="M1354" s="19">
        <v>264</v>
      </c>
      <c r="N1354" s="19">
        <v>314</v>
      </c>
      <c r="O1354" s="24">
        <v>4300</v>
      </c>
      <c r="P1354" s="24">
        <v>4900</v>
      </c>
      <c r="Q1354" t="s">
        <v>1983</v>
      </c>
      <c r="R1354" s="19">
        <f>VLOOKUP(A1354,[1]Sheet1!$A$2:$Q$1536,15,FALSE)</f>
        <v>2453.564697265625</v>
      </c>
      <c r="S1354" s="27">
        <f t="shared" si="63"/>
        <v>-0.99709427082187996</v>
      </c>
      <c r="T1354" s="19">
        <f>VLOOKUP(A1354,[1]Sheet1!$A$2:$Q$1536,16,FALSE)</f>
        <v>10157.30900971687</v>
      </c>
      <c r="U1354" s="27">
        <f t="shared" si="64"/>
        <v>0.51758876339072946</v>
      </c>
      <c r="V1354" s="19">
        <f>VLOOKUP(A1354,[1]Sheet1!$A$2:$Q$1536,17,FALSE)</f>
        <v>2324.349365234375</v>
      </c>
      <c r="W1354" s="27">
        <f t="shared" si="65"/>
        <v>-1.1081168232667598</v>
      </c>
    </row>
    <row r="1355" spans="1:23" x14ac:dyDescent="0.3">
      <c r="A1355" s="4" t="s">
        <v>152</v>
      </c>
      <c r="B1355" s="5">
        <v>2014</v>
      </c>
      <c r="C1355" s="5" t="s">
        <v>96</v>
      </c>
      <c r="D1355" s="15" t="s">
        <v>140</v>
      </c>
      <c r="E1355" s="6">
        <v>87765</v>
      </c>
      <c r="F1355" s="5" t="s">
        <v>79</v>
      </c>
      <c r="G1355" s="5" t="s">
        <v>22</v>
      </c>
      <c r="H1355" s="5" t="s">
        <v>18</v>
      </c>
      <c r="I1355" s="5" t="s">
        <v>17</v>
      </c>
      <c r="J1355" s="7">
        <v>45575</v>
      </c>
      <c r="K1355" s="5" t="s">
        <v>17</v>
      </c>
      <c r="L1355" s="8">
        <v>44135</v>
      </c>
      <c r="M1355" s="19">
        <v>235</v>
      </c>
      <c r="N1355" s="19">
        <v>285</v>
      </c>
      <c r="O1355" s="24">
        <v>0</v>
      </c>
      <c r="P1355" s="24">
        <v>3800</v>
      </c>
      <c r="Q1355" t="s">
        <v>1983</v>
      </c>
      <c r="R1355" s="19">
        <f>VLOOKUP(A1355,[1]Sheet1!$A$2:$Q$1536,15,FALSE)</f>
        <v>3605.896484375</v>
      </c>
      <c r="S1355" s="27">
        <f t="shared" si="63"/>
        <v>-5.3829475268101994E-2</v>
      </c>
      <c r="T1355" s="19">
        <f>VLOOKUP(A1355,[1]Sheet1!$A$2:$Q$1536,16,FALSE)</f>
        <v>9398.8038258645884</v>
      </c>
      <c r="U1355" s="27">
        <f t="shared" si="64"/>
        <v>0.59569323177671063</v>
      </c>
      <c r="V1355" s="19">
        <f>VLOOKUP(A1355,[1]Sheet1!$A$2:$Q$1536,17,FALSE)</f>
        <v>3566.70947265625</v>
      </c>
      <c r="W1355" s="27">
        <f t="shared" si="65"/>
        <v>-6.5407774065211602E-2</v>
      </c>
    </row>
    <row r="1356" spans="1:23" x14ac:dyDescent="0.3">
      <c r="A1356" s="4" t="s">
        <v>596</v>
      </c>
      <c r="B1356" s="5">
        <v>2012</v>
      </c>
      <c r="C1356" s="5" t="s">
        <v>391</v>
      </c>
      <c r="D1356" s="15" t="s">
        <v>594</v>
      </c>
      <c r="E1356" s="6">
        <v>112240</v>
      </c>
      <c r="F1356" s="5" t="s">
        <v>170</v>
      </c>
      <c r="G1356" s="5" t="s">
        <v>22</v>
      </c>
      <c r="H1356" s="5" t="s">
        <v>18</v>
      </c>
      <c r="I1356" s="5" t="s">
        <v>17</v>
      </c>
      <c r="J1356" s="7">
        <v>45337</v>
      </c>
      <c r="K1356" s="5" t="s">
        <v>17</v>
      </c>
      <c r="L1356" s="8">
        <v>44905</v>
      </c>
      <c r="M1356" s="19">
        <v>128</v>
      </c>
      <c r="N1356" s="19">
        <v>158</v>
      </c>
      <c r="O1356" s="24">
        <v>0</v>
      </c>
      <c r="P1356" s="24">
        <v>5000</v>
      </c>
      <c r="Q1356" t="s">
        <v>1983</v>
      </c>
      <c r="R1356" s="19">
        <f>VLOOKUP(A1356,[1]Sheet1!$A$2:$Q$1536,15,FALSE)</f>
        <v>5139.86181640625</v>
      </c>
      <c r="S1356" s="27">
        <f t="shared" si="63"/>
        <v>2.721120166301285E-2</v>
      </c>
      <c r="T1356" s="19">
        <f>VLOOKUP(A1356,[1]Sheet1!$A$2:$Q$1536,16,FALSE)</f>
        <v>9415.0264441686468</v>
      </c>
      <c r="U1356" s="27">
        <f t="shared" si="64"/>
        <v>0.46893404605391914</v>
      </c>
      <c r="V1356" s="19">
        <f>VLOOKUP(A1356,[1]Sheet1!$A$2:$Q$1536,17,FALSE)</f>
        <v>5047.1455078125</v>
      </c>
      <c r="W1356" s="27">
        <f t="shared" si="65"/>
        <v>9.3410240975861005E-3</v>
      </c>
    </row>
    <row r="1357" spans="1:23" x14ac:dyDescent="0.3">
      <c r="A1357" s="4" t="s">
        <v>813</v>
      </c>
      <c r="B1357" s="5">
        <v>2016</v>
      </c>
      <c r="C1357" s="5" t="s">
        <v>559</v>
      </c>
      <c r="D1357" s="15" t="s">
        <v>760</v>
      </c>
      <c r="E1357" s="6">
        <v>124633</v>
      </c>
      <c r="F1357" s="5" t="s">
        <v>32</v>
      </c>
      <c r="G1357" s="5" t="s">
        <v>25</v>
      </c>
      <c r="H1357" s="5" t="s">
        <v>18</v>
      </c>
      <c r="I1357" s="5" t="s">
        <v>17</v>
      </c>
      <c r="J1357" s="7">
        <v>45594</v>
      </c>
      <c r="K1357" s="5" t="s">
        <v>17</v>
      </c>
      <c r="L1357" s="8">
        <v>43612</v>
      </c>
      <c r="M1357" s="19">
        <v>264</v>
      </c>
      <c r="N1357" s="19">
        <v>314</v>
      </c>
      <c r="O1357" s="24">
        <v>1300</v>
      </c>
      <c r="P1357" s="24">
        <v>4100</v>
      </c>
      <c r="Q1357" t="s">
        <v>1983</v>
      </c>
      <c r="R1357" s="19">
        <f>VLOOKUP(A1357,[1]Sheet1!$A$2:$Q$1536,15,FALSE)</f>
        <v>3906.19482421875</v>
      </c>
      <c r="S1357" s="27">
        <f t="shared" si="63"/>
        <v>-4.9614825809414558E-2</v>
      </c>
      <c r="T1357" s="19">
        <f>VLOOKUP(A1357,[1]Sheet1!$A$2:$Q$1536,16,FALSE)</f>
        <v>10052.41654262217</v>
      </c>
      <c r="U1357" s="27">
        <f t="shared" si="64"/>
        <v>0.59213787226026382</v>
      </c>
      <c r="V1357" s="19">
        <f>VLOOKUP(A1357,[1]Sheet1!$A$2:$Q$1536,17,FALSE)</f>
        <v>3809.173095703125</v>
      </c>
      <c r="W1357" s="27">
        <f t="shared" si="65"/>
        <v>-7.6349091256823556E-2</v>
      </c>
    </row>
    <row r="1358" spans="1:23" x14ac:dyDescent="0.3">
      <c r="A1358" s="4" t="s">
        <v>1800</v>
      </c>
      <c r="B1358" s="5">
        <v>2017</v>
      </c>
      <c r="C1358" s="5" t="s">
        <v>1086</v>
      </c>
      <c r="D1358" s="15" t="s">
        <v>1790</v>
      </c>
      <c r="E1358" s="6">
        <v>114417</v>
      </c>
      <c r="F1358" s="5" t="s">
        <v>81</v>
      </c>
      <c r="G1358" s="5" t="s">
        <v>28</v>
      </c>
      <c r="H1358" s="5" t="s">
        <v>17</v>
      </c>
      <c r="I1358" s="5" t="s">
        <v>18</v>
      </c>
      <c r="J1358" s="7">
        <v>45463</v>
      </c>
      <c r="K1358" s="5" t="s">
        <v>17</v>
      </c>
      <c r="L1358" s="8">
        <v>44137</v>
      </c>
      <c r="M1358" s="19">
        <v>280</v>
      </c>
      <c r="N1358" s="19">
        <v>330</v>
      </c>
      <c r="O1358" s="24">
        <v>0</v>
      </c>
      <c r="P1358" s="24">
        <v>12000</v>
      </c>
      <c r="Q1358" t="s">
        <v>1983</v>
      </c>
      <c r="R1358" s="19">
        <f>VLOOKUP(A1358,[1]Sheet1!$A$2:$Q$1536,15,FALSE)</f>
        <v>2611.120361328125</v>
      </c>
      <c r="S1358" s="27">
        <f t="shared" si="63"/>
        <v>-3.595728399856795</v>
      </c>
      <c r="T1358" s="19">
        <f>VLOOKUP(A1358,[1]Sheet1!$A$2:$Q$1536,16,FALSE)</f>
        <v>8739.2494429850594</v>
      </c>
      <c r="U1358" s="27">
        <f t="shared" si="64"/>
        <v>-0.37311562947002552</v>
      </c>
      <c r="V1358" s="19">
        <f>VLOOKUP(A1358,[1]Sheet1!$A$2:$Q$1536,17,FALSE)</f>
        <v>2503.20458984375</v>
      </c>
      <c r="W1358" s="27">
        <f t="shared" si="65"/>
        <v>-3.7938550642994144</v>
      </c>
    </row>
    <row r="1359" spans="1:23" x14ac:dyDescent="0.3">
      <c r="A1359" s="4" t="s">
        <v>1301</v>
      </c>
      <c r="B1359" s="5">
        <v>2018</v>
      </c>
      <c r="C1359" s="5" t="s">
        <v>636</v>
      </c>
      <c r="D1359" s="15" t="s">
        <v>1296</v>
      </c>
      <c r="E1359" s="6">
        <v>51236</v>
      </c>
      <c r="F1359" s="5" t="s">
        <v>101</v>
      </c>
      <c r="G1359" s="5" t="s">
        <v>33</v>
      </c>
      <c r="H1359" s="5" t="s">
        <v>17</v>
      </c>
      <c r="I1359" s="5" t="s">
        <v>18</v>
      </c>
      <c r="J1359" s="7">
        <v>45370</v>
      </c>
      <c r="K1359" s="5" t="s">
        <v>17</v>
      </c>
      <c r="L1359" s="8">
        <v>43612</v>
      </c>
      <c r="M1359" s="19">
        <v>264</v>
      </c>
      <c r="N1359" s="19">
        <v>314</v>
      </c>
      <c r="O1359" s="24">
        <v>12000</v>
      </c>
      <c r="P1359" s="24">
        <v>15800</v>
      </c>
      <c r="Q1359" t="s">
        <v>1983</v>
      </c>
      <c r="R1359" s="19">
        <f>VLOOKUP(A1359,[1]Sheet1!$A$2:$Q$1536,15,FALSE)</f>
        <v>12985.3056640625</v>
      </c>
      <c r="S1359" s="27">
        <f t="shared" si="63"/>
        <v>-0.21675995996977654</v>
      </c>
      <c r="T1359" s="19">
        <f>VLOOKUP(A1359,[1]Sheet1!$A$2:$Q$1536,16,FALSE)</f>
        <v>11977.432208514019</v>
      </c>
      <c r="U1359" s="27">
        <f t="shared" si="64"/>
        <v>-0.31914752051518624</v>
      </c>
      <c r="V1359" s="19">
        <f>VLOOKUP(A1359,[1]Sheet1!$A$2:$Q$1536,17,FALSE)</f>
        <v>12968.212890625</v>
      </c>
      <c r="W1359" s="27">
        <f t="shared" si="65"/>
        <v>-0.21836371235254473</v>
      </c>
    </row>
    <row r="1360" spans="1:23" x14ac:dyDescent="0.3">
      <c r="A1360" s="4" t="s">
        <v>1441</v>
      </c>
      <c r="B1360" s="5">
        <v>2011</v>
      </c>
      <c r="C1360" s="5" t="s">
        <v>1086</v>
      </c>
      <c r="D1360" s="15" t="s">
        <v>1442</v>
      </c>
      <c r="E1360" s="6">
        <v>96607</v>
      </c>
      <c r="F1360" s="5" t="s">
        <v>184</v>
      </c>
      <c r="G1360" s="5" t="s">
        <v>33</v>
      </c>
      <c r="H1360" s="5" t="s">
        <v>17</v>
      </c>
      <c r="I1360" s="5" t="s">
        <v>18</v>
      </c>
      <c r="J1360" s="7">
        <v>45603</v>
      </c>
      <c r="K1360" s="5" t="s">
        <v>17</v>
      </c>
      <c r="L1360" s="8">
        <v>44451</v>
      </c>
      <c r="M1360" s="19">
        <v>264</v>
      </c>
      <c r="N1360" s="19">
        <v>314</v>
      </c>
      <c r="O1360" s="24">
        <v>0</v>
      </c>
      <c r="P1360" s="24">
        <v>2100</v>
      </c>
      <c r="Q1360" t="s">
        <v>1983</v>
      </c>
      <c r="R1360" s="19">
        <f>VLOOKUP(A1360,[1]Sheet1!$A$2:$Q$1536,15,FALSE)</f>
        <v>3447.77880859375</v>
      </c>
      <c r="S1360" s="27">
        <f t="shared" si="63"/>
        <v>0.39091220273016014</v>
      </c>
      <c r="T1360" s="19">
        <f>VLOOKUP(A1360,[1]Sheet1!$A$2:$Q$1536,16,FALSE)</f>
        <v>9722.9064915851395</v>
      </c>
      <c r="U1360" s="27">
        <f t="shared" si="64"/>
        <v>0.78401520144028103</v>
      </c>
      <c r="V1360" s="19">
        <f>VLOOKUP(A1360,[1]Sheet1!$A$2:$Q$1536,17,FALSE)</f>
        <v>3493.63818359375</v>
      </c>
      <c r="W1360" s="27">
        <f t="shared" si="65"/>
        <v>0.39890741695528886</v>
      </c>
    </row>
    <row r="1361" spans="1:23" x14ac:dyDescent="0.3">
      <c r="A1361" s="4" t="s">
        <v>776</v>
      </c>
      <c r="B1361" s="5">
        <v>2018</v>
      </c>
      <c r="C1361" s="5" t="s">
        <v>237</v>
      </c>
      <c r="D1361" s="15" t="s">
        <v>766</v>
      </c>
      <c r="E1361" s="6">
        <v>104490</v>
      </c>
      <c r="F1361" s="5" t="s">
        <v>161</v>
      </c>
      <c r="G1361" s="5" t="s">
        <v>16</v>
      </c>
      <c r="H1361" s="5" t="s">
        <v>17</v>
      </c>
      <c r="I1361" s="5" t="s">
        <v>18</v>
      </c>
      <c r="J1361" s="7">
        <v>45435</v>
      </c>
      <c r="K1361" s="5" t="s">
        <v>17</v>
      </c>
      <c r="L1361" s="8">
        <v>44224</v>
      </c>
      <c r="M1361" s="19">
        <v>235</v>
      </c>
      <c r="N1361" s="19">
        <v>285</v>
      </c>
      <c r="O1361" s="24">
        <v>0</v>
      </c>
      <c r="P1361" s="24">
        <v>10100</v>
      </c>
      <c r="Q1361" t="s">
        <v>1983</v>
      </c>
      <c r="R1361" s="19">
        <f>VLOOKUP(A1361,[1]Sheet1!$A$2:$Q$1536,15,FALSE)</f>
        <v>11441.458984375</v>
      </c>
      <c r="S1361" s="27">
        <f t="shared" si="63"/>
        <v>0.11724544799810585</v>
      </c>
      <c r="T1361" s="19">
        <f>VLOOKUP(A1361,[1]Sheet1!$A$2:$Q$1536,16,FALSE)</f>
        <v>10136.346518109731</v>
      </c>
      <c r="U1361" s="27">
        <f t="shared" si="64"/>
        <v>3.585761205459349E-3</v>
      </c>
      <c r="V1361" s="19">
        <f>VLOOKUP(A1361,[1]Sheet1!$A$2:$Q$1536,17,FALSE)</f>
        <v>11499.353515625</v>
      </c>
      <c r="W1361" s="27">
        <f t="shared" si="65"/>
        <v>0.12168975531742698</v>
      </c>
    </row>
    <row r="1362" spans="1:23" x14ac:dyDescent="0.3">
      <c r="A1362" s="4" t="s">
        <v>1281</v>
      </c>
      <c r="B1362" s="5">
        <v>2017</v>
      </c>
      <c r="C1362" s="5" t="s">
        <v>633</v>
      </c>
      <c r="D1362" s="15" t="s">
        <v>1280</v>
      </c>
      <c r="E1362" s="6">
        <v>107450</v>
      </c>
      <c r="F1362" s="5" t="s">
        <v>64</v>
      </c>
      <c r="G1362" s="5" t="s">
        <v>28</v>
      </c>
      <c r="H1362" s="5" t="s">
        <v>17</v>
      </c>
      <c r="I1362" s="5" t="s">
        <v>18</v>
      </c>
      <c r="J1362" s="7">
        <v>45328</v>
      </c>
      <c r="K1362" s="5" t="s">
        <v>17</v>
      </c>
      <c r="L1362" s="8">
        <v>44483</v>
      </c>
      <c r="M1362" s="19">
        <v>264</v>
      </c>
      <c r="N1362" s="19">
        <v>314</v>
      </c>
      <c r="O1362" s="24">
        <v>10250</v>
      </c>
      <c r="P1362" s="24">
        <v>12400</v>
      </c>
      <c r="Q1362" t="s">
        <v>1983</v>
      </c>
      <c r="R1362" s="19">
        <f>VLOOKUP(A1362,[1]Sheet1!$A$2:$Q$1536,15,FALSE)</f>
        <v>9409.2060546875</v>
      </c>
      <c r="S1362" s="27">
        <f t="shared" si="63"/>
        <v>-0.31785826858606625</v>
      </c>
      <c r="T1362" s="19">
        <f>VLOOKUP(A1362,[1]Sheet1!$A$2:$Q$1536,16,FALSE)</f>
        <v>9289.0401046918923</v>
      </c>
      <c r="U1362" s="27">
        <f t="shared" si="64"/>
        <v>-0.33490649843752557</v>
      </c>
      <c r="V1362" s="19">
        <f>VLOOKUP(A1362,[1]Sheet1!$A$2:$Q$1536,17,FALSE)</f>
        <v>9513.892578125</v>
      </c>
      <c r="W1362" s="27">
        <f t="shared" si="65"/>
        <v>-0.30335715882591924</v>
      </c>
    </row>
    <row r="1363" spans="1:23" x14ac:dyDescent="0.3">
      <c r="A1363" s="4" t="s">
        <v>1532</v>
      </c>
      <c r="B1363" s="5">
        <v>2016</v>
      </c>
      <c r="C1363" s="5" t="s">
        <v>1139</v>
      </c>
      <c r="D1363" s="15" t="s">
        <v>1528</v>
      </c>
      <c r="E1363" s="6">
        <v>134345</v>
      </c>
      <c r="F1363" s="5" t="s">
        <v>184</v>
      </c>
      <c r="G1363" s="5" t="s">
        <v>28</v>
      </c>
      <c r="H1363" s="5" t="s">
        <v>17</v>
      </c>
      <c r="I1363" s="5" t="s">
        <v>18</v>
      </c>
      <c r="J1363" s="7">
        <v>45454</v>
      </c>
      <c r="K1363" s="5" t="s">
        <v>17</v>
      </c>
      <c r="L1363" s="8">
        <v>44113</v>
      </c>
      <c r="M1363" s="19">
        <v>264</v>
      </c>
      <c r="N1363" s="19">
        <v>314</v>
      </c>
      <c r="O1363" s="24">
        <v>8800</v>
      </c>
      <c r="P1363" s="24">
        <v>10800</v>
      </c>
      <c r="Q1363" t="s">
        <v>1983</v>
      </c>
      <c r="R1363" s="19">
        <f>VLOOKUP(A1363,[1]Sheet1!$A$2:$Q$1536,15,FALSE)</f>
        <v>5805.8193359375</v>
      </c>
      <c r="S1363" s="27">
        <f t="shared" si="63"/>
        <v>-0.86020256144537088</v>
      </c>
      <c r="T1363" s="19">
        <f>VLOOKUP(A1363,[1]Sheet1!$A$2:$Q$1536,16,FALSE)</f>
        <v>9889.1035205849003</v>
      </c>
      <c r="U1363" s="27">
        <f t="shared" si="64"/>
        <v>-9.211112792165653E-2</v>
      </c>
      <c r="V1363" s="19">
        <f>VLOOKUP(A1363,[1]Sheet1!$A$2:$Q$1536,17,FALSE)</f>
        <v>5916.62841796875</v>
      </c>
      <c r="W1363" s="27">
        <f t="shared" si="65"/>
        <v>-0.8253639128664042</v>
      </c>
    </row>
    <row r="1364" spans="1:23" x14ac:dyDescent="0.3">
      <c r="A1364" s="4" t="s">
        <v>1329</v>
      </c>
      <c r="B1364" s="5">
        <v>2017</v>
      </c>
      <c r="C1364" s="5" t="s">
        <v>1089</v>
      </c>
      <c r="D1364" s="15" t="s">
        <v>1328</v>
      </c>
      <c r="E1364" s="6">
        <v>103666</v>
      </c>
      <c r="F1364" s="5" t="s">
        <v>81</v>
      </c>
      <c r="G1364" s="5" t="s">
        <v>25</v>
      </c>
      <c r="H1364" s="5" t="s">
        <v>18</v>
      </c>
      <c r="I1364" s="5" t="s">
        <v>17</v>
      </c>
      <c r="J1364" s="7">
        <v>45547</v>
      </c>
      <c r="K1364" s="5" t="s">
        <v>17</v>
      </c>
      <c r="L1364" s="8">
        <v>44113</v>
      </c>
      <c r="M1364" s="19">
        <v>264</v>
      </c>
      <c r="N1364" s="19">
        <v>314</v>
      </c>
      <c r="O1364" s="24">
        <v>2900</v>
      </c>
      <c r="P1364" s="24">
        <v>3400</v>
      </c>
      <c r="Q1364" t="s">
        <v>1983</v>
      </c>
      <c r="R1364" s="19">
        <f>VLOOKUP(A1364,[1]Sheet1!$A$2:$Q$1536,15,FALSE)</f>
        <v>2837.100341796875</v>
      </c>
      <c r="S1364" s="27">
        <f t="shared" si="63"/>
        <v>-0.19840667949256</v>
      </c>
      <c r="T1364" s="19">
        <f>VLOOKUP(A1364,[1]Sheet1!$A$2:$Q$1536,16,FALSE)</f>
        <v>8700.89387422443</v>
      </c>
      <c r="U1364" s="27">
        <f t="shared" si="64"/>
        <v>0.60923555106537086</v>
      </c>
      <c r="V1364" s="19">
        <f>VLOOKUP(A1364,[1]Sheet1!$A$2:$Q$1536,17,FALSE)</f>
        <v>2669.19921875</v>
      </c>
      <c r="W1364" s="27">
        <f t="shared" si="65"/>
        <v>-0.27379027242194304</v>
      </c>
    </row>
    <row r="1365" spans="1:23" x14ac:dyDescent="0.3">
      <c r="A1365" s="4" t="s">
        <v>147</v>
      </c>
      <c r="B1365" s="5">
        <v>2015</v>
      </c>
      <c r="C1365" s="5" t="s">
        <v>96</v>
      </c>
      <c r="D1365" s="15" t="s">
        <v>140</v>
      </c>
      <c r="E1365" s="6">
        <v>119115</v>
      </c>
      <c r="F1365" s="5" t="s">
        <v>73</v>
      </c>
      <c r="G1365" s="5" t="s">
        <v>33</v>
      </c>
      <c r="H1365" s="5" t="s">
        <v>17</v>
      </c>
      <c r="I1365" s="5" t="s">
        <v>18</v>
      </c>
      <c r="J1365" s="7">
        <v>45449</v>
      </c>
      <c r="K1365" s="5" t="s">
        <v>17</v>
      </c>
      <c r="L1365" s="8">
        <v>43935</v>
      </c>
      <c r="M1365" s="19">
        <v>222</v>
      </c>
      <c r="N1365" s="19">
        <v>272</v>
      </c>
      <c r="O1365" s="24">
        <v>0</v>
      </c>
      <c r="P1365" s="24">
        <v>3100</v>
      </c>
      <c r="Q1365" t="s">
        <v>1983</v>
      </c>
      <c r="R1365" s="19">
        <f>VLOOKUP(A1365,[1]Sheet1!$A$2:$Q$1536,15,FALSE)</f>
        <v>3075.113037109375</v>
      </c>
      <c r="S1365" s="27">
        <f t="shared" si="63"/>
        <v>-8.093023765402425E-3</v>
      </c>
      <c r="T1365" s="19">
        <f>VLOOKUP(A1365,[1]Sheet1!$A$2:$Q$1536,16,FALSE)</f>
        <v>9191.1668985480974</v>
      </c>
      <c r="U1365" s="27">
        <f t="shared" si="64"/>
        <v>0.6627196487434367</v>
      </c>
      <c r="V1365" s="19">
        <f>VLOOKUP(A1365,[1]Sheet1!$A$2:$Q$1536,17,FALSE)</f>
        <v>2903.33935546875</v>
      </c>
      <c r="W1365" s="27">
        <f t="shared" si="65"/>
        <v>-6.773601720405803E-2</v>
      </c>
    </row>
    <row r="1366" spans="1:23" x14ac:dyDescent="0.3">
      <c r="A1366" s="4" t="s">
        <v>1576</v>
      </c>
      <c r="B1366" s="5">
        <v>2019</v>
      </c>
      <c r="C1366" s="5" t="s">
        <v>636</v>
      </c>
      <c r="D1366" s="15" t="s">
        <v>1296</v>
      </c>
      <c r="E1366" s="6">
        <v>98868</v>
      </c>
      <c r="F1366" s="5" t="s">
        <v>199</v>
      </c>
      <c r="G1366" s="5" t="s">
        <v>16</v>
      </c>
      <c r="H1366" s="5" t="s">
        <v>17</v>
      </c>
      <c r="I1366" s="5" t="s">
        <v>18</v>
      </c>
      <c r="J1366" s="7">
        <v>45720</v>
      </c>
      <c r="K1366" s="5" t="s">
        <v>17</v>
      </c>
      <c r="L1366" s="8">
        <v>44146</v>
      </c>
      <c r="M1366" s="19">
        <v>235</v>
      </c>
      <c r="N1366" s="19">
        <v>285</v>
      </c>
      <c r="O1366" s="24">
        <v>10300</v>
      </c>
      <c r="P1366" s="24">
        <v>14600</v>
      </c>
      <c r="Q1366" t="s">
        <v>1983</v>
      </c>
      <c r="R1366" s="19">
        <f>VLOOKUP(A1366,[1]Sheet1!$A$2:$Q$1536,15,FALSE)</f>
        <v>8892.927734375</v>
      </c>
      <c r="S1366" s="27">
        <f t="shared" si="63"/>
        <v>-0.64175403602625769</v>
      </c>
      <c r="T1366" s="19">
        <f>VLOOKUP(A1366,[1]Sheet1!$A$2:$Q$1536,16,FALSE)</f>
        <v>9906.597331815341</v>
      </c>
      <c r="U1366" s="27">
        <f t="shared" si="64"/>
        <v>-0.4737653617061483</v>
      </c>
      <c r="V1366" s="19">
        <f>VLOOKUP(A1366,[1]Sheet1!$A$2:$Q$1536,17,FALSE)</f>
        <v>8951.8310546875</v>
      </c>
      <c r="W1366" s="27">
        <f t="shared" si="65"/>
        <v>-0.63095124458977769</v>
      </c>
    </row>
    <row r="1367" spans="1:23" x14ac:dyDescent="0.3">
      <c r="A1367" s="4" t="s">
        <v>1028</v>
      </c>
      <c r="B1367" s="5">
        <v>2011</v>
      </c>
      <c r="C1367" s="5" t="s">
        <v>237</v>
      </c>
      <c r="D1367" s="15" t="s">
        <v>1024</v>
      </c>
      <c r="E1367" s="6">
        <v>87888</v>
      </c>
      <c r="F1367" s="5" t="s">
        <v>47</v>
      </c>
      <c r="G1367" s="5" t="s">
        <v>16</v>
      </c>
      <c r="H1367" s="5" t="s">
        <v>17</v>
      </c>
      <c r="I1367" s="5" t="s">
        <v>18</v>
      </c>
      <c r="J1367" s="7">
        <v>45692</v>
      </c>
      <c r="K1367" s="5" t="s">
        <v>17</v>
      </c>
      <c r="L1367" s="8">
        <v>44067</v>
      </c>
      <c r="M1367" s="19">
        <v>235</v>
      </c>
      <c r="N1367" s="19">
        <v>285</v>
      </c>
      <c r="O1367" s="24">
        <v>3000</v>
      </c>
      <c r="P1367" s="24">
        <v>5085.9154929577498</v>
      </c>
      <c r="Q1367" t="s">
        <v>1983</v>
      </c>
      <c r="R1367" s="19">
        <f>VLOOKUP(A1367,[1]Sheet1!$A$2:$Q$1536,15,FALSE)</f>
        <v>5399.32763671875</v>
      </c>
      <c r="S1367" s="27">
        <f t="shared" si="63"/>
        <v>5.8046513352811697E-2</v>
      </c>
      <c r="T1367" s="19">
        <f>VLOOKUP(A1367,[1]Sheet1!$A$2:$Q$1536,16,FALSE)</f>
        <v>10187.18661635386</v>
      </c>
      <c r="U1367" s="27">
        <f t="shared" si="64"/>
        <v>0.50075367375786117</v>
      </c>
      <c r="V1367" s="19">
        <f>VLOOKUP(A1367,[1]Sheet1!$A$2:$Q$1536,17,FALSE)</f>
        <v>5263.06396484375</v>
      </c>
      <c r="W1367" s="27">
        <f t="shared" si="65"/>
        <v>3.3658810356347123E-2</v>
      </c>
    </row>
    <row r="1368" spans="1:23" x14ac:dyDescent="0.3">
      <c r="A1368" s="4" t="s">
        <v>1052</v>
      </c>
      <c r="B1368" s="5">
        <v>2022</v>
      </c>
      <c r="C1368" s="5" t="s">
        <v>391</v>
      </c>
      <c r="D1368" s="15" t="s">
        <v>582</v>
      </c>
      <c r="E1368" s="6">
        <v>68934</v>
      </c>
      <c r="F1368" s="5" t="s">
        <v>36</v>
      </c>
      <c r="G1368" s="5" t="s">
        <v>33</v>
      </c>
      <c r="H1368" s="5" t="s">
        <v>17</v>
      </c>
      <c r="I1368" s="5" t="s">
        <v>18</v>
      </c>
      <c r="J1368" s="7">
        <v>45538</v>
      </c>
      <c r="K1368" s="5" t="s">
        <v>17</v>
      </c>
      <c r="L1368" s="8">
        <v>44128</v>
      </c>
      <c r="M1368" s="19">
        <v>264</v>
      </c>
      <c r="N1368" s="19">
        <v>314</v>
      </c>
      <c r="O1368" s="24">
        <v>13600</v>
      </c>
      <c r="P1368" s="24">
        <v>22900</v>
      </c>
      <c r="Q1368" t="s">
        <v>1983</v>
      </c>
      <c r="R1368" s="19">
        <f>VLOOKUP(A1368,[1]Sheet1!$A$2:$Q$1536,15,FALSE)</f>
        <v>11840.3271484375</v>
      </c>
      <c r="S1368" s="27">
        <f t="shared" si="63"/>
        <v>-0.93406818180880935</v>
      </c>
      <c r="T1368" s="19">
        <f>VLOOKUP(A1368,[1]Sheet1!$A$2:$Q$1536,16,FALSE)</f>
        <v>12362.643747380729</v>
      </c>
      <c r="U1368" s="27">
        <f t="shared" si="64"/>
        <v>-0.85235459889813769</v>
      </c>
      <c r="V1368" s="19">
        <f>VLOOKUP(A1368,[1]Sheet1!$A$2:$Q$1536,17,FALSE)</f>
        <v>11599.2109375</v>
      </c>
      <c r="W1368" s="27">
        <f t="shared" si="65"/>
        <v>-0.97427222622228482</v>
      </c>
    </row>
    <row r="1369" spans="1:23" x14ac:dyDescent="0.3">
      <c r="A1369" s="4" t="s">
        <v>1478</v>
      </c>
      <c r="B1369" s="5">
        <v>2018</v>
      </c>
      <c r="C1369" s="5" t="s">
        <v>920</v>
      </c>
      <c r="D1369" s="15" t="s">
        <v>921</v>
      </c>
      <c r="E1369" s="6">
        <v>152737</v>
      </c>
      <c r="F1369" s="5" t="s">
        <v>79</v>
      </c>
      <c r="G1369" s="5" t="s">
        <v>33</v>
      </c>
      <c r="H1369" s="5" t="s">
        <v>17</v>
      </c>
      <c r="I1369" s="5" t="s">
        <v>18</v>
      </c>
      <c r="J1369" s="7">
        <v>45463</v>
      </c>
      <c r="K1369" s="5" t="s">
        <v>17</v>
      </c>
      <c r="L1369" s="8">
        <v>44307</v>
      </c>
      <c r="M1369" s="19">
        <v>235</v>
      </c>
      <c r="N1369" s="19">
        <v>285</v>
      </c>
      <c r="O1369" s="24">
        <v>6000</v>
      </c>
      <c r="P1369" s="24">
        <v>13000</v>
      </c>
      <c r="Q1369" t="s">
        <v>1983</v>
      </c>
      <c r="R1369" s="19">
        <f>VLOOKUP(A1369,[1]Sheet1!$A$2:$Q$1536,15,FALSE)</f>
        <v>3909.191650390625</v>
      </c>
      <c r="S1369" s="27">
        <f t="shared" si="63"/>
        <v>-2.325495693899013</v>
      </c>
      <c r="T1369" s="19">
        <f>VLOOKUP(A1369,[1]Sheet1!$A$2:$Q$1536,16,FALSE)</f>
        <v>9454.4925063241153</v>
      </c>
      <c r="U1369" s="27">
        <f t="shared" si="64"/>
        <v>-0.37500770044550702</v>
      </c>
      <c r="V1369" s="19">
        <f>VLOOKUP(A1369,[1]Sheet1!$A$2:$Q$1536,17,FALSE)</f>
        <v>4033.81982421875</v>
      </c>
      <c r="W1369" s="27">
        <f t="shared" si="65"/>
        <v>-2.2227517753641304</v>
      </c>
    </row>
    <row r="1370" spans="1:23" x14ac:dyDescent="0.3">
      <c r="A1370" s="4" t="s">
        <v>786</v>
      </c>
      <c r="B1370" s="5">
        <v>2012</v>
      </c>
      <c r="C1370" s="5" t="s">
        <v>391</v>
      </c>
      <c r="D1370" s="15" t="s">
        <v>429</v>
      </c>
      <c r="E1370" s="6">
        <v>110585</v>
      </c>
      <c r="F1370" s="5" t="s">
        <v>81</v>
      </c>
      <c r="G1370" s="5" t="s">
        <v>25</v>
      </c>
      <c r="H1370" s="5" t="s">
        <v>18</v>
      </c>
      <c r="I1370" s="5" t="s">
        <v>17</v>
      </c>
      <c r="J1370" s="7">
        <v>45454</v>
      </c>
      <c r="K1370" s="5" t="s">
        <v>17</v>
      </c>
      <c r="L1370" s="8">
        <v>43935</v>
      </c>
      <c r="M1370" s="19">
        <v>222</v>
      </c>
      <c r="N1370" s="19">
        <v>272</v>
      </c>
      <c r="O1370" s="24">
        <v>6200</v>
      </c>
      <c r="P1370" s="24">
        <v>10000</v>
      </c>
      <c r="Q1370" t="s">
        <v>1983</v>
      </c>
      <c r="R1370" s="19">
        <f>VLOOKUP(A1370,[1]Sheet1!$A$2:$Q$1536,15,FALSE)</f>
        <v>2533.16357421875</v>
      </c>
      <c r="S1370" s="27">
        <f t="shared" si="63"/>
        <v>-2.9476329526347653</v>
      </c>
      <c r="T1370" s="19">
        <f>VLOOKUP(A1370,[1]Sheet1!$A$2:$Q$1536,16,FALSE)</f>
        <v>9464.6078593731709</v>
      </c>
      <c r="U1370" s="27">
        <f t="shared" si="64"/>
        <v>-5.65678101598905E-2</v>
      </c>
      <c r="V1370" s="19">
        <f>VLOOKUP(A1370,[1]Sheet1!$A$2:$Q$1536,17,FALSE)</f>
        <v>2422.48779296875</v>
      </c>
      <c r="W1370" s="27">
        <f t="shared" si="65"/>
        <v>-3.1279877772861906</v>
      </c>
    </row>
    <row r="1371" spans="1:23" x14ac:dyDescent="0.3">
      <c r="A1371" s="4" t="s">
        <v>1421</v>
      </c>
      <c r="B1371" s="5">
        <v>2017</v>
      </c>
      <c r="C1371" s="5" t="s">
        <v>1086</v>
      </c>
      <c r="D1371" s="15" t="s">
        <v>1411</v>
      </c>
      <c r="E1371" s="6">
        <v>96196</v>
      </c>
      <c r="F1371" s="5" t="s">
        <v>32</v>
      </c>
      <c r="G1371" s="5" t="s">
        <v>25</v>
      </c>
      <c r="H1371" s="5" t="s">
        <v>18</v>
      </c>
      <c r="I1371" s="5" t="s">
        <v>17</v>
      </c>
      <c r="J1371" s="7">
        <v>45398</v>
      </c>
      <c r="K1371" s="5" t="s">
        <v>17</v>
      </c>
      <c r="L1371" s="8">
        <v>44113</v>
      </c>
      <c r="M1371" s="19">
        <v>264</v>
      </c>
      <c r="N1371" s="19">
        <v>314</v>
      </c>
      <c r="O1371" s="24">
        <v>2500</v>
      </c>
      <c r="P1371" s="24">
        <v>12700</v>
      </c>
      <c r="Q1371" t="s">
        <v>1983</v>
      </c>
      <c r="R1371" s="19">
        <f>VLOOKUP(A1371,[1]Sheet1!$A$2:$Q$1536,15,FALSE)</f>
        <v>2955.760498046875</v>
      </c>
      <c r="S1371" s="27">
        <f t="shared" si="63"/>
        <v>-3.2966945421971712</v>
      </c>
      <c r="T1371" s="19">
        <f>VLOOKUP(A1371,[1]Sheet1!$A$2:$Q$1536,16,FALSE)</f>
        <v>8777.8260545060566</v>
      </c>
      <c r="U1371" s="27">
        <f t="shared" si="64"/>
        <v>-0.44682748565979086</v>
      </c>
      <c r="V1371" s="19">
        <f>VLOOKUP(A1371,[1]Sheet1!$A$2:$Q$1536,17,FALSE)</f>
        <v>2786.861328125</v>
      </c>
      <c r="W1371" s="27">
        <f t="shared" si="65"/>
        <v>-3.5570979337334157</v>
      </c>
    </row>
    <row r="1372" spans="1:23" x14ac:dyDescent="0.3">
      <c r="A1372" s="4" t="s">
        <v>1616</v>
      </c>
      <c r="B1372" s="5">
        <v>2017</v>
      </c>
      <c r="C1372" s="5" t="s">
        <v>519</v>
      </c>
      <c r="D1372" s="15" t="s">
        <v>1607</v>
      </c>
      <c r="E1372" s="6">
        <v>83391</v>
      </c>
      <c r="F1372" s="5" t="s">
        <v>77</v>
      </c>
      <c r="G1372" s="5" t="s">
        <v>28</v>
      </c>
      <c r="H1372" s="5" t="s">
        <v>17</v>
      </c>
      <c r="I1372" s="5" t="s">
        <v>18</v>
      </c>
      <c r="J1372" s="7">
        <v>45720</v>
      </c>
      <c r="K1372" s="5" t="s">
        <v>17</v>
      </c>
      <c r="L1372" s="8">
        <v>43608</v>
      </c>
      <c r="M1372" s="19">
        <v>264</v>
      </c>
      <c r="N1372" s="19">
        <v>314</v>
      </c>
      <c r="O1372" s="24">
        <v>8300</v>
      </c>
      <c r="P1372" s="24">
        <v>8800</v>
      </c>
      <c r="Q1372" t="s">
        <v>1983</v>
      </c>
      <c r="R1372" s="19">
        <f>VLOOKUP(A1372,[1]Sheet1!$A$2:$Q$1536,15,FALSE)</f>
        <v>8545.4951171875</v>
      </c>
      <c r="S1372" s="27">
        <f t="shared" si="63"/>
        <v>-2.9782344887262991E-2</v>
      </c>
      <c r="T1372" s="19">
        <f>VLOOKUP(A1372,[1]Sheet1!$A$2:$Q$1536,16,FALSE)</f>
        <v>9323.5376117087926</v>
      </c>
      <c r="U1372" s="27">
        <f t="shared" si="64"/>
        <v>5.6152249662329623E-2</v>
      </c>
      <c r="V1372" s="19">
        <f>VLOOKUP(A1372,[1]Sheet1!$A$2:$Q$1536,17,FALSE)</f>
        <v>8648.2099609375</v>
      </c>
      <c r="W1372" s="27">
        <f t="shared" si="65"/>
        <v>-1.7551613541774529E-2</v>
      </c>
    </row>
    <row r="1373" spans="1:23" x14ac:dyDescent="0.3">
      <c r="A1373" s="4" t="s">
        <v>672</v>
      </c>
      <c r="B1373" s="5">
        <v>2020</v>
      </c>
      <c r="C1373" s="5" t="s">
        <v>636</v>
      </c>
      <c r="D1373" s="15" t="s">
        <v>673</v>
      </c>
      <c r="E1373" s="6">
        <v>101449</v>
      </c>
      <c r="F1373" s="5" t="s">
        <v>92</v>
      </c>
      <c r="G1373" s="5" t="s">
        <v>33</v>
      </c>
      <c r="H1373" s="5" t="s">
        <v>17</v>
      </c>
      <c r="I1373" s="5" t="s">
        <v>18</v>
      </c>
      <c r="J1373" s="7">
        <v>45596</v>
      </c>
      <c r="K1373" s="5" t="s">
        <v>17</v>
      </c>
      <c r="L1373" s="8">
        <v>44451</v>
      </c>
      <c r="M1373" s="19">
        <v>264</v>
      </c>
      <c r="N1373" s="19">
        <v>314</v>
      </c>
      <c r="O1373" s="24">
        <v>0</v>
      </c>
      <c r="P1373" s="24">
        <v>9200</v>
      </c>
      <c r="Q1373" t="s">
        <v>1983</v>
      </c>
      <c r="R1373" s="19">
        <f>VLOOKUP(A1373,[1]Sheet1!$A$2:$Q$1536,15,FALSE)</f>
        <v>7312.93798828125</v>
      </c>
      <c r="S1373" s="27">
        <f t="shared" si="63"/>
        <v>-0.25804430650754961</v>
      </c>
      <c r="T1373" s="19">
        <f>VLOOKUP(A1373,[1]Sheet1!$A$2:$Q$1536,16,FALSE)</f>
        <v>11157.217545955789</v>
      </c>
      <c r="U1373" s="27">
        <f t="shared" si="64"/>
        <v>0.17542165310429314</v>
      </c>
      <c r="V1373" s="19">
        <f>VLOOKUP(A1373,[1]Sheet1!$A$2:$Q$1536,17,FALSE)</f>
        <v>6935.06494140625</v>
      </c>
      <c r="W1373" s="27">
        <f t="shared" si="65"/>
        <v>-0.3265917590866107</v>
      </c>
    </row>
    <row r="1374" spans="1:23" x14ac:dyDescent="0.3">
      <c r="A1374" s="4" t="s">
        <v>1092</v>
      </c>
      <c r="B1374" s="5">
        <v>2021</v>
      </c>
      <c r="C1374" s="5" t="s">
        <v>1086</v>
      </c>
      <c r="D1374" s="15" t="s">
        <v>1093</v>
      </c>
      <c r="E1374" s="6">
        <v>139358</v>
      </c>
      <c r="F1374" s="5" t="s">
        <v>170</v>
      </c>
      <c r="G1374" s="5" t="s">
        <v>22</v>
      </c>
      <c r="H1374" s="5" t="s">
        <v>18</v>
      </c>
      <c r="I1374" s="5" t="s">
        <v>17</v>
      </c>
      <c r="J1374" s="7">
        <v>45715</v>
      </c>
      <c r="K1374" s="5" t="s">
        <v>17</v>
      </c>
      <c r="L1374" s="8">
        <v>44310</v>
      </c>
      <c r="M1374" s="19">
        <v>235</v>
      </c>
      <c r="N1374" s="19">
        <v>285</v>
      </c>
      <c r="O1374" s="24">
        <v>3900</v>
      </c>
      <c r="P1374" s="24">
        <v>13800</v>
      </c>
      <c r="Q1374" t="s">
        <v>1983</v>
      </c>
      <c r="R1374" s="19">
        <f>VLOOKUP(A1374,[1]Sheet1!$A$2:$Q$1536,15,FALSE)</f>
        <v>7629.390625</v>
      </c>
      <c r="S1374" s="27">
        <f t="shared" si="63"/>
        <v>-0.80879452610279734</v>
      </c>
      <c r="T1374" s="19">
        <f>VLOOKUP(A1374,[1]Sheet1!$A$2:$Q$1536,16,FALSE)</f>
        <v>11525.11786604219</v>
      </c>
      <c r="U1374" s="27">
        <f t="shared" si="64"/>
        <v>-0.19738471748393677</v>
      </c>
      <c r="V1374" s="19">
        <f>VLOOKUP(A1374,[1]Sheet1!$A$2:$Q$1536,17,FALSE)</f>
        <v>7132.66064453125</v>
      </c>
      <c r="W1374" s="27">
        <f t="shared" si="65"/>
        <v>-0.93476189149426714</v>
      </c>
    </row>
    <row r="1375" spans="1:23" x14ac:dyDescent="0.3">
      <c r="A1375" s="4" t="s">
        <v>1350</v>
      </c>
      <c r="B1375" s="5">
        <v>2020</v>
      </c>
      <c r="C1375" s="5" t="s">
        <v>1089</v>
      </c>
      <c r="D1375" s="15" t="s">
        <v>1328</v>
      </c>
      <c r="E1375" s="6">
        <v>97995</v>
      </c>
      <c r="F1375" s="5" t="s">
        <v>73</v>
      </c>
      <c r="G1375" s="5" t="s">
        <v>33</v>
      </c>
      <c r="H1375" s="5" t="s">
        <v>17</v>
      </c>
      <c r="I1375" s="5" t="s">
        <v>18</v>
      </c>
      <c r="J1375" s="7">
        <v>45666</v>
      </c>
      <c r="K1375" s="5" t="s">
        <v>17</v>
      </c>
      <c r="L1375" s="8">
        <v>43605</v>
      </c>
      <c r="M1375" s="19">
        <v>264</v>
      </c>
      <c r="N1375" s="19">
        <v>314</v>
      </c>
      <c r="O1375" s="24">
        <v>5000</v>
      </c>
      <c r="P1375" s="24">
        <v>8800</v>
      </c>
      <c r="Q1375" t="s">
        <v>1983</v>
      </c>
      <c r="R1375" s="19">
        <f>VLOOKUP(A1375,[1]Sheet1!$A$2:$Q$1536,15,FALSE)</f>
        <v>4231.2451171875</v>
      </c>
      <c r="S1375" s="27">
        <f t="shared" si="63"/>
        <v>-1.0797660632455492</v>
      </c>
      <c r="T1375" s="19">
        <f>VLOOKUP(A1375,[1]Sheet1!$A$2:$Q$1536,16,FALSE)</f>
        <v>10095.639499814761</v>
      </c>
      <c r="U1375" s="27">
        <f t="shared" si="64"/>
        <v>0.12833654567781799</v>
      </c>
      <c r="V1375" s="19">
        <f>VLOOKUP(A1375,[1]Sheet1!$A$2:$Q$1536,17,FALSE)</f>
        <v>4090.842041015625</v>
      </c>
      <c r="W1375" s="27">
        <f t="shared" si="65"/>
        <v>-1.1511463683440688</v>
      </c>
    </row>
    <row r="1376" spans="1:23" x14ac:dyDescent="0.3">
      <c r="A1376" s="4" t="s">
        <v>1131</v>
      </c>
      <c r="B1376" s="5">
        <v>2010</v>
      </c>
      <c r="C1376" s="5" t="s">
        <v>633</v>
      </c>
      <c r="D1376" s="15" t="s">
        <v>1119</v>
      </c>
      <c r="E1376" s="6">
        <v>100775</v>
      </c>
      <c r="F1376" s="5" t="s">
        <v>42</v>
      </c>
      <c r="G1376" s="5" t="s">
        <v>33</v>
      </c>
      <c r="H1376" s="5" t="s">
        <v>17</v>
      </c>
      <c r="I1376" s="5" t="s">
        <v>18</v>
      </c>
      <c r="J1376" s="7">
        <v>45398</v>
      </c>
      <c r="K1376" s="5" t="s">
        <v>17</v>
      </c>
      <c r="L1376" s="8">
        <v>43608</v>
      </c>
      <c r="M1376" s="19">
        <v>264</v>
      </c>
      <c r="N1376" s="19">
        <v>314</v>
      </c>
      <c r="O1376" s="24">
        <v>3300</v>
      </c>
      <c r="P1376" s="24">
        <v>6429.8701298701299</v>
      </c>
      <c r="Q1376" t="s">
        <v>1983</v>
      </c>
      <c r="R1376" s="19">
        <f>VLOOKUP(A1376,[1]Sheet1!$A$2:$Q$1536,15,FALSE)</f>
        <v>2810.704833984375</v>
      </c>
      <c r="S1376" s="27">
        <f t="shared" si="63"/>
        <v>-1.2876362014702658</v>
      </c>
      <c r="T1376" s="19">
        <f>VLOOKUP(A1376,[1]Sheet1!$A$2:$Q$1536,16,FALSE)</f>
        <v>8847.5065706287842</v>
      </c>
      <c r="U1376" s="27">
        <f t="shared" si="64"/>
        <v>0.2732562469955685</v>
      </c>
      <c r="V1376" s="19">
        <f>VLOOKUP(A1376,[1]Sheet1!$A$2:$Q$1536,17,FALSE)</f>
        <v>2601.28369140625</v>
      </c>
      <c r="W1376" s="27">
        <f t="shared" si="65"/>
        <v>-1.4718065742357196</v>
      </c>
    </row>
    <row r="1377" spans="1:23" x14ac:dyDescent="0.3">
      <c r="A1377" s="4" t="s">
        <v>681</v>
      </c>
      <c r="B1377" s="5">
        <v>2017</v>
      </c>
      <c r="C1377" s="5" t="s">
        <v>636</v>
      </c>
      <c r="D1377" s="15" t="s">
        <v>682</v>
      </c>
      <c r="E1377" s="6">
        <v>83153</v>
      </c>
      <c r="F1377" s="5" t="s">
        <v>73</v>
      </c>
      <c r="G1377" s="5" t="s">
        <v>33</v>
      </c>
      <c r="H1377" s="5" t="s">
        <v>17</v>
      </c>
      <c r="I1377" s="5" t="s">
        <v>18</v>
      </c>
      <c r="J1377" s="7">
        <v>45580</v>
      </c>
      <c r="K1377" s="5" t="s">
        <v>17</v>
      </c>
      <c r="L1377" s="8">
        <v>44035</v>
      </c>
      <c r="M1377" s="19">
        <v>222</v>
      </c>
      <c r="N1377" s="19">
        <v>272</v>
      </c>
      <c r="O1377" s="24">
        <v>7000</v>
      </c>
      <c r="P1377" s="24">
        <v>17500</v>
      </c>
      <c r="Q1377" t="s">
        <v>1983</v>
      </c>
      <c r="R1377" s="19">
        <f>VLOOKUP(A1377,[1]Sheet1!$A$2:$Q$1536,15,FALSE)</f>
        <v>4326.478515625</v>
      </c>
      <c r="S1377" s="27">
        <f t="shared" si="63"/>
        <v>-3.0448600257227816</v>
      </c>
      <c r="T1377" s="19">
        <f>VLOOKUP(A1377,[1]Sheet1!$A$2:$Q$1536,16,FALSE)</f>
        <v>9129.3805677232995</v>
      </c>
      <c r="U1377" s="27">
        <f t="shared" si="64"/>
        <v>-0.91688799367952956</v>
      </c>
      <c r="V1377" s="19">
        <f>VLOOKUP(A1377,[1]Sheet1!$A$2:$Q$1536,17,FALSE)</f>
        <v>4268.8701171875</v>
      </c>
      <c r="W1377" s="27">
        <f t="shared" si="65"/>
        <v>-3.0994454081750535</v>
      </c>
    </row>
    <row r="1378" spans="1:23" x14ac:dyDescent="0.3">
      <c r="A1378" s="4" t="s">
        <v>953</v>
      </c>
      <c r="B1378" s="5">
        <v>2021</v>
      </c>
      <c r="C1378" s="5" t="s">
        <v>96</v>
      </c>
      <c r="D1378" s="15" t="s">
        <v>107</v>
      </c>
      <c r="E1378" s="6">
        <v>24597</v>
      </c>
      <c r="F1378" s="5" t="s">
        <v>101</v>
      </c>
      <c r="G1378" s="5" t="s">
        <v>16</v>
      </c>
      <c r="H1378" s="5" t="s">
        <v>17</v>
      </c>
      <c r="I1378" s="5" t="s">
        <v>18</v>
      </c>
      <c r="J1378" s="7">
        <v>45734</v>
      </c>
      <c r="K1378" s="5" t="s">
        <v>17</v>
      </c>
      <c r="L1378" s="8">
        <v>44028</v>
      </c>
      <c r="M1378" s="19">
        <v>235</v>
      </c>
      <c r="N1378" s="19">
        <v>285</v>
      </c>
      <c r="O1378" s="24">
        <v>0</v>
      </c>
      <c r="P1378" s="24">
        <v>19400</v>
      </c>
      <c r="Q1378" t="s">
        <v>1983</v>
      </c>
      <c r="R1378" s="19">
        <f>VLOOKUP(A1378,[1]Sheet1!$A$2:$Q$1536,15,FALSE)</f>
        <v>19607.658203125</v>
      </c>
      <c r="S1378" s="27">
        <f t="shared" si="63"/>
        <v>1.0590668246751882E-2</v>
      </c>
      <c r="T1378" s="19">
        <f>VLOOKUP(A1378,[1]Sheet1!$A$2:$Q$1536,16,FALSE)</f>
        <v>14961.049556099621</v>
      </c>
      <c r="U1378" s="27">
        <f t="shared" si="64"/>
        <v>-0.29670047059570226</v>
      </c>
      <c r="V1378" s="19">
        <f>VLOOKUP(A1378,[1]Sheet1!$A$2:$Q$1536,17,FALSE)</f>
        <v>19572.8359375</v>
      </c>
      <c r="W1378" s="27">
        <f t="shared" si="65"/>
        <v>8.8303983159057735E-3</v>
      </c>
    </row>
    <row r="1379" spans="1:23" x14ac:dyDescent="0.3">
      <c r="A1379" s="4" t="s">
        <v>639</v>
      </c>
      <c r="B1379" s="5">
        <v>2016</v>
      </c>
      <c r="C1379" s="5" t="s">
        <v>636</v>
      </c>
      <c r="D1379" s="15" t="s">
        <v>637</v>
      </c>
      <c r="E1379" s="6">
        <v>131829</v>
      </c>
      <c r="F1379" s="5" t="s">
        <v>79</v>
      </c>
      <c r="G1379" s="5" t="s">
        <v>22</v>
      </c>
      <c r="H1379" s="5" t="s">
        <v>18</v>
      </c>
      <c r="I1379" s="5" t="s">
        <v>17</v>
      </c>
      <c r="J1379" s="7">
        <v>45435</v>
      </c>
      <c r="K1379" s="5" t="s">
        <v>17</v>
      </c>
      <c r="L1379" s="8">
        <v>44128</v>
      </c>
      <c r="M1379" s="19">
        <v>264</v>
      </c>
      <c r="N1379" s="19">
        <v>314</v>
      </c>
      <c r="O1379" s="24">
        <v>4200</v>
      </c>
      <c r="P1379" s="24">
        <v>13000</v>
      </c>
      <c r="Q1379" t="s">
        <v>1983</v>
      </c>
      <c r="R1379" s="19">
        <f>VLOOKUP(A1379,[1]Sheet1!$A$2:$Q$1536,15,FALSE)</f>
        <v>2220.401123046875</v>
      </c>
      <c r="S1379" s="27">
        <f t="shared" si="63"/>
        <v>-4.8547979754942485</v>
      </c>
      <c r="T1379" s="19">
        <f>VLOOKUP(A1379,[1]Sheet1!$A$2:$Q$1536,16,FALSE)</f>
        <v>8839.083978825367</v>
      </c>
      <c r="U1379" s="27">
        <f t="shared" si="64"/>
        <v>-0.47074063682870232</v>
      </c>
      <c r="V1379" s="19">
        <f>VLOOKUP(A1379,[1]Sheet1!$A$2:$Q$1536,17,FALSE)</f>
        <v>2103.21630859375</v>
      </c>
      <c r="W1379" s="27">
        <f t="shared" si="65"/>
        <v>-5.1810095076202813</v>
      </c>
    </row>
    <row r="1380" spans="1:23" x14ac:dyDescent="0.3">
      <c r="A1380" s="4" t="s">
        <v>1962</v>
      </c>
      <c r="B1380" s="5">
        <v>2017</v>
      </c>
      <c r="C1380" s="5" t="s">
        <v>96</v>
      </c>
      <c r="D1380" s="15" t="s">
        <v>1951</v>
      </c>
      <c r="E1380" s="6">
        <v>122814</v>
      </c>
      <c r="F1380" s="5" t="s">
        <v>57</v>
      </c>
      <c r="G1380" s="5" t="s">
        <v>33</v>
      </c>
      <c r="H1380" s="5" t="s">
        <v>17</v>
      </c>
      <c r="I1380" s="5" t="s">
        <v>18</v>
      </c>
      <c r="J1380" s="7">
        <v>45426</v>
      </c>
      <c r="K1380" s="5" t="s">
        <v>17</v>
      </c>
      <c r="L1380" s="8">
        <v>44310</v>
      </c>
      <c r="M1380" s="19">
        <v>235</v>
      </c>
      <c r="N1380" s="19">
        <v>285</v>
      </c>
      <c r="O1380" s="24">
        <v>4000</v>
      </c>
      <c r="P1380" s="24">
        <v>12600</v>
      </c>
      <c r="Q1380" t="s">
        <v>1983</v>
      </c>
      <c r="R1380" s="19">
        <f>VLOOKUP(A1380,[1]Sheet1!$A$2:$Q$1536,15,FALSE)</f>
        <v>4094.371337890625</v>
      </c>
      <c r="S1380" s="27">
        <f t="shared" si="63"/>
        <v>-2.0773955169614347</v>
      </c>
      <c r="T1380" s="19">
        <f>VLOOKUP(A1380,[1]Sheet1!$A$2:$Q$1536,16,FALSE)</f>
        <v>9100.4217080466933</v>
      </c>
      <c r="U1380" s="27">
        <f t="shared" si="64"/>
        <v>-0.38455122237455663</v>
      </c>
      <c r="V1380" s="19">
        <f>VLOOKUP(A1380,[1]Sheet1!$A$2:$Q$1536,17,FALSE)</f>
        <v>4002.080078125</v>
      </c>
      <c r="W1380" s="27">
        <f t="shared" si="65"/>
        <v>-2.148362789857813</v>
      </c>
    </row>
    <row r="1381" spans="1:23" x14ac:dyDescent="0.3">
      <c r="A1381" s="4" t="s">
        <v>1176</v>
      </c>
      <c r="B1381" s="5">
        <v>2020</v>
      </c>
      <c r="C1381" s="5" t="s">
        <v>1177</v>
      </c>
      <c r="D1381" s="15" t="s">
        <v>1178</v>
      </c>
      <c r="E1381" s="6">
        <v>63344</v>
      </c>
      <c r="F1381" s="5" t="s">
        <v>125</v>
      </c>
      <c r="G1381" s="5" t="s">
        <v>16</v>
      </c>
      <c r="H1381" s="5" t="s">
        <v>17</v>
      </c>
      <c r="I1381" s="5" t="s">
        <v>18</v>
      </c>
      <c r="J1381" s="7">
        <v>45426</v>
      </c>
      <c r="K1381" s="5" t="s">
        <v>17</v>
      </c>
      <c r="L1381" s="8">
        <v>44451</v>
      </c>
      <c r="M1381" s="19">
        <v>264</v>
      </c>
      <c r="N1381" s="19">
        <v>314</v>
      </c>
      <c r="O1381" s="24">
        <v>19500</v>
      </c>
      <c r="P1381" s="24">
        <v>25500</v>
      </c>
      <c r="Q1381" t="s">
        <v>1983</v>
      </c>
      <c r="R1381" s="19">
        <f>VLOOKUP(A1381,[1]Sheet1!$A$2:$Q$1536,15,FALSE)</f>
        <v>16499.408203125</v>
      </c>
      <c r="S1381" s="27">
        <f t="shared" si="63"/>
        <v>-0.54550997745302654</v>
      </c>
      <c r="T1381" s="19">
        <f>VLOOKUP(A1381,[1]Sheet1!$A$2:$Q$1536,16,FALSE)</f>
        <v>13230.595288646689</v>
      </c>
      <c r="U1381" s="27">
        <f t="shared" si="64"/>
        <v>-0.92735091986993312</v>
      </c>
      <c r="V1381" s="19">
        <f>VLOOKUP(A1381,[1]Sheet1!$A$2:$Q$1536,17,FALSE)</f>
        <v>16390.978515625</v>
      </c>
      <c r="W1381" s="27">
        <f t="shared" si="65"/>
        <v>-0.55573384320476404</v>
      </c>
    </row>
    <row r="1382" spans="1:23" x14ac:dyDescent="0.3">
      <c r="A1382" s="4" t="s">
        <v>1150</v>
      </c>
      <c r="B1382" s="5">
        <v>2017</v>
      </c>
      <c r="C1382" s="5" t="s">
        <v>636</v>
      </c>
      <c r="D1382" s="15" t="s">
        <v>1142</v>
      </c>
      <c r="E1382" s="6">
        <v>119818</v>
      </c>
      <c r="F1382" s="5" t="s">
        <v>81</v>
      </c>
      <c r="G1382" s="5" t="s">
        <v>25</v>
      </c>
      <c r="H1382" s="5" t="s">
        <v>18</v>
      </c>
      <c r="I1382" s="5" t="s">
        <v>17</v>
      </c>
      <c r="J1382" s="7">
        <v>45309</v>
      </c>
      <c r="K1382" s="5" t="s">
        <v>17</v>
      </c>
      <c r="L1382" s="8">
        <v>44707</v>
      </c>
      <c r="M1382" s="19">
        <v>222</v>
      </c>
      <c r="N1382" s="19">
        <v>272</v>
      </c>
      <c r="O1382" s="24">
        <v>2400</v>
      </c>
      <c r="P1382" s="24">
        <v>4000</v>
      </c>
      <c r="Q1382" t="s">
        <v>1983</v>
      </c>
      <c r="R1382" s="19">
        <f>VLOOKUP(A1382,[1]Sheet1!$A$2:$Q$1536,15,FALSE)</f>
        <v>3376.096923828125</v>
      </c>
      <c r="S1382" s="27">
        <f t="shared" si="63"/>
        <v>-0.18480010800887703</v>
      </c>
      <c r="T1382" s="19">
        <f>VLOOKUP(A1382,[1]Sheet1!$A$2:$Q$1536,16,FALSE)</f>
        <v>8718.2619345162475</v>
      </c>
      <c r="U1382" s="27">
        <f t="shared" si="64"/>
        <v>0.54119295450808813</v>
      </c>
      <c r="V1382" s="19">
        <f>VLOOKUP(A1382,[1]Sheet1!$A$2:$Q$1536,17,FALSE)</f>
        <v>3296.892578125</v>
      </c>
      <c r="W1382" s="27">
        <f t="shared" si="65"/>
        <v>-0.21326367335719182</v>
      </c>
    </row>
    <row r="1383" spans="1:23" x14ac:dyDescent="0.3">
      <c r="A1383" s="4" t="s">
        <v>527</v>
      </c>
      <c r="B1383" s="5">
        <v>2010</v>
      </c>
      <c r="C1383" s="5" t="s">
        <v>519</v>
      </c>
      <c r="D1383" s="15" t="s">
        <v>524</v>
      </c>
      <c r="E1383" s="6">
        <v>127809</v>
      </c>
      <c r="F1383" s="5" t="s">
        <v>87</v>
      </c>
      <c r="G1383" s="5" t="s">
        <v>33</v>
      </c>
      <c r="H1383" s="5" t="s">
        <v>17</v>
      </c>
      <c r="I1383" s="5" t="s">
        <v>18</v>
      </c>
      <c r="J1383" s="7">
        <v>45470</v>
      </c>
      <c r="K1383" s="5" t="s">
        <v>17</v>
      </c>
      <c r="L1383" s="8">
        <v>44135</v>
      </c>
      <c r="M1383" s="19">
        <v>235</v>
      </c>
      <c r="N1383" s="19">
        <v>285</v>
      </c>
      <c r="O1383" s="24">
        <v>0</v>
      </c>
      <c r="P1383" s="24">
        <v>3400</v>
      </c>
      <c r="Q1383" t="s">
        <v>1983</v>
      </c>
      <c r="R1383" s="19">
        <f>VLOOKUP(A1383,[1]Sheet1!$A$2:$Q$1536,15,FALSE)</f>
        <v>1119.336791992188</v>
      </c>
      <c r="S1383" s="27">
        <f t="shared" si="63"/>
        <v>-2.0375129490282395</v>
      </c>
      <c r="T1383" s="19">
        <f>VLOOKUP(A1383,[1]Sheet1!$A$2:$Q$1536,16,FALSE)</f>
        <v>9022.3586719711057</v>
      </c>
      <c r="U1383" s="27">
        <f t="shared" si="64"/>
        <v>0.62315840861409633</v>
      </c>
      <c r="V1383" s="19">
        <f>VLOOKUP(A1383,[1]Sheet1!$A$2:$Q$1536,17,FALSE)</f>
        <v>1276.312622070312</v>
      </c>
      <c r="W1383" s="27">
        <f t="shared" si="65"/>
        <v>-1.6639241367721067</v>
      </c>
    </row>
    <row r="1384" spans="1:23" x14ac:dyDescent="0.3">
      <c r="A1384" s="4" t="s">
        <v>159</v>
      </c>
      <c r="B1384" s="5">
        <v>2014</v>
      </c>
      <c r="C1384" s="5" t="s">
        <v>96</v>
      </c>
      <c r="D1384" s="15" t="s">
        <v>154</v>
      </c>
      <c r="E1384" s="6">
        <v>128271</v>
      </c>
      <c r="F1384" s="5" t="s">
        <v>24</v>
      </c>
      <c r="G1384" s="5" t="s">
        <v>25</v>
      </c>
      <c r="H1384" s="5" t="s">
        <v>18</v>
      </c>
      <c r="I1384" s="5" t="s">
        <v>17</v>
      </c>
      <c r="J1384" s="7">
        <v>45370</v>
      </c>
      <c r="K1384" s="5" t="s">
        <v>17</v>
      </c>
      <c r="L1384" s="8">
        <v>43725</v>
      </c>
      <c r="M1384" s="19">
        <v>222</v>
      </c>
      <c r="N1384" s="19">
        <v>272</v>
      </c>
      <c r="O1384" s="24">
        <v>4000</v>
      </c>
      <c r="P1384" s="24">
        <v>5700</v>
      </c>
      <c r="Q1384" t="s">
        <v>1983</v>
      </c>
      <c r="R1384" s="19">
        <f>VLOOKUP(A1384,[1]Sheet1!$A$2:$Q$1536,15,FALSE)</f>
        <v>2640.079833984375</v>
      </c>
      <c r="S1384" s="27">
        <f t="shared" si="63"/>
        <v>-1.1590256198418183</v>
      </c>
      <c r="T1384" s="19">
        <f>VLOOKUP(A1384,[1]Sheet1!$A$2:$Q$1536,16,FALSE)</f>
        <v>9259.2818294889603</v>
      </c>
      <c r="U1384" s="27">
        <f t="shared" si="64"/>
        <v>0.38440150057354983</v>
      </c>
      <c r="V1384" s="19">
        <f>VLOOKUP(A1384,[1]Sheet1!$A$2:$Q$1536,17,FALSE)</f>
        <v>2542.6708984375</v>
      </c>
      <c r="W1384" s="27">
        <f t="shared" si="65"/>
        <v>-1.2417372234459105</v>
      </c>
    </row>
    <row r="1385" spans="1:23" x14ac:dyDescent="0.3">
      <c r="A1385" s="4" t="s">
        <v>949</v>
      </c>
      <c r="B1385" s="5">
        <v>2018</v>
      </c>
      <c r="C1385" s="5" t="s">
        <v>96</v>
      </c>
      <c r="D1385" s="15" t="s">
        <v>950</v>
      </c>
      <c r="E1385" s="6">
        <v>122856</v>
      </c>
      <c r="F1385" s="5" t="s">
        <v>73</v>
      </c>
      <c r="G1385" s="5" t="s">
        <v>25</v>
      </c>
      <c r="H1385" s="5" t="s">
        <v>18</v>
      </c>
      <c r="I1385" s="5" t="s">
        <v>17</v>
      </c>
      <c r="J1385" s="7">
        <v>45631</v>
      </c>
      <c r="K1385" s="5" t="s">
        <v>17</v>
      </c>
      <c r="L1385" s="8">
        <v>44451</v>
      </c>
      <c r="M1385" s="19">
        <v>264</v>
      </c>
      <c r="N1385" s="19">
        <v>314</v>
      </c>
      <c r="O1385" s="24">
        <v>0</v>
      </c>
      <c r="P1385" s="24">
        <v>17200</v>
      </c>
      <c r="Q1385" t="s">
        <v>1983</v>
      </c>
      <c r="R1385" s="19">
        <f>VLOOKUP(A1385,[1]Sheet1!$A$2:$Q$1536,15,FALSE)</f>
        <v>4372.0234375</v>
      </c>
      <c r="S1385" s="27">
        <f t="shared" si="63"/>
        <v>-2.9341051679803583</v>
      </c>
      <c r="T1385" s="19">
        <f>VLOOKUP(A1385,[1]Sheet1!$A$2:$Q$1536,16,FALSE)</f>
        <v>9328.7472636878865</v>
      </c>
      <c r="U1385" s="27">
        <f t="shared" si="64"/>
        <v>-0.84376310278561573</v>
      </c>
      <c r="V1385" s="19">
        <f>VLOOKUP(A1385,[1]Sheet1!$A$2:$Q$1536,17,FALSE)</f>
        <v>4356.724609375</v>
      </c>
      <c r="W1385" s="27">
        <f t="shared" si="65"/>
        <v>-2.9479199495392137</v>
      </c>
    </row>
    <row r="1386" spans="1:23" x14ac:dyDescent="0.3">
      <c r="A1386" s="4" t="s">
        <v>98</v>
      </c>
      <c r="B1386" s="5">
        <v>2015</v>
      </c>
      <c r="C1386" s="5" t="s">
        <v>96</v>
      </c>
      <c r="D1386" s="15" t="s">
        <v>97</v>
      </c>
      <c r="E1386" s="6">
        <v>98082</v>
      </c>
      <c r="F1386" s="5" t="s">
        <v>24</v>
      </c>
      <c r="G1386" s="5" t="s">
        <v>33</v>
      </c>
      <c r="H1386" s="5" t="s">
        <v>17</v>
      </c>
      <c r="I1386" s="5" t="s">
        <v>18</v>
      </c>
      <c r="J1386" s="7">
        <v>45701</v>
      </c>
      <c r="K1386" s="5" t="s">
        <v>17</v>
      </c>
      <c r="L1386" s="8">
        <v>43605</v>
      </c>
      <c r="M1386" s="19">
        <v>264</v>
      </c>
      <c r="N1386" s="19">
        <v>314</v>
      </c>
      <c r="O1386" s="24">
        <v>0</v>
      </c>
      <c r="P1386" s="24">
        <v>13000</v>
      </c>
      <c r="Q1386" t="s">
        <v>1983</v>
      </c>
      <c r="R1386" s="19">
        <f>VLOOKUP(A1386,[1]Sheet1!$A$2:$Q$1536,15,FALSE)</f>
        <v>3350.206298828125</v>
      </c>
      <c r="S1386" s="27">
        <f t="shared" si="63"/>
        <v>-2.880358055725492</v>
      </c>
      <c r="T1386" s="19">
        <f>VLOOKUP(A1386,[1]Sheet1!$A$2:$Q$1536,16,FALSE)</f>
        <v>9392.3339397294312</v>
      </c>
      <c r="U1386" s="27">
        <f t="shared" si="64"/>
        <v>-0.38410751613187383</v>
      </c>
      <c r="V1386" s="19">
        <f>VLOOKUP(A1386,[1]Sheet1!$A$2:$Q$1536,17,FALSE)</f>
        <v>3341.1123046875</v>
      </c>
      <c r="W1386" s="27">
        <f t="shared" si="65"/>
        <v>-2.8909197939145335</v>
      </c>
    </row>
    <row r="1387" spans="1:23" x14ac:dyDescent="0.3">
      <c r="A1387" s="4" t="s">
        <v>230</v>
      </c>
      <c r="B1387" s="5">
        <v>2014</v>
      </c>
      <c r="C1387" s="5" t="s">
        <v>223</v>
      </c>
      <c r="D1387" s="15" t="s">
        <v>231</v>
      </c>
      <c r="E1387" s="6">
        <v>87815</v>
      </c>
      <c r="F1387" s="5" t="s">
        <v>27</v>
      </c>
      <c r="G1387" s="5" t="s">
        <v>33</v>
      </c>
      <c r="H1387" s="5" t="s">
        <v>17</v>
      </c>
      <c r="I1387" s="5" t="s">
        <v>18</v>
      </c>
      <c r="J1387" s="7">
        <v>45715</v>
      </c>
      <c r="K1387" s="5" t="s">
        <v>17</v>
      </c>
      <c r="L1387" s="8">
        <v>44224</v>
      </c>
      <c r="M1387" s="19">
        <v>235</v>
      </c>
      <c r="N1387" s="19">
        <v>285</v>
      </c>
      <c r="O1387" s="24">
        <v>0</v>
      </c>
      <c r="P1387" s="24">
        <v>8000</v>
      </c>
      <c r="Q1387" t="s">
        <v>1983</v>
      </c>
      <c r="R1387" s="19">
        <f>VLOOKUP(A1387,[1]Sheet1!$A$2:$Q$1536,15,FALSE)</f>
        <v>6197.08203125</v>
      </c>
      <c r="S1387" s="27">
        <f t="shared" si="63"/>
        <v>-0.29093014416437174</v>
      </c>
      <c r="T1387" s="19">
        <f>VLOOKUP(A1387,[1]Sheet1!$A$2:$Q$1536,16,FALSE)</f>
        <v>10460.586260342459</v>
      </c>
      <c r="U1387" s="27">
        <f t="shared" si="64"/>
        <v>0.23522450836918049</v>
      </c>
      <c r="V1387" s="19">
        <f>VLOOKUP(A1387,[1]Sheet1!$A$2:$Q$1536,17,FALSE)</f>
        <v>5904.095703125</v>
      </c>
      <c r="W1387" s="27">
        <f t="shared" si="65"/>
        <v>-0.3549915858859895</v>
      </c>
    </row>
    <row r="1388" spans="1:23" x14ac:dyDescent="0.3">
      <c r="A1388" s="4" t="s">
        <v>343</v>
      </c>
      <c r="B1388" s="5">
        <v>2018</v>
      </c>
      <c r="C1388" s="5" t="s">
        <v>237</v>
      </c>
      <c r="D1388" s="15" t="s">
        <v>339</v>
      </c>
      <c r="E1388" s="6">
        <v>106273</v>
      </c>
      <c r="F1388" s="5" t="s">
        <v>158</v>
      </c>
      <c r="G1388" s="5" t="s">
        <v>16</v>
      </c>
      <c r="H1388" s="5" t="s">
        <v>17</v>
      </c>
      <c r="I1388" s="5" t="s">
        <v>18</v>
      </c>
      <c r="J1388" s="7">
        <v>45498</v>
      </c>
      <c r="K1388" s="5" t="s">
        <v>17</v>
      </c>
      <c r="L1388" s="8">
        <v>44067</v>
      </c>
      <c r="M1388" s="19">
        <v>235</v>
      </c>
      <c r="N1388" s="19">
        <v>285</v>
      </c>
      <c r="O1388" s="24">
        <v>0</v>
      </c>
      <c r="P1388" s="24">
        <v>10900</v>
      </c>
      <c r="Q1388" t="s">
        <v>1983</v>
      </c>
      <c r="R1388" s="19">
        <f>VLOOKUP(A1388,[1]Sheet1!$A$2:$Q$1536,15,FALSE)</f>
        <v>11466.59375</v>
      </c>
      <c r="S1388" s="27">
        <f t="shared" si="63"/>
        <v>4.9412559854577563E-2</v>
      </c>
      <c r="T1388" s="19">
        <f>VLOOKUP(A1388,[1]Sheet1!$A$2:$Q$1536,16,FALSE)</f>
        <v>10114.32667300815</v>
      </c>
      <c r="U1388" s="27">
        <f t="shared" si="64"/>
        <v>-7.7679251658793677E-2</v>
      </c>
      <c r="V1388" s="19">
        <f>VLOOKUP(A1388,[1]Sheet1!$A$2:$Q$1536,17,FALSE)</f>
        <v>11499.353515625</v>
      </c>
      <c r="W1388" s="27">
        <f t="shared" si="65"/>
        <v>5.2120627025738032E-2</v>
      </c>
    </row>
    <row r="1389" spans="1:23" x14ac:dyDescent="0.3">
      <c r="A1389" s="4" t="s">
        <v>393</v>
      </c>
      <c r="B1389" s="5">
        <v>2014</v>
      </c>
      <c r="C1389" s="5" t="s">
        <v>391</v>
      </c>
      <c r="D1389" s="15" t="s">
        <v>394</v>
      </c>
      <c r="E1389" s="6">
        <v>77159</v>
      </c>
      <c r="F1389" s="5" t="s">
        <v>112</v>
      </c>
      <c r="G1389" s="5" t="s">
        <v>22</v>
      </c>
      <c r="H1389" s="5" t="s">
        <v>18</v>
      </c>
      <c r="I1389" s="5" t="s">
        <v>17</v>
      </c>
      <c r="J1389" s="7">
        <v>45722</v>
      </c>
      <c r="K1389" s="5" t="s">
        <v>17</v>
      </c>
      <c r="L1389" s="8">
        <v>44224</v>
      </c>
      <c r="M1389" s="19">
        <v>235</v>
      </c>
      <c r="N1389" s="19">
        <v>285</v>
      </c>
      <c r="O1389" s="24">
        <v>1600</v>
      </c>
      <c r="P1389" s="24">
        <v>7400</v>
      </c>
      <c r="Q1389" t="s">
        <v>1983</v>
      </c>
      <c r="R1389" s="19">
        <f>VLOOKUP(A1389,[1]Sheet1!$A$2:$Q$1536,15,FALSE)</f>
        <v>2356.25341796875</v>
      </c>
      <c r="S1389" s="27">
        <f t="shared" si="63"/>
        <v>-2.1405789986627588</v>
      </c>
      <c r="T1389" s="19">
        <f>VLOOKUP(A1389,[1]Sheet1!$A$2:$Q$1536,16,FALSE)</f>
        <v>9461.5948336441324</v>
      </c>
      <c r="U1389" s="27">
        <f t="shared" si="64"/>
        <v>0.21789083868962389</v>
      </c>
      <c r="V1389" s="19">
        <f>VLOOKUP(A1389,[1]Sheet1!$A$2:$Q$1536,17,FALSE)</f>
        <v>2310.92822265625</v>
      </c>
      <c r="W1389" s="27">
        <f t="shared" si="65"/>
        <v>-2.2021764793257916</v>
      </c>
    </row>
    <row r="1390" spans="1:23" x14ac:dyDescent="0.3">
      <c r="A1390" s="4" t="s">
        <v>528</v>
      </c>
      <c r="B1390" s="5">
        <v>2013</v>
      </c>
      <c r="C1390" s="5" t="s">
        <v>519</v>
      </c>
      <c r="D1390" s="15" t="s">
        <v>524</v>
      </c>
      <c r="E1390" s="6">
        <v>97710</v>
      </c>
      <c r="F1390" s="5" t="s">
        <v>92</v>
      </c>
      <c r="G1390" s="5" t="s">
        <v>33</v>
      </c>
      <c r="H1390" s="5" t="s">
        <v>17</v>
      </c>
      <c r="I1390" s="5" t="s">
        <v>18</v>
      </c>
      <c r="J1390" s="7">
        <v>45568</v>
      </c>
      <c r="K1390" s="5" t="s">
        <v>17</v>
      </c>
      <c r="L1390" s="8">
        <v>43605</v>
      </c>
      <c r="M1390" s="19">
        <v>264</v>
      </c>
      <c r="N1390" s="19">
        <v>314</v>
      </c>
      <c r="O1390" s="24">
        <v>0</v>
      </c>
      <c r="P1390" s="24">
        <v>8800</v>
      </c>
      <c r="Q1390" t="s">
        <v>1983</v>
      </c>
      <c r="R1390" s="19">
        <f>VLOOKUP(A1390,[1]Sheet1!$A$2:$Q$1536,15,FALSE)</f>
        <v>4781.44384765625</v>
      </c>
      <c r="S1390" s="27">
        <f t="shared" si="63"/>
        <v>-0.84044825796993317</v>
      </c>
      <c r="T1390" s="19">
        <f>VLOOKUP(A1390,[1]Sheet1!$A$2:$Q$1536,16,FALSE)</f>
        <v>9993.8437204188049</v>
      </c>
      <c r="U1390" s="27">
        <f t="shared" si="64"/>
        <v>0.11945791367335644</v>
      </c>
      <c r="V1390" s="19">
        <f>VLOOKUP(A1390,[1]Sheet1!$A$2:$Q$1536,17,FALSE)</f>
        <v>4617.4833984375</v>
      </c>
      <c r="W1390" s="27">
        <f t="shared" si="65"/>
        <v>-0.90580003015881172</v>
      </c>
    </row>
    <row r="1391" spans="1:23" x14ac:dyDescent="0.3">
      <c r="A1391" s="4" t="s">
        <v>78</v>
      </c>
      <c r="B1391" s="5">
        <v>2015</v>
      </c>
      <c r="C1391" s="5" t="s">
        <v>46</v>
      </c>
      <c r="D1391" s="15">
        <v>200</v>
      </c>
      <c r="E1391" s="6">
        <v>105284</v>
      </c>
      <c r="F1391" s="5" t="s">
        <v>79</v>
      </c>
      <c r="G1391" s="5" t="s">
        <v>25</v>
      </c>
      <c r="H1391" s="5" t="s">
        <v>18</v>
      </c>
      <c r="I1391" s="5" t="s">
        <v>17</v>
      </c>
      <c r="J1391" s="7">
        <v>45412</v>
      </c>
      <c r="K1391" s="5" t="s">
        <v>17</v>
      </c>
      <c r="L1391" s="8">
        <v>44451</v>
      </c>
      <c r="M1391" s="19">
        <v>264</v>
      </c>
      <c r="N1391" s="19">
        <v>314</v>
      </c>
      <c r="O1391" s="24">
        <v>3500</v>
      </c>
      <c r="P1391" s="24">
        <v>5800</v>
      </c>
      <c r="Q1391" t="s">
        <v>1983</v>
      </c>
      <c r="R1391" s="19">
        <f>VLOOKUP(A1391,[1]Sheet1!$A$2:$Q$1536,15,FALSE)</f>
        <v>2535.1904296875</v>
      </c>
      <c r="S1391" s="27">
        <f t="shared" si="63"/>
        <v>-1.2877965820953878</v>
      </c>
      <c r="T1391" s="19">
        <f>VLOOKUP(A1391,[1]Sheet1!$A$2:$Q$1536,16,FALSE)</f>
        <v>8784.6100110655825</v>
      </c>
      <c r="U1391" s="27">
        <f t="shared" si="64"/>
        <v>0.33975441223981506</v>
      </c>
      <c r="V1391" s="19">
        <f>VLOOKUP(A1391,[1]Sheet1!$A$2:$Q$1536,17,FALSE)</f>
        <v>2343.41650390625</v>
      </c>
      <c r="W1391" s="27">
        <f t="shared" si="65"/>
        <v>-1.4750188412226157</v>
      </c>
    </row>
    <row r="1392" spans="1:23" x14ac:dyDescent="0.3">
      <c r="A1392" s="4" t="s">
        <v>1374</v>
      </c>
      <c r="B1392" s="5">
        <v>2016</v>
      </c>
      <c r="C1392" s="5" t="s">
        <v>1089</v>
      </c>
      <c r="D1392" s="15" t="s">
        <v>1363</v>
      </c>
      <c r="E1392" s="6">
        <v>175378</v>
      </c>
      <c r="F1392" s="5" t="s">
        <v>112</v>
      </c>
      <c r="G1392" s="5" t="s">
        <v>22</v>
      </c>
      <c r="H1392" s="5" t="s">
        <v>18</v>
      </c>
      <c r="I1392" s="5" t="s">
        <v>17</v>
      </c>
      <c r="J1392" s="7">
        <v>45512</v>
      </c>
      <c r="K1392" s="5" t="s">
        <v>17</v>
      </c>
      <c r="L1392" s="8">
        <v>44113</v>
      </c>
      <c r="M1392" s="19">
        <v>264</v>
      </c>
      <c r="N1392" s="19">
        <v>314</v>
      </c>
      <c r="O1392" s="24">
        <v>900</v>
      </c>
      <c r="P1392" s="24">
        <v>3000</v>
      </c>
      <c r="Q1392" t="s">
        <v>1983</v>
      </c>
      <c r="R1392" s="19">
        <f>VLOOKUP(A1392,[1]Sheet1!$A$2:$Q$1536,15,FALSE)</f>
        <v>1336.878540039062</v>
      </c>
      <c r="S1392" s="27">
        <f t="shared" si="63"/>
        <v>-1.2440333284969505</v>
      </c>
      <c r="T1392" s="19">
        <f>VLOOKUP(A1392,[1]Sheet1!$A$2:$Q$1536,16,FALSE)</f>
        <v>8573.2509088302195</v>
      </c>
      <c r="U1392" s="27">
        <f t="shared" si="64"/>
        <v>0.65007439629346664</v>
      </c>
      <c r="V1392" s="19">
        <f>VLOOKUP(A1392,[1]Sheet1!$A$2:$Q$1536,17,FALSE)</f>
        <v>1336.184326171875</v>
      </c>
      <c r="W1392" s="27">
        <f t="shared" si="65"/>
        <v>-1.245199214838048</v>
      </c>
    </row>
    <row r="1393" spans="1:23" x14ac:dyDescent="0.3">
      <c r="A1393" s="4" t="s">
        <v>509</v>
      </c>
      <c r="B1393" s="5">
        <v>2016</v>
      </c>
      <c r="C1393" s="5" t="s">
        <v>391</v>
      </c>
      <c r="D1393" s="15" t="s">
        <v>394</v>
      </c>
      <c r="E1393" s="6">
        <v>119490</v>
      </c>
      <c r="F1393" s="5" t="s">
        <v>87</v>
      </c>
      <c r="G1393" s="5" t="s">
        <v>33</v>
      </c>
      <c r="H1393" s="5" t="s">
        <v>17</v>
      </c>
      <c r="I1393" s="5" t="s">
        <v>18</v>
      </c>
      <c r="J1393" s="7">
        <v>45356</v>
      </c>
      <c r="K1393" s="5" t="s">
        <v>17</v>
      </c>
      <c r="L1393" s="8">
        <v>43612</v>
      </c>
      <c r="M1393" s="19">
        <v>264</v>
      </c>
      <c r="N1393" s="19">
        <v>314</v>
      </c>
      <c r="O1393" s="24">
        <v>5000</v>
      </c>
      <c r="P1393" s="24">
        <v>10100</v>
      </c>
      <c r="Q1393" t="s">
        <v>1983</v>
      </c>
      <c r="R1393" s="19">
        <f>VLOOKUP(A1393,[1]Sheet1!$A$2:$Q$1536,15,FALSE)</f>
        <v>2517.578369140625</v>
      </c>
      <c r="S1393" s="27">
        <f t="shared" si="63"/>
        <v>-3.0117916978479733</v>
      </c>
      <c r="T1393" s="19">
        <f>VLOOKUP(A1393,[1]Sheet1!$A$2:$Q$1536,16,FALSE)</f>
        <v>9245.3527199613636</v>
      </c>
      <c r="U1393" s="27">
        <f t="shared" si="64"/>
        <v>-9.2440743574162737E-2</v>
      </c>
      <c r="V1393" s="19">
        <f>VLOOKUP(A1393,[1]Sheet1!$A$2:$Q$1536,17,FALSE)</f>
        <v>2374.109375</v>
      </c>
      <c r="W1393" s="27">
        <f t="shared" si="65"/>
        <v>-3.2542269140401334</v>
      </c>
    </row>
    <row r="1394" spans="1:23" x14ac:dyDescent="0.3">
      <c r="A1394" s="4" t="s">
        <v>1382</v>
      </c>
      <c r="B1394" s="5">
        <v>2018</v>
      </c>
      <c r="C1394" s="5" t="s">
        <v>1089</v>
      </c>
      <c r="D1394" s="15" t="s">
        <v>1363</v>
      </c>
      <c r="E1394" s="6">
        <v>78233</v>
      </c>
      <c r="F1394" s="5" t="s">
        <v>57</v>
      </c>
      <c r="G1394" s="5" t="s">
        <v>25</v>
      </c>
      <c r="H1394" s="5" t="s">
        <v>18</v>
      </c>
      <c r="I1394" s="5" t="s">
        <v>17</v>
      </c>
      <c r="J1394" s="7">
        <v>45398</v>
      </c>
      <c r="K1394" s="5" t="s">
        <v>17</v>
      </c>
      <c r="L1394" s="8">
        <v>44203</v>
      </c>
      <c r="M1394" s="19">
        <v>235</v>
      </c>
      <c r="N1394" s="19">
        <v>285</v>
      </c>
      <c r="O1394" s="24">
        <v>5500</v>
      </c>
      <c r="P1394" s="24">
        <v>8000</v>
      </c>
      <c r="Q1394" t="s">
        <v>1983</v>
      </c>
      <c r="R1394" s="19">
        <f>VLOOKUP(A1394,[1]Sheet1!$A$2:$Q$1536,15,FALSE)</f>
        <v>4534.16552734375</v>
      </c>
      <c r="S1394" s="27">
        <f t="shared" si="63"/>
        <v>-0.76438199085480663</v>
      </c>
      <c r="T1394" s="19">
        <f>VLOOKUP(A1394,[1]Sheet1!$A$2:$Q$1536,16,FALSE)</f>
        <v>8976.0227715031342</v>
      </c>
      <c r="U1394" s="27">
        <f t="shared" si="64"/>
        <v>0.10873666392667679</v>
      </c>
      <c r="V1394" s="19">
        <f>VLOOKUP(A1394,[1]Sheet1!$A$2:$Q$1536,17,FALSE)</f>
        <v>4455.71044921875</v>
      </c>
      <c r="W1394" s="27">
        <f t="shared" si="65"/>
        <v>-0.79544880466878054</v>
      </c>
    </row>
    <row r="1395" spans="1:23" x14ac:dyDescent="0.3">
      <c r="A1395" s="4" t="s">
        <v>1662</v>
      </c>
      <c r="B1395" s="5">
        <v>2021</v>
      </c>
      <c r="C1395" s="5" t="s">
        <v>1089</v>
      </c>
      <c r="D1395" s="15" t="s">
        <v>1663</v>
      </c>
      <c r="E1395" s="6">
        <v>25977</v>
      </c>
      <c r="F1395" s="5" t="s">
        <v>101</v>
      </c>
      <c r="G1395" s="5" t="s">
        <v>16</v>
      </c>
      <c r="H1395" s="5" t="s">
        <v>17</v>
      </c>
      <c r="I1395" s="5" t="s">
        <v>18</v>
      </c>
      <c r="J1395" s="7">
        <v>45631</v>
      </c>
      <c r="K1395" s="5" t="s">
        <v>17</v>
      </c>
      <c r="L1395" s="8">
        <v>43605</v>
      </c>
      <c r="M1395" s="19">
        <v>264</v>
      </c>
      <c r="N1395" s="19">
        <v>314</v>
      </c>
      <c r="O1395" s="24">
        <v>0</v>
      </c>
      <c r="P1395" s="24">
        <v>22900</v>
      </c>
      <c r="Q1395" t="s">
        <v>1983</v>
      </c>
      <c r="R1395" s="19">
        <f>VLOOKUP(A1395,[1]Sheet1!$A$2:$Q$1536,15,FALSE)</f>
        <v>17006.21875</v>
      </c>
      <c r="S1395" s="27">
        <f t="shared" si="63"/>
        <v>-0.34656623771818768</v>
      </c>
      <c r="T1395" s="19">
        <f>VLOOKUP(A1395,[1]Sheet1!$A$2:$Q$1536,16,FALSE)</f>
        <v>14175.49898604201</v>
      </c>
      <c r="U1395" s="27">
        <f t="shared" si="64"/>
        <v>-0.61546341490684897</v>
      </c>
      <c r="V1395" s="19">
        <f>VLOOKUP(A1395,[1]Sheet1!$A$2:$Q$1536,17,FALSE)</f>
        <v>16834.55859375</v>
      </c>
      <c r="W1395" s="27">
        <f t="shared" si="65"/>
        <v>-0.36029702664742613</v>
      </c>
    </row>
    <row r="1396" spans="1:23" x14ac:dyDescent="0.3">
      <c r="A1396" s="4" t="s">
        <v>690</v>
      </c>
      <c r="B1396" s="5">
        <v>2015</v>
      </c>
      <c r="C1396" s="5" t="s">
        <v>684</v>
      </c>
      <c r="D1396" s="15" t="s">
        <v>691</v>
      </c>
      <c r="E1396" s="6">
        <v>86149</v>
      </c>
      <c r="F1396" s="5" t="s">
        <v>66</v>
      </c>
      <c r="G1396" s="5" t="s">
        <v>33</v>
      </c>
      <c r="H1396" s="5" t="s">
        <v>17</v>
      </c>
      <c r="I1396" s="5" t="s">
        <v>18</v>
      </c>
      <c r="J1396" s="7">
        <v>45407</v>
      </c>
      <c r="K1396" s="5" t="s">
        <v>17</v>
      </c>
      <c r="L1396" s="8">
        <v>43725</v>
      </c>
      <c r="M1396" s="19">
        <v>222</v>
      </c>
      <c r="N1396" s="19">
        <v>272</v>
      </c>
      <c r="O1396" s="24">
        <v>0</v>
      </c>
      <c r="P1396" s="24">
        <v>4400</v>
      </c>
      <c r="Q1396" t="s">
        <v>1983</v>
      </c>
      <c r="R1396" s="19">
        <f>VLOOKUP(A1396,[1]Sheet1!$A$2:$Q$1536,15,FALSE)</f>
        <v>1860.487060546875</v>
      </c>
      <c r="S1396" s="27">
        <f t="shared" si="63"/>
        <v>-1.3649721050500916</v>
      </c>
      <c r="T1396" s="19">
        <f>VLOOKUP(A1396,[1]Sheet1!$A$2:$Q$1536,16,FALSE)</f>
        <v>8995.2929262002035</v>
      </c>
      <c r="U1396" s="27">
        <f t="shared" si="64"/>
        <v>0.51085528441388395</v>
      </c>
      <c r="V1396" s="19">
        <f>VLOOKUP(A1396,[1]Sheet1!$A$2:$Q$1536,17,FALSE)</f>
        <v>1778.49755859375</v>
      </c>
      <c r="W1396" s="27">
        <f t="shared" si="65"/>
        <v>-1.4739983356958106</v>
      </c>
    </row>
    <row r="1397" spans="1:23" x14ac:dyDescent="0.3">
      <c r="A1397" s="4" t="s">
        <v>804</v>
      </c>
      <c r="B1397" s="5">
        <v>2011</v>
      </c>
      <c r="C1397" s="5" t="s">
        <v>519</v>
      </c>
      <c r="D1397" s="15" t="s">
        <v>801</v>
      </c>
      <c r="E1397" s="6">
        <v>64725</v>
      </c>
      <c r="F1397" s="5" t="s">
        <v>144</v>
      </c>
      <c r="G1397" s="5" t="s">
        <v>33</v>
      </c>
      <c r="H1397" s="5" t="s">
        <v>17</v>
      </c>
      <c r="I1397" s="5" t="s">
        <v>18</v>
      </c>
      <c r="J1397" s="7">
        <v>45608</v>
      </c>
      <c r="K1397" s="5" t="s">
        <v>17</v>
      </c>
      <c r="L1397" s="8">
        <v>44307</v>
      </c>
      <c r="M1397" s="19">
        <v>235</v>
      </c>
      <c r="N1397" s="19">
        <v>285</v>
      </c>
      <c r="O1397" s="24">
        <v>2200</v>
      </c>
      <c r="P1397" s="24">
        <v>3000</v>
      </c>
      <c r="Q1397" t="s">
        <v>1983</v>
      </c>
      <c r="R1397" s="19">
        <f>VLOOKUP(A1397,[1]Sheet1!$A$2:$Q$1536,15,FALSE)</f>
        <v>2500.587646484375</v>
      </c>
      <c r="S1397" s="27">
        <f t="shared" si="63"/>
        <v>-0.19971799597496956</v>
      </c>
      <c r="T1397" s="19">
        <f>VLOOKUP(A1397,[1]Sheet1!$A$2:$Q$1536,16,FALSE)</f>
        <v>10715.678166867359</v>
      </c>
      <c r="U1397" s="27">
        <f t="shared" si="64"/>
        <v>0.72003638469883002</v>
      </c>
      <c r="V1397" s="19">
        <f>VLOOKUP(A1397,[1]Sheet1!$A$2:$Q$1536,17,FALSE)</f>
        <v>2282.39501953125</v>
      </c>
      <c r="W1397" s="27">
        <f t="shared" si="65"/>
        <v>-0.31440875673490082</v>
      </c>
    </row>
    <row r="1398" spans="1:23" x14ac:dyDescent="0.3">
      <c r="A1398" s="4" t="s">
        <v>502</v>
      </c>
      <c r="B1398" s="5">
        <v>2018</v>
      </c>
      <c r="C1398" s="5" t="s">
        <v>391</v>
      </c>
      <c r="D1398" s="15" t="s">
        <v>394</v>
      </c>
      <c r="E1398" s="6">
        <v>122706</v>
      </c>
      <c r="F1398" s="5" t="s">
        <v>87</v>
      </c>
      <c r="G1398" s="5" t="s">
        <v>28</v>
      </c>
      <c r="H1398" s="5" t="s">
        <v>17</v>
      </c>
      <c r="I1398" s="5" t="s">
        <v>18</v>
      </c>
      <c r="J1398" s="7">
        <v>45561</v>
      </c>
      <c r="K1398" s="5" t="s">
        <v>17</v>
      </c>
      <c r="L1398" s="8">
        <v>43617</v>
      </c>
      <c r="M1398" s="19">
        <v>264</v>
      </c>
      <c r="N1398" s="19">
        <v>314</v>
      </c>
      <c r="O1398" s="24">
        <v>7000</v>
      </c>
      <c r="P1398" s="24">
        <v>13200</v>
      </c>
      <c r="Q1398" t="s">
        <v>1983</v>
      </c>
      <c r="R1398" s="19">
        <f>VLOOKUP(A1398,[1]Sheet1!$A$2:$Q$1536,15,FALSE)</f>
        <v>2978.080322265625</v>
      </c>
      <c r="S1398" s="27">
        <f t="shared" si="63"/>
        <v>-3.4323854871576724</v>
      </c>
      <c r="T1398" s="19">
        <f>VLOOKUP(A1398,[1]Sheet1!$A$2:$Q$1536,16,FALSE)</f>
        <v>9384.8591481717667</v>
      </c>
      <c r="U1398" s="27">
        <f t="shared" si="64"/>
        <v>-0.40652084294429164</v>
      </c>
      <c r="V1398" s="19">
        <f>VLOOKUP(A1398,[1]Sheet1!$A$2:$Q$1536,17,FALSE)</f>
        <v>2931.65185546875</v>
      </c>
      <c r="W1398" s="27">
        <f t="shared" si="65"/>
        <v>-3.5025810194264744</v>
      </c>
    </row>
    <row r="1399" spans="1:23" x14ac:dyDescent="0.3">
      <c r="A1399" s="4" t="s">
        <v>142</v>
      </c>
      <c r="B1399" s="5">
        <v>2014</v>
      </c>
      <c r="C1399" s="5" t="s">
        <v>96</v>
      </c>
      <c r="D1399" s="15" t="s">
        <v>140</v>
      </c>
      <c r="E1399" s="6">
        <v>128455</v>
      </c>
      <c r="F1399" s="5" t="s">
        <v>24</v>
      </c>
      <c r="G1399" s="5" t="s">
        <v>25</v>
      </c>
      <c r="H1399" s="5" t="s">
        <v>18</v>
      </c>
      <c r="I1399" s="5" t="s">
        <v>17</v>
      </c>
      <c r="J1399" s="7">
        <v>45645</v>
      </c>
      <c r="K1399" s="5" t="s">
        <v>17</v>
      </c>
      <c r="L1399" s="8">
        <v>44224</v>
      </c>
      <c r="M1399" s="19">
        <v>235</v>
      </c>
      <c r="N1399" s="19">
        <v>285</v>
      </c>
      <c r="O1399" s="24">
        <v>0</v>
      </c>
      <c r="P1399" s="24">
        <v>8200</v>
      </c>
      <c r="Q1399" t="s">
        <v>1983</v>
      </c>
      <c r="R1399" s="19">
        <f>VLOOKUP(A1399,[1]Sheet1!$A$2:$Q$1536,15,FALSE)</f>
        <v>2010.598876953125</v>
      </c>
      <c r="S1399" s="27">
        <f t="shared" si="63"/>
        <v>-3.0783868398585477</v>
      </c>
      <c r="T1399" s="19">
        <f>VLOOKUP(A1399,[1]Sheet1!$A$2:$Q$1536,16,FALSE)</f>
        <v>9306.6929291045344</v>
      </c>
      <c r="U1399" s="27">
        <f t="shared" si="64"/>
        <v>0.11891366111839875</v>
      </c>
      <c r="V1399" s="19">
        <f>VLOOKUP(A1399,[1]Sheet1!$A$2:$Q$1536,17,FALSE)</f>
        <v>1960.711547851562</v>
      </c>
      <c r="W1399" s="27">
        <f t="shared" si="65"/>
        <v>-3.1821552022708799</v>
      </c>
    </row>
    <row r="1400" spans="1:23" x14ac:dyDescent="0.3">
      <c r="A1400" s="4" t="s">
        <v>660</v>
      </c>
      <c r="B1400" s="5">
        <v>2017</v>
      </c>
      <c r="C1400" s="5" t="s">
        <v>636</v>
      </c>
      <c r="D1400" s="15" t="s">
        <v>646</v>
      </c>
      <c r="E1400" s="6">
        <v>95796</v>
      </c>
      <c r="F1400" s="5" t="s">
        <v>32</v>
      </c>
      <c r="G1400" s="5" t="s">
        <v>22</v>
      </c>
      <c r="H1400" s="5" t="s">
        <v>18</v>
      </c>
      <c r="I1400" s="5" t="s">
        <v>17</v>
      </c>
      <c r="J1400" s="7">
        <v>45496</v>
      </c>
      <c r="K1400" s="5" t="s">
        <v>17</v>
      </c>
      <c r="L1400" s="8">
        <v>44203</v>
      </c>
      <c r="M1400" s="19">
        <v>235</v>
      </c>
      <c r="N1400" s="19">
        <v>285</v>
      </c>
      <c r="O1400" s="24">
        <v>3000</v>
      </c>
      <c r="P1400" s="24">
        <v>10500</v>
      </c>
      <c r="Q1400" t="s">
        <v>1983</v>
      </c>
      <c r="R1400" s="19">
        <f>VLOOKUP(A1400,[1]Sheet1!$A$2:$Q$1536,15,FALSE)</f>
        <v>3033.16064453125</v>
      </c>
      <c r="S1400" s="27">
        <f t="shared" si="63"/>
        <v>-2.4617355394384952</v>
      </c>
      <c r="T1400" s="19">
        <f>VLOOKUP(A1400,[1]Sheet1!$A$2:$Q$1536,16,FALSE)</f>
        <v>8997.9666135342595</v>
      </c>
      <c r="U1400" s="27">
        <f t="shared" si="64"/>
        <v>-0.16693031336729594</v>
      </c>
      <c r="V1400" s="19">
        <f>VLOOKUP(A1400,[1]Sheet1!$A$2:$Q$1536,17,FALSE)</f>
        <v>2863.37744140625</v>
      </c>
      <c r="W1400" s="27">
        <f t="shared" si="65"/>
        <v>-2.6669982266966814</v>
      </c>
    </row>
    <row r="1401" spans="1:23" x14ac:dyDescent="0.3">
      <c r="A1401" s="4" t="s">
        <v>1476</v>
      </c>
      <c r="B1401" s="5">
        <v>2015</v>
      </c>
      <c r="C1401" s="5" t="s">
        <v>920</v>
      </c>
      <c r="D1401" s="15" t="s">
        <v>921</v>
      </c>
      <c r="E1401" s="6">
        <v>124690</v>
      </c>
      <c r="F1401" s="5" t="s">
        <v>59</v>
      </c>
      <c r="G1401" s="5" t="s">
        <v>28</v>
      </c>
      <c r="H1401" s="5" t="s">
        <v>17</v>
      </c>
      <c r="I1401" s="5" t="s">
        <v>18</v>
      </c>
      <c r="J1401" s="7">
        <v>45323</v>
      </c>
      <c r="K1401" s="5" t="s">
        <v>17</v>
      </c>
      <c r="L1401" s="8">
        <v>43935</v>
      </c>
      <c r="M1401" s="19">
        <v>222</v>
      </c>
      <c r="N1401" s="19">
        <v>272</v>
      </c>
      <c r="O1401" s="24">
        <v>8500</v>
      </c>
      <c r="P1401" s="24">
        <v>8600</v>
      </c>
      <c r="Q1401" t="s">
        <v>1983</v>
      </c>
      <c r="R1401" s="19">
        <f>VLOOKUP(A1401,[1]Sheet1!$A$2:$Q$1536,15,FALSE)</f>
        <v>8780.4638671875</v>
      </c>
      <c r="S1401" s="27">
        <f t="shared" si="63"/>
        <v>2.0552885350612459E-2</v>
      </c>
      <c r="T1401" s="19">
        <f>VLOOKUP(A1401,[1]Sheet1!$A$2:$Q$1536,16,FALSE)</f>
        <v>10219.9287556529</v>
      </c>
      <c r="U1401" s="27">
        <f t="shared" si="64"/>
        <v>0.15850685404796744</v>
      </c>
      <c r="V1401" s="19">
        <f>VLOOKUP(A1401,[1]Sheet1!$A$2:$Q$1536,17,FALSE)</f>
        <v>8609.5517578125</v>
      </c>
      <c r="W1401" s="27">
        <f t="shared" si="65"/>
        <v>1.1094372949012731E-3</v>
      </c>
    </row>
    <row r="1402" spans="1:23" x14ac:dyDescent="0.3">
      <c r="A1402" s="4" t="s">
        <v>865</v>
      </c>
      <c r="B1402" s="5">
        <v>2019</v>
      </c>
      <c r="C1402" s="5" t="s">
        <v>391</v>
      </c>
      <c r="D1402" s="15" t="s">
        <v>582</v>
      </c>
      <c r="E1402" s="6">
        <v>89208</v>
      </c>
      <c r="F1402" s="5" t="s">
        <v>40</v>
      </c>
      <c r="G1402" s="5" t="s">
        <v>28</v>
      </c>
      <c r="H1402" s="5" t="s">
        <v>17</v>
      </c>
      <c r="I1402" s="5" t="s">
        <v>18</v>
      </c>
      <c r="J1402" s="7">
        <v>45566</v>
      </c>
      <c r="K1402" s="5" t="s">
        <v>17</v>
      </c>
      <c r="L1402" s="8">
        <v>44113</v>
      </c>
      <c r="M1402" s="19">
        <v>264</v>
      </c>
      <c r="N1402" s="19">
        <v>314</v>
      </c>
      <c r="O1402" s="24">
        <v>10000</v>
      </c>
      <c r="P1402" s="24">
        <v>14200</v>
      </c>
      <c r="Q1402" t="s">
        <v>1983</v>
      </c>
      <c r="R1402" s="19">
        <f>VLOOKUP(A1402,[1]Sheet1!$A$2:$Q$1536,15,FALSE)</f>
        <v>5414.46240234375</v>
      </c>
      <c r="S1402" s="27">
        <f t="shared" si="63"/>
        <v>-1.622605707605111</v>
      </c>
      <c r="T1402" s="19">
        <f>VLOOKUP(A1402,[1]Sheet1!$A$2:$Q$1536,16,FALSE)</f>
        <v>9671.4741411401628</v>
      </c>
      <c r="U1402" s="27">
        <f t="shared" si="64"/>
        <v>-0.46823532718725469</v>
      </c>
      <c r="V1402" s="19">
        <f>VLOOKUP(A1402,[1]Sheet1!$A$2:$Q$1536,17,FALSE)</f>
        <v>5501.13671875</v>
      </c>
      <c r="W1402" s="27">
        <f t="shared" si="65"/>
        <v>-1.5812846918712113</v>
      </c>
    </row>
    <row r="1403" spans="1:23" x14ac:dyDescent="0.3">
      <c r="A1403" s="4" t="s">
        <v>1396</v>
      </c>
      <c r="B1403" s="5">
        <v>2020</v>
      </c>
      <c r="C1403" s="5" t="s">
        <v>1089</v>
      </c>
      <c r="D1403" s="15" t="s">
        <v>1363</v>
      </c>
      <c r="E1403" s="6">
        <v>133473</v>
      </c>
      <c r="F1403" s="5" t="s">
        <v>144</v>
      </c>
      <c r="G1403" s="5" t="s">
        <v>134</v>
      </c>
      <c r="H1403" s="5" t="s">
        <v>18</v>
      </c>
      <c r="I1403" s="5" t="s">
        <v>17</v>
      </c>
      <c r="J1403" s="7">
        <v>45631</v>
      </c>
      <c r="K1403" s="5" t="s">
        <v>17</v>
      </c>
      <c r="L1403" s="8">
        <v>44662</v>
      </c>
      <c r="M1403" s="19">
        <v>235</v>
      </c>
      <c r="N1403" s="19">
        <v>285</v>
      </c>
      <c r="O1403" s="24">
        <v>2600</v>
      </c>
      <c r="P1403" s="24">
        <v>13200</v>
      </c>
      <c r="Q1403" t="s">
        <v>1983</v>
      </c>
      <c r="R1403" s="19">
        <f>VLOOKUP(A1403,[1]Sheet1!$A$2:$Q$1536,15,FALSE)</f>
        <v>3735.570068359375</v>
      </c>
      <c r="S1403" s="27">
        <f t="shared" si="63"/>
        <v>-2.5335972176790964</v>
      </c>
      <c r="T1403" s="19">
        <f>VLOOKUP(A1403,[1]Sheet1!$A$2:$Q$1536,16,FALSE)</f>
        <v>10018.444441428341</v>
      </c>
      <c r="U1403" s="27">
        <f t="shared" si="64"/>
        <v>-0.31756981606997475</v>
      </c>
      <c r="V1403" s="19">
        <f>VLOOKUP(A1403,[1]Sheet1!$A$2:$Q$1536,17,FALSE)</f>
        <v>3546.268798828125</v>
      </c>
      <c r="W1403" s="27">
        <f t="shared" si="65"/>
        <v>-2.7222220730594304</v>
      </c>
    </row>
    <row r="1404" spans="1:23" x14ac:dyDescent="0.3">
      <c r="A1404" s="4" t="s">
        <v>1624</v>
      </c>
      <c r="B1404" s="5">
        <v>2016</v>
      </c>
      <c r="C1404" s="5" t="s">
        <v>519</v>
      </c>
      <c r="D1404" s="15" t="s">
        <v>1607</v>
      </c>
      <c r="E1404" s="6">
        <v>164052</v>
      </c>
      <c r="F1404" s="5" t="s">
        <v>21</v>
      </c>
      <c r="G1404" s="5" t="s">
        <v>25</v>
      </c>
      <c r="H1404" s="5" t="s">
        <v>18</v>
      </c>
      <c r="I1404" s="5" t="s">
        <v>17</v>
      </c>
      <c r="J1404" s="7">
        <v>45622</v>
      </c>
      <c r="K1404" s="5" t="s">
        <v>17</v>
      </c>
      <c r="L1404" s="8">
        <v>44128</v>
      </c>
      <c r="M1404" s="19">
        <v>264</v>
      </c>
      <c r="N1404" s="19">
        <v>314</v>
      </c>
      <c r="O1404" s="24">
        <v>2900</v>
      </c>
      <c r="P1404" s="24">
        <v>3400</v>
      </c>
      <c r="Q1404" t="s">
        <v>1983</v>
      </c>
      <c r="R1404" s="19">
        <f>VLOOKUP(A1404,[1]Sheet1!$A$2:$Q$1536,15,FALSE)</f>
        <v>1299.43408203125</v>
      </c>
      <c r="S1404" s="27">
        <f t="shared" si="63"/>
        <v>-1.6165236444200282</v>
      </c>
      <c r="T1404" s="19">
        <f>VLOOKUP(A1404,[1]Sheet1!$A$2:$Q$1536,16,FALSE)</f>
        <v>9046.4077173906262</v>
      </c>
      <c r="U1404" s="27">
        <f t="shared" si="64"/>
        <v>0.62416020743085565</v>
      </c>
      <c r="V1404" s="19">
        <f>VLOOKUP(A1404,[1]Sheet1!$A$2:$Q$1536,17,FALSE)</f>
        <v>1325.587768554688</v>
      </c>
      <c r="W1404" s="27">
        <f t="shared" si="65"/>
        <v>-1.5648999490294639</v>
      </c>
    </row>
    <row r="1405" spans="1:23" x14ac:dyDescent="0.3">
      <c r="A1405" s="4" t="s">
        <v>338</v>
      </c>
      <c r="B1405" s="5">
        <v>2016</v>
      </c>
      <c r="C1405" s="5" t="s">
        <v>237</v>
      </c>
      <c r="D1405" s="15" t="s">
        <v>339</v>
      </c>
      <c r="E1405" s="6">
        <v>111591</v>
      </c>
      <c r="F1405" s="5" t="s">
        <v>184</v>
      </c>
      <c r="G1405" s="5" t="s">
        <v>25</v>
      </c>
      <c r="H1405" s="5" t="s">
        <v>18</v>
      </c>
      <c r="I1405" s="5" t="s">
        <v>17</v>
      </c>
      <c r="J1405" s="7">
        <v>45295</v>
      </c>
      <c r="K1405" s="5" t="s">
        <v>17</v>
      </c>
      <c r="L1405" s="8">
        <v>44137</v>
      </c>
      <c r="M1405" s="19">
        <v>280</v>
      </c>
      <c r="N1405" s="19">
        <v>330</v>
      </c>
      <c r="O1405" s="24">
        <v>0</v>
      </c>
      <c r="P1405" s="24">
        <v>3000</v>
      </c>
      <c r="Q1405" t="s">
        <v>1983</v>
      </c>
      <c r="R1405" s="19">
        <f>VLOOKUP(A1405,[1]Sheet1!$A$2:$Q$1536,15,FALSE)</f>
        <v>7815.2001953125</v>
      </c>
      <c r="S1405" s="27">
        <f t="shared" si="63"/>
        <v>0.61613267414449879</v>
      </c>
      <c r="T1405" s="19">
        <f>VLOOKUP(A1405,[1]Sheet1!$A$2:$Q$1536,16,FALSE)</f>
        <v>10034.380805392841</v>
      </c>
      <c r="U1405" s="27">
        <f t="shared" si="64"/>
        <v>0.70102789019251777</v>
      </c>
      <c r="V1405" s="19">
        <f>VLOOKUP(A1405,[1]Sheet1!$A$2:$Q$1536,17,FALSE)</f>
        <v>7628.77880859375</v>
      </c>
      <c r="W1405" s="27">
        <f t="shared" si="65"/>
        <v>0.60675226333466015</v>
      </c>
    </row>
    <row r="1406" spans="1:23" x14ac:dyDescent="0.3">
      <c r="A1406" s="4" t="s">
        <v>1672</v>
      </c>
      <c r="B1406" s="5">
        <v>2016</v>
      </c>
      <c r="C1406" s="5" t="s">
        <v>1089</v>
      </c>
      <c r="D1406" s="15" t="s">
        <v>1666</v>
      </c>
      <c r="E1406" s="6">
        <v>77444</v>
      </c>
      <c r="F1406" s="5" t="s">
        <v>42</v>
      </c>
      <c r="G1406" s="5" t="s">
        <v>28</v>
      </c>
      <c r="H1406" s="5" t="s">
        <v>17</v>
      </c>
      <c r="I1406" s="5" t="s">
        <v>18</v>
      </c>
      <c r="J1406" s="7">
        <v>45659</v>
      </c>
      <c r="K1406" s="5" t="s">
        <v>17</v>
      </c>
      <c r="L1406" s="8">
        <v>44310</v>
      </c>
      <c r="M1406" s="19">
        <v>235</v>
      </c>
      <c r="N1406" s="19">
        <v>285</v>
      </c>
      <c r="O1406" s="24">
        <v>0</v>
      </c>
      <c r="P1406" s="24">
        <v>5900</v>
      </c>
      <c r="Q1406" t="s">
        <v>1983</v>
      </c>
      <c r="R1406" s="19">
        <f>VLOOKUP(A1406,[1]Sheet1!$A$2:$Q$1536,15,FALSE)</f>
        <v>3132.28173828125</v>
      </c>
      <c r="S1406" s="27">
        <f t="shared" si="63"/>
        <v>-0.88361089230672341</v>
      </c>
      <c r="T1406" s="19">
        <f>VLOOKUP(A1406,[1]Sheet1!$A$2:$Q$1536,16,FALSE)</f>
        <v>9010.2642736506132</v>
      </c>
      <c r="U1406" s="27">
        <f t="shared" si="64"/>
        <v>0.34519123736982837</v>
      </c>
      <c r="V1406" s="19">
        <f>VLOOKUP(A1406,[1]Sheet1!$A$2:$Q$1536,17,FALSE)</f>
        <v>3011.75048828125</v>
      </c>
      <c r="W1406" s="27">
        <f t="shared" si="65"/>
        <v>-0.95899362279742517</v>
      </c>
    </row>
    <row r="1407" spans="1:23" x14ac:dyDescent="0.3">
      <c r="A1407" s="4" t="s">
        <v>23</v>
      </c>
      <c r="B1407" s="5">
        <v>2013</v>
      </c>
      <c r="C1407" s="5" t="s">
        <v>13</v>
      </c>
      <c r="D1407" s="15" t="s">
        <v>20</v>
      </c>
      <c r="E1407" s="6">
        <v>92052</v>
      </c>
      <c r="F1407" s="5" t="s">
        <v>24</v>
      </c>
      <c r="G1407" s="5" t="s">
        <v>25</v>
      </c>
      <c r="H1407" s="5" t="s">
        <v>18</v>
      </c>
      <c r="I1407" s="5" t="s">
        <v>17</v>
      </c>
      <c r="J1407" s="7">
        <v>45575</v>
      </c>
      <c r="K1407" s="5" t="s">
        <v>17</v>
      </c>
      <c r="L1407" s="8">
        <v>43605</v>
      </c>
      <c r="M1407" s="19">
        <v>264</v>
      </c>
      <c r="N1407" s="19">
        <v>314</v>
      </c>
      <c r="O1407" s="24">
        <v>6400</v>
      </c>
      <c r="P1407" s="24">
        <v>13271.4285714286</v>
      </c>
      <c r="Q1407" t="s">
        <v>1983</v>
      </c>
      <c r="R1407" s="19">
        <f>VLOOKUP(A1407,[1]Sheet1!$A$2:$Q$1536,15,FALSE)</f>
        <v>3333.187744140625</v>
      </c>
      <c r="S1407" s="27">
        <f t="shared" si="63"/>
        <v>-2.9816024749155825</v>
      </c>
      <c r="T1407" s="19">
        <f>VLOOKUP(A1407,[1]Sheet1!$A$2:$Q$1536,16,FALSE)</f>
        <v>9474.6110165481496</v>
      </c>
      <c r="U1407" s="27">
        <f t="shared" si="64"/>
        <v>-0.40073598253785947</v>
      </c>
      <c r="V1407" s="19">
        <f>VLOOKUP(A1407,[1]Sheet1!$A$2:$Q$1536,17,FALSE)</f>
        <v>3375.90771484375</v>
      </c>
      <c r="W1407" s="27">
        <f t="shared" si="65"/>
        <v>-2.931217821232075</v>
      </c>
    </row>
    <row r="1408" spans="1:23" x14ac:dyDescent="0.3">
      <c r="A1408" s="4" t="s">
        <v>1314</v>
      </c>
      <c r="B1408" s="5">
        <v>2017</v>
      </c>
      <c r="C1408" s="5" t="s">
        <v>636</v>
      </c>
      <c r="D1408" s="15" t="s">
        <v>1286</v>
      </c>
      <c r="E1408" s="6">
        <v>76496</v>
      </c>
      <c r="F1408" s="5" t="s">
        <v>199</v>
      </c>
      <c r="G1408" s="5" t="s">
        <v>16</v>
      </c>
      <c r="H1408" s="5" t="s">
        <v>17</v>
      </c>
      <c r="I1408" s="5" t="s">
        <v>18</v>
      </c>
      <c r="J1408" s="7">
        <v>45300</v>
      </c>
      <c r="K1408" s="5" t="s">
        <v>17</v>
      </c>
      <c r="L1408" s="8">
        <v>43612</v>
      </c>
      <c r="M1408" s="19">
        <v>264</v>
      </c>
      <c r="N1408" s="19">
        <v>314</v>
      </c>
      <c r="O1408" s="24">
        <v>12250</v>
      </c>
      <c r="P1408" s="24">
        <v>16250</v>
      </c>
      <c r="Q1408" t="s">
        <v>1983</v>
      </c>
      <c r="R1408" s="19">
        <f>VLOOKUP(A1408,[1]Sheet1!$A$2:$Q$1536,15,FALSE)</f>
        <v>11165.5419921875</v>
      </c>
      <c r="S1408" s="27">
        <f t="shared" si="63"/>
        <v>-0.4553704613148275</v>
      </c>
      <c r="T1408" s="19">
        <f>VLOOKUP(A1408,[1]Sheet1!$A$2:$Q$1536,16,FALSE)</f>
        <v>9951.6966278186374</v>
      </c>
      <c r="U1408" s="27">
        <f t="shared" si="64"/>
        <v>-0.63288739676562267</v>
      </c>
      <c r="V1408" s="19">
        <f>VLOOKUP(A1408,[1]Sheet1!$A$2:$Q$1536,17,FALSE)</f>
        <v>11175.064453125</v>
      </c>
      <c r="W1408" s="27">
        <f t="shared" si="65"/>
        <v>-0.45413031559346778</v>
      </c>
    </row>
    <row r="1409" spans="1:23" x14ac:dyDescent="0.3">
      <c r="A1409" s="4" t="s">
        <v>1946</v>
      </c>
      <c r="B1409" s="5">
        <v>2013</v>
      </c>
      <c r="C1409" s="5" t="s">
        <v>1805</v>
      </c>
      <c r="D1409" s="15" t="s">
        <v>1947</v>
      </c>
      <c r="E1409" s="6">
        <v>84025</v>
      </c>
      <c r="F1409" s="5" t="s">
        <v>115</v>
      </c>
      <c r="G1409" s="5" t="s">
        <v>16</v>
      </c>
      <c r="H1409" s="5" t="s">
        <v>17</v>
      </c>
      <c r="I1409" s="5" t="s">
        <v>18</v>
      </c>
      <c r="J1409" s="7">
        <v>45356</v>
      </c>
      <c r="K1409" s="5" t="s">
        <v>17</v>
      </c>
      <c r="L1409" s="8">
        <v>43605</v>
      </c>
      <c r="M1409" s="19">
        <v>264</v>
      </c>
      <c r="N1409" s="19">
        <v>314</v>
      </c>
      <c r="O1409" s="24">
        <v>8100</v>
      </c>
      <c r="P1409" s="24">
        <v>16855.8823529412</v>
      </c>
      <c r="Q1409" t="s">
        <v>1983</v>
      </c>
      <c r="R1409" s="19">
        <f>VLOOKUP(A1409,[1]Sheet1!$A$2:$Q$1536,15,FALSE)</f>
        <v>8002.80908203125</v>
      </c>
      <c r="S1409" s="27">
        <f t="shared" si="63"/>
        <v>-1.1062457169930247</v>
      </c>
      <c r="T1409" s="19">
        <f>VLOOKUP(A1409,[1]Sheet1!$A$2:$Q$1536,16,FALSE)</f>
        <v>10093.57799599696</v>
      </c>
      <c r="U1409" s="27">
        <f t="shared" si="64"/>
        <v>-0.66996107422225504</v>
      </c>
      <c r="V1409" s="19">
        <f>VLOOKUP(A1409,[1]Sheet1!$A$2:$Q$1536,17,FALSE)</f>
        <v>7876.1484375</v>
      </c>
      <c r="W1409" s="27">
        <f t="shared" si="65"/>
        <v>-1.1401174046805413</v>
      </c>
    </row>
    <row r="1410" spans="1:23" x14ac:dyDescent="0.3">
      <c r="A1410" s="4" t="s">
        <v>617</v>
      </c>
      <c r="B1410" s="5">
        <v>2012</v>
      </c>
      <c r="C1410" s="5" t="s">
        <v>30</v>
      </c>
      <c r="D1410" s="15" t="s">
        <v>614</v>
      </c>
      <c r="E1410" s="6">
        <v>137295</v>
      </c>
      <c r="F1410" s="5" t="s">
        <v>38</v>
      </c>
      <c r="G1410" s="5" t="s">
        <v>25</v>
      </c>
      <c r="H1410" s="5" t="s">
        <v>18</v>
      </c>
      <c r="I1410" s="5" t="s">
        <v>17</v>
      </c>
      <c r="J1410" s="7">
        <v>45468</v>
      </c>
      <c r="K1410" s="5" t="s">
        <v>17</v>
      </c>
      <c r="L1410" s="8">
        <v>44706</v>
      </c>
      <c r="M1410" s="19">
        <v>222</v>
      </c>
      <c r="N1410" s="19">
        <v>272</v>
      </c>
      <c r="O1410" s="24">
        <v>3400</v>
      </c>
      <c r="P1410" s="24">
        <v>4500</v>
      </c>
      <c r="Q1410" t="s">
        <v>1983</v>
      </c>
      <c r="R1410" s="19">
        <f>VLOOKUP(A1410,[1]Sheet1!$A$2:$Q$1536,15,FALSE)</f>
        <v>2029.100708007812</v>
      </c>
      <c r="S1410" s="27">
        <f t="shared" si="63"/>
        <v>-1.2177312255822617</v>
      </c>
      <c r="T1410" s="19">
        <f>VLOOKUP(A1410,[1]Sheet1!$A$2:$Q$1536,16,FALSE)</f>
        <v>9012.0232585279882</v>
      </c>
      <c r="U1410" s="27">
        <f t="shared" si="64"/>
        <v>0.50066706765967406</v>
      </c>
      <c r="V1410" s="19">
        <f>VLOOKUP(A1410,[1]Sheet1!$A$2:$Q$1536,17,FALSE)</f>
        <v>1967.080444335938</v>
      </c>
      <c r="W1410" s="27">
        <f t="shared" si="65"/>
        <v>-1.2876542812254659</v>
      </c>
    </row>
    <row r="1411" spans="1:23" x14ac:dyDescent="0.3">
      <c r="A1411" s="4" t="s">
        <v>353</v>
      </c>
      <c r="B1411" s="5">
        <v>2015</v>
      </c>
      <c r="C1411" s="5" t="s">
        <v>237</v>
      </c>
      <c r="D1411" s="15" t="s">
        <v>339</v>
      </c>
      <c r="E1411" s="6">
        <v>130525</v>
      </c>
      <c r="F1411" s="5" t="s">
        <v>79</v>
      </c>
      <c r="G1411" s="5" t="s">
        <v>22</v>
      </c>
      <c r="H1411" s="5" t="s">
        <v>18</v>
      </c>
      <c r="I1411" s="5" t="s">
        <v>17</v>
      </c>
      <c r="J1411" s="7">
        <v>45673</v>
      </c>
      <c r="K1411" s="5" t="s">
        <v>17</v>
      </c>
      <c r="L1411" s="8">
        <v>43612</v>
      </c>
      <c r="M1411" s="19">
        <v>264</v>
      </c>
      <c r="N1411" s="19">
        <v>314</v>
      </c>
      <c r="O1411" s="24">
        <v>0</v>
      </c>
      <c r="P1411" s="24">
        <v>600</v>
      </c>
      <c r="Q1411" t="s">
        <v>1983</v>
      </c>
      <c r="R1411" s="19">
        <f>VLOOKUP(A1411,[1]Sheet1!$A$2:$Q$1536,15,FALSE)</f>
        <v>2479.850830078125</v>
      </c>
      <c r="S1411" s="27">
        <f t="shared" ref="S1411:S1474" si="66">(R1411-$P1411)/R1411</f>
        <v>0.75804996303705185</v>
      </c>
      <c r="T1411" s="19">
        <f>VLOOKUP(A1411,[1]Sheet1!$A$2:$Q$1536,16,FALSE)</f>
        <v>9191.0031059465873</v>
      </c>
      <c r="U1411" s="27">
        <f t="shared" ref="U1411:U1474" si="67">(T1411-$P1411)/T1411</f>
        <v>0.93471876866064818</v>
      </c>
      <c r="V1411" s="19">
        <f>VLOOKUP(A1411,[1]Sheet1!$A$2:$Q$1536,17,FALSE)</f>
        <v>2345.591796875</v>
      </c>
      <c r="W1411" s="27">
        <f t="shared" ref="W1411:W1474" si="68">(V1411-$P1411)/V1411</f>
        <v>0.74420101536875605</v>
      </c>
    </row>
    <row r="1412" spans="1:23" x14ac:dyDescent="0.3">
      <c r="A1412" s="4" t="s">
        <v>893</v>
      </c>
      <c r="B1412" s="5">
        <v>2017</v>
      </c>
      <c r="C1412" s="5" t="s">
        <v>391</v>
      </c>
      <c r="D1412" s="15" t="s">
        <v>590</v>
      </c>
      <c r="E1412" s="6">
        <v>170188</v>
      </c>
      <c r="F1412" s="5" t="s">
        <v>170</v>
      </c>
      <c r="G1412" s="5" t="s">
        <v>22</v>
      </c>
      <c r="H1412" s="5" t="s">
        <v>18</v>
      </c>
      <c r="I1412" s="5" t="s">
        <v>17</v>
      </c>
      <c r="J1412" s="7">
        <v>45484</v>
      </c>
      <c r="K1412" s="5" t="s">
        <v>17</v>
      </c>
      <c r="L1412" s="8">
        <v>44224</v>
      </c>
      <c r="M1412" s="19">
        <v>235</v>
      </c>
      <c r="N1412" s="19">
        <v>285</v>
      </c>
      <c r="O1412" s="24">
        <v>0</v>
      </c>
      <c r="P1412" s="24">
        <v>12500</v>
      </c>
      <c r="Q1412" t="s">
        <v>1983</v>
      </c>
      <c r="R1412" s="19">
        <f>VLOOKUP(A1412,[1]Sheet1!$A$2:$Q$1536,15,FALSE)</f>
        <v>6533.9189453125</v>
      </c>
      <c r="S1412" s="27">
        <f t="shared" si="66"/>
        <v>-0.91309382693943997</v>
      </c>
      <c r="T1412" s="19">
        <f>VLOOKUP(A1412,[1]Sheet1!$A$2:$Q$1536,16,FALSE)</f>
        <v>9455.1183366628775</v>
      </c>
      <c r="U1412" s="27">
        <f t="shared" si="67"/>
        <v>-0.32203527813400101</v>
      </c>
      <c r="V1412" s="19">
        <f>VLOOKUP(A1412,[1]Sheet1!$A$2:$Q$1536,17,FALSE)</f>
        <v>6498.90234375</v>
      </c>
      <c r="W1412" s="27">
        <f t="shared" si="68"/>
        <v>-0.92340172829666545</v>
      </c>
    </row>
    <row r="1413" spans="1:23" x14ac:dyDescent="0.3">
      <c r="A1413" s="4" t="s">
        <v>1673</v>
      </c>
      <c r="B1413" s="5">
        <v>2016</v>
      </c>
      <c r="C1413" s="5" t="s">
        <v>1089</v>
      </c>
      <c r="D1413" s="15" t="s">
        <v>1659</v>
      </c>
      <c r="E1413" s="6">
        <v>125288</v>
      </c>
      <c r="F1413" s="5" t="s">
        <v>144</v>
      </c>
      <c r="G1413" s="5" t="s">
        <v>22</v>
      </c>
      <c r="H1413" s="5" t="s">
        <v>18</v>
      </c>
      <c r="I1413" s="5" t="s">
        <v>17</v>
      </c>
      <c r="J1413" s="7">
        <v>45468</v>
      </c>
      <c r="K1413" s="5" t="s">
        <v>17</v>
      </c>
      <c r="L1413" s="8">
        <v>44203</v>
      </c>
      <c r="M1413" s="19">
        <v>235</v>
      </c>
      <c r="N1413" s="19">
        <v>285</v>
      </c>
      <c r="O1413" s="24">
        <v>2600</v>
      </c>
      <c r="P1413" s="24">
        <v>6700</v>
      </c>
      <c r="Q1413" t="s">
        <v>1983</v>
      </c>
      <c r="R1413" s="19">
        <f>VLOOKUP(A1413,[1]Sheet1!$A$2:$Q$1536,15,FALSE)</f>
        <v>2034.01806640625</v>
      </c>
      <c r="S1413" s="27">
        <f t="shared" si="66"/>
        <v>-2.2939727088254012</v>
      </c>
      <c r="T1413" s="19">
        <f>VLOOKUP(A1413,[1]Sheet1!$A$2:$Q$1536,16,FALSE)</f>
        <v>8764.7635407192847</v>
      </c>
      <c r="U1413" s="27">
        <f t="shared" si="67"/>
        <v>0.2355754985433228</v>
      </c>
      <c r="V1413" s="19">
        <f>VLOOKUP(A1413,[1]Sheet1!$A$2:$Q$1536,17,FALSE)</f>
        <v>1972.155883789062</v>
      </c>
      <c r="W1413" s="27">
        <f t="shared" si="68"/>
        <v>-2.3972973714062751</v>
      </c>
    </row>
    <row r="1414" spans="1:23" x14ac:dyDescent="0.3">
      <c r="A1414" s="4" t="s">
        <v>881</v>
      </c>
      <c r="B1414" s="5">
        <v>2020</v>
      </c>
      <c r="C1414" s="5" t="s">
        <v>391</v>
      </c>
      <c r="D1414" s="15" t="s">
        <v>582</v>
      </c>
      <c r="E1414" s="6">
        <v>82806</v>
      </c>
      <c r="F1414" s="5" t="s">
        <v>21</v>
      </c>
      <c r="G1414" s="5" t="s">
        <v>33</v>
      </c>
      <c r="H1414" s="5" t="s">
        <v>17</v>
      </c>
      <c r="I1414" s="5" t="s">
        <v>18</v>
      </c>
      <c r="J1414" s="7">
        <v>45510</v>
      </c>
      <c r="K1414" s="5" t="s">
        <v>17</v>
      </c>
      <c r="L1414" s="8">
        <v>44128</v>
      </c>
      <c r="M1414" s="19">
        <v>264</v>
      </c>
      <c r="N1414" s="19">
        <v>314</v>
      </c>
      <c r="O1414" s="24">
        <v>7300</v>
      </c>
      <c r="P1414" s="24">
        <v>19000</v>
      </c>
      <c r="Q1414" t="s">
        <v>1983</v>
      </c>
      <c r="R1414" s="19">
        <f>VLOOKUP(A1414,[1]Sheet1!$A$2:$Q$1536,15,FALSE)</f>
        <v>5343.787109375</v>
      </c>
      <c r="S1414" s="27">
        <f t="shared" si="66"/>
        <v>-2.5555308643689973</v>
      </c>
      <c r="T1414" s="19">
        <f>VLOOKUP(A1414,[1]Sheet1!$A$2:$Q$1536,16,FALSE)</f>
        <v>10751.06293781909</v>
      </c>
      <c r="U1414" s="27">
        <f t="shared" si="67"/>
        <v>-0.76726711673908687</v>
      </c>
      <c r="V1414" s="19">
        <f>VLOOKUP(A1414,[1]Sheet1!$A$2:$Q$1536,17,FALSE)</f>
        <v>5027.3564453125</v>
      </c>
      <c r="W1414" s="27">
        <f t="shared" si="68"/>
        <v>-2.7793222355887601</v>
      </c>
    </row>
    <row r="1415" spans="1:23" x14ac:dyDescent="0.3">
      <c r="A1415" s="4" t="s">
        <v>412</v>
      </c>
      <c r="B1415" s="5">
        <v>2018</v>
      </c>
      <c r="C1415" s="5" t="s">
        <v>391</v>
      </c>
      <c r="D1415" s="15" t="s">
        <v>413</v>
      </c>
      <c r="E1415" s="6">
        <v>79923</v>
      </c>
      <c r="F1415" s="5" t="s">
        <v>92</v>
      </c>
      <c r="G1415" s="5" t="s">
        <v>16</v>
      </c>
      <c r="H1415" s="5" t="s">
        <v>17</v>
      </c>
      <c r="I1415" s="5" t="s">
        <v>18</v>
      </c>
      <c r="J1415" s="7">
        <v>45566</v>
      </c>
      <c r="K1415" s="5" t="s">
        <v>17</v>
      </c>
      <c r="L1415" s="8">
        <v>44128</v>
      </c>
      <c r="M1415" s="19">
        <v>264</v>
      </c>
      <c r="N1415" s="19">
        <v>314</v>
      </c>
      <c r="O1415" s="24">
        <v>8500</v>
      </c>
      <c r="P1415" s="24">
        <v>13600</v>
      </c>
      <c r="Q1415" t="s">
        <v>1983</v>
      </c>
      <c r="R1415" s="19">
        <f>VLOOKUP(A1415,[1]Sheet1!$A$2:$Q$1536,15,FALSE)</f>
        <v>12372.212890625</v>
      </c>
      <c r="S1415" s="27">
        <f t="shared" si="66"/>
        <v>-9.9237470307785541E-2</v>
      </c>
      <c r="T1415" s="19">
        <f>VLOOKUP(A1415,[1]Sheet1!$A$2:$Q$1536,16,FALSE)</f>
        <v>10420.792671357651</v>
      </c>
      <c r="U1415" s="27">
        <f t="shared" si="67"/>
        <v>-0.30508306123205431</v>
      </c>
      <c r="V1415" s="19">
        <f>VLOOKUP(A1415,[1]Sheet1!$A$2:$Q$1536,17,FALSE)</f>
        <v>12346.5283203125</v>
      </c>
      <c r="W1415" s="27">
        <f t="shared" si="68"/>
        <v>-0.10152422180292489</v>
      </c>
    </row>
    <row r="1416" spans="1:23" x14ac:dyDescent="0.3">
      <c r="A1416" s="4" t="s">
        <v>1738</v>
      </c>
      <c r="B1416" s="5">
        <v>2016</v>
      </c>
      <c r="C1416" s="5" t="s">
        <v>1086</v>
      </c>
      <c r="D1416" s="15" t="s">
        <v>1093</v>
      </c>
      <c r="E1416" s="6">
        <v>143111</v>
      </c>
      <c r="F1416" s="5" t="s">
        <v>36</v>
      </c>
      <c r="G1416" s="5" t="s">
        <v>25</v>
      </c>
      <c r="H1416" s="5" t="s">
        <v>18</v>
      </c>
      <c r="I1416" s="5" t="s">
        <v>17</v>
      </c>
      <c r="J1416" s="7">
        <v>45596</v>
      </c>
      <c r="K1416" s="5" t="s">
        <v>17</v>
      </c>
      <c r="L1416" s="8">
        <v>44128</v>
      </c>
      <c r="M1416" s="19">
        <v>264</v>
      </c>
      <c r="N1416" s="19">
        <v>314</v>
      </c>
      <c r="O1416" s="24">
        <v>1200</v>
      </c>
      <c r="P1416" s="24">
        <v>6900</v>
      </c>
      <c r="Q1416" t="s">
        <v>1983</v>
      </c>
      <c r="R1416" s="19">
        <f>VLOOKUP(A1416,[1]Sheet1!$A$2:$Q$1536,15,FALSE)</f>
        <v>1243.664428710938</v>
      </c>
      <c r="S1416" s="27">
        <f t="shared" si="66"/>
        <v>-4.5481204099017871</v>
      </c>
      <c r="T1416" s="19">
        <f>VLOOKUP(A1416,[1]Sheet1!$A$2:$Q$1536,16,FALSE)</f>
        <v>8691.0288133362756</v>
      </c>
      <c r="U1416" s="27">
        <f t="shared" si="67"/>
        <v>0.20607788235472929</v>
      </c>
      <c r="V1416" s="19">
        <f>VLOOKUP(A1416,[1]Sheet1!$A$2:$Q$1536,17,FALSE)</f>
        <v>1330.663208007812</v>
      </c>
      <c r="W1416" s="27">
        <f t="shared" si="68"/>
        <v>-4.1853842192948729</v>
      </c>
    </row>
    <row r="1417" spans="1:23" x14ac:dyDescent="0.3">
      <c r="A1417" s="4" t="s">
        <v>1446</v>
      </c>
      <c r="B1417" s="5">
        <v>2011</v>
      </c>
      <c r="C1417" s="5" t="s">
        <v>1086</v>
      </c>
      <c r="D1417" s="15" t="s">
        <v>1447</v>
      </c>
      <c r="E1417" s="6">
        <v>166616</v>
      </c>
      <c r="F1417" s="5" t="s">
        <v>81</v>
      </c>
      <c r="G1417" s="5" t="s">
        <v>25</v>
      </c>
      <c r="H1417" s="5" t="s">
        <v>18</v>
      </c>
      <c r="I1417" s="5" t="s">
        <v>17</v>
      </c>
      <c r="J1417" s="7">
        <v>45302</v>
      </c>
      <c r="K1417" s="5" t="s">
        <v>17</v>
      </c>
      <c r="L1417" s="8">
        <v>44113</v>
      </c>
      <c r="M1417" s="19">
        <v>264</v>
      </c>
      <c r="N1417" s="19">
        <v>314</v>
      </c>
      <c r="O1417" s="24">
        <v>0</v>
      </c>
      <c r="P1417" s="24">
        <v>2200</v>
      </c>
      <c r="Q1417" t="s">
        <v>1983</v>
      </c>
      <c r="R1417" s="19">
        <f>VLOOKUP(A1417,[1]Sheet1!$A$2:$Q$1536,15,FALSE)</f>
        <v>803.41961669921875</v>
      </c>
      <c r="S1417" s="27">
        <f t="shared" si="66"/>
        <v>-1.7382951004339589</v>
      </c>
      <c r="T1417" s="19">
        <f>VLOOKUP(A1417,[1]Sheet1!$A$2:$Q$1536,16,FALSE)</f>
        <v>8691.745660572582</v>
      </c>
      <c r="U1417" s="27">
        <f t="shared" si="67"/>
        <v>0.74688628890976183</v>
      </c>
      <c r="V1417" s="19">
        <f>VLOOKUP(A1417,[1]Sheet1!$A$2:$Q$1536,17,FALSE)</f>
        <v>1088.946655273438</v>
      </c>
      <c r="W1417" s="27">
        <f t="shared" si="68"/>
        <v>-1.020300984759968</v>
      </c>
    </row>
    <row r="1418" spans="1:23" x14ac:dyDescent="0.3">
      <c r="A1418" s="4" t="s">
        <v>752</v>
      </c>
      <c r="B1418" s="5">
        <v>2013</v>
      </c>
      <c r="C1418" s="5" t="s">
        <v>83</v>
      </c>
      <c r="D1418" s="15" t="s">
        <v>744</v>
      </c>
      <c r="E1418" s="6">
        <v>73128</v>
      </c>
      <c r="F1418" s="5" t="s">
        <v>79</v>
      </c>
      <c r="G1418" s="5" t="s">
        <v>22</v>
      </c>
      <c r="H1418" s="5" t="s">
        <v>18</v>
      </c>
      <c r="I1418" s="5" t="s">
        <v>17</v>
      </c>
      <c r="J1418" s="7">
        <v>45370</v>
      </c>
      <c r="K1418" s="5" t="s">
        <v>17</v>
      </c>
      <c r="L1418" s="8">
        <v>44444</v>
      </c>
      <c r="M1418" s="19">
        <v>264</v>
      </c>
      <c r="N1418" s="19">
        <v>314</v>
      </c>
      <c r="O1418" s="24">
        <v>2900</v>
      </c>
      <c r="P1418" s="24">
        <v>3200</v>
      </c>
      <c r="Q1418" t="s">
        <v>1983</v>
      </c>
      <c r="R1418" s="19">
        <f>VLOOKUP(A1418,[1]Sheet1!$A$2:$Q$1536,15,FALSE)</f>
        <v>4260.482421875</v>
      </c>
      <c r="S1418" s="27">
        <f t="shared" si="66"/>
        <v>0.24891134779246224</v>
      </c>
      <c r="T1418" s="19">
        <f>VLOOKUP(A1418,[1]Sheet1!$A$2:$Q$1536,16,FALSE)</f>
        <v>9126.0799392047556</v>
      </c>
      <c r="U1418" s="27">
        <f t="shared" si="67"/>
        <v>0.64935656696879129</v>
      </c>
      <c r="V1418" s="19">
        <f>VLOOKUP(A1418,[1]Sheet1!$A$2:$Q$1536,17,FALSE)</f>
        <v>4183.2197265625</v>
      </c>
      <c r="W1418" s="27">
        <f t="shared" si="68"/>
        <v>0.2350389869122286</v>
      </c>
    </row>
    <row r="1419" spans="1:23" x14ac:dyDescent="0.3">
      <c r="A1419" s="4" t="s">
        <v>630</v>
      </c>
      <c r="B1419" s="5">
        <v>2011</v>
      </c>
      <c r="C1419" s="5" t="s">
        <v>96</v>
      </c>
      <c r="D1419" s="15" t="s">
        <v>117</v>
      </c>
      <c r="E1419" s="6">
        <v>105865</v>
      </c>
      <c r="F1419" s="5" t="s">
        <v>57</v>
      </c>
      <c r="G1419" s="5" t="s">
        <v>25</v>
      </c>
      <c r="H1419" s="5" t="s">
        <v>18</v>
      </c>
      <c r="I1419" s="5" t="s">
        <v>17</v>
      </c>
      <c r="J1419" s="7">
        <v>45561</v>
      </c>
      <c r="K1419" s="5" t="s">
        <v>17</v>
      </c>
      <c r="L1419" s="8">
        <v>44137</v>
      </c>
      <c r="M1419" s="19">
        <v>280</v>
      </c>
      <c r="N1419" s="19">
        <v>330</v>
      </c>
      <c r="O1419" s="24">
        <v>0</v>
      </c>
      <c r="P1419" s="24">
        <v>1800</v>
      </c>
      <c r="Q1419" t="s">
        <v>1983</v>
      </c>
      <c r="R1419" s="19">
        <f>VLOOKUP(A1419,[1]Sheet1!$A$2:$Q$1536,15,FALSE)</f>
        <v>2393.8447265625</v>
      </c>
      <c r="S1419" s="27">
        <f t="shared" si="66"/>
        <v>0.24807153111189709</v>
      </c>
      <c r="T1419" s="19">
        <f>VLOOKUP(A1419,[1]Sheet1!$A$2:$Q$1536,16,FALSE)</f>
        <v>9196.4892335764544</v>
      </c>
      <c r="U1419" s="27">
        <f t="shared" si="67"/>
        <v>0.80427313572790515</v>
      </c>
      <c r="V1419" s="19">
        <f>VLOOKUP(A1419,[1]Sheet1!$A$2:$Q$1536,17,FALSE)</f>
        <v>2321.60986328125</v>
      </c>
      <c r="W1419" s="27">
        <f t="shared" si="68"/>
        <v>0.22467593351108187</v>
      </c>
    </row>
    <row r="1420" spans="1:23" x14ac:dyDescent="0.3">
      <c r="A1420" s="4" t="s">
        <v>1154</v>
      </c>
      <c r="B1420" s="5">
        <v>2018</v>
      </c>
      <c r="C1420" s="5" t="s">
        <v>636</v>
      </c>
      <c r="D1420" s="15" t="s">
        <v>1142</v>
      </c>
      <c r="E1420" s="6">
        <v>94913</v>
      </c>
      <c r="F1420" s="5" t="s">
        <v>44</v>
      </c>
      <c r="G1420" s="5" t="s">
        <v>33</v>
      </c>
      <c r="H1420" s="5" t="s">
        <v>17</v>
      </c>
      <c r="I1420" s="5" t="s">
        <v>18</v>
      </c>
      <c r="J1420" s="7">
        <v>45715</v>
      </c>
      <c r="K1420" s="5" t="s">
        <v>17</v>
      </c>
      <c r="L1420" s="8">
        <v>44483</v>
      </c>
      <c r="M1420" s="19">
        <v>264</v>
      </c>
      <c r="N1420" s="19">
        <v>314</v>
      </c>
      <c r="O1420" s="24">
        <v>3200</v>
      </c>
      <c r="P1420" s="24">
        <v>8000</v>
      </c>
      <c r="Q1420" t="s">
        <v>1983</v>
      </c>
      <c r="R1420" s="19">
        <f>VLOOKUP(A1420,[1]Sheet1!$A$2:$Q$1536,15,FALSE)</f>
        <v>7155.771484375</v>
      </c>
      <c r="S1420" s="27">
        <f t="shared" si="66"/>
        <v>-0.11797868580186176</v>
      </c>
      <c r="T1420" s="19">
        <f>VLOOKUP(A1420,[1]Sheet1!$A$2:$Q$1536,16,FALSE)</f>
        <v>9039.5794313769748</v>
      </c>
      <c r="U1420" s="27">
        <f t="shared" si="67"/>
        <v>0.11500307500684448</v>
      </c>
      <c r="V1420" s="19">
        <f>VLOOKUP(A1420,[1]Sheet1!$A$2:$Q$1536,17,FALSE)</f>
        <v>7234.26318359375</v>
      </c>
      <c r="W1420" s="27">
        <f t="shared" si="68"/>
        <v>-0.10584862576507156</v>
      </c>
    </row>
    <row r="1421" spans="1:23" x14ac:dyDescent="0.3">
      <c r="A1421" s="4" t="s">
        <v>1698</v>
      </c>
      <c r="B1421" s="5">
        <v>2017</v>
      </c>
      <c r="C1421" s="5" t="s">
        <v>1089</v>
      </c>
      <c r="D1421" s="15" t="s">
        <v>1696</v>
      </c>
      <c r="E1421" s="6">
        <v>200754</v>
      </c>
      <c r="F1421" s="5" t="s">
        <v>73</v>
      </c>
      <c r="G1421" s="5" t="s">
        <v>25</v>
      </c>
      <c r="H1421" s="5" t="s">
        <v>18</v>
      </c>
      <c r="I1421" s="5" t="s">
        <v>17</v>
      </c>
      <c r="J1421" s="7">
        <v>45351</v>
      </c>
      <c r="K1421" s="5" t="s">
        <v>17</v>
      </c>
      <c r="L1421" s="8">
        <v>44128</v>
      </c>
      <c r="M1421" s="19">
        <v>264</v>
      </c>
      <c r="N1421" s="19">
        <v>314</v>
      </c>
      <c r="O1421" s="24">
        <v>0</v>
      </c>
      <c r="P1421" s="24">
        <v>6200</v>
      </c>
      <c r="Q1421" t="s">
        <v>1983</v>
      </c>
      <c r="R1421" s="19">
        <f>VLOOKUP(A1421,[1]Sheet1!$A$2:$Q$1536,15,FALSE)</f>
        <v>2165.041748046875</v>
      </c>
      <c r="S1421" s="27">
        <f t="shared" si="66"/>
        <v>-1.8636861185670608</v>
      </c>
      <c r="T1421" s="19">
        <f>VLOOKUP(A1421,[1]Sheet1!$A$2:$Q$1536,16,FALSE)</f>
        <v>8576.5308911898919</v>
      </c>
      <c r="U1421" s="27">
        <f t="shared" si="67"/>
        <v>0.27709698960347084</v>
      </c>
      <c r="V1421" s="19">
        <f>VLOOKUP(A1421,[1]Sheet1!$A$2:$Q$1536,17,FALSE)</f>
        <v>2095.49365234375</v>
      </c>
      <c r="W1421" s="27">
        <f t="shared" si="68"/>
        <v>-1.9587300314966245</v>
      </c>
    </row>
    <row r="1422" spans="1:23" x14ac:dyDescent="0.3">
      <c r="A1422" s="4" t="s">
        <v>907</v>
      </c>
      <c r="B1422" s="5">
        <v>2020</v>
      </c>
      <c r="C1422" s="5" t="s">
        <v>30</v>
      </c>
      <c r="D1422" s="15" t="s">
        <v>31</v>
      </c>
      <c r="E1422" s="6">
        <v>54882</v>
      </c>
      <c r="F1422" s="5" t="s">
        <v>644</v>
      </c>
      <c r="G1422" s="5" t="s">
        <v>16</v>
      </c>
      <c r="H1422" s="5" t="s">
        <v>17</v>
      </c>
      <c r="I1422" s="5" t="s">
        <v>18</v>
      </c>
      <c r="J1422" s="7">
        <v>45386</v>
      </c>
      <c r="K1422" s="5" t="s">
        <v>17</v>
      </c>
      <c r="L1422" s="8">
        <v>44113</v>
      </c>
      <c r="M1422" s="19">
        <v>264</v>
      </c>
      <c r="N1422" s="19">
        <v>314</v>
      </c>
      <c r="O1422" s="24">
        <v>16200</v>
      </c>
      <c r="P1422" s="24">
        <v>18800</v>
      </c>
      <c r="Q1422" t="s">
        <v>1983</v>
      </c>
      <c r="R1422" s="19">
        <f>VLOOKUP(A1422,[1]Sheet1!$A$2:$Q$1536,15,FALSE)</f>
        <v>17890.75390625</v>
      </c>
      <c r="S1422" s="27">
        <f t="shared" si="66"/>
        <v>-5.0822122897367768E-2</v>
      </c>
      <c r="T1422" s="19">
        <f>VLOOKUP(A1422,[1]Sheet1!$A$2:$Q$1536,16,FALSE)</f>
        <v>13269.148477813371</v>
      </c>
      <c r="U1422" s="27">
        <f t="shared" si="67"/>
        <v>-0.41682038085823431</v>
      </c>
      <c r="V1422" s="19">
        <f>VLOOKUP(A1422,[1]Sheet1!$A$2:$Q$1536,17,FALSE)</f>
        <v>17773.84765625</v>
      </c>
      <c r="W1422" s="27">
        <f t="shared" si="68"/>
        <v>-5.7733832515952932E-2</v>
      </c>
    </row>
    <row r="1423" spans="1:23" x14ac:dyDescent="0.3">
      <c r="A1423" s="4" t="s">
        <v>979</v>
      </c>
      <c r="B1423" s="5">
        <v>2020</v>
      </c>
      <c r="C1423" s="5" t="s">
        <v>83</v>
      </c>
      <c r="D1423" s="15" t="s">
        <v>965</v>
      </c>
      <c r="E1423" s="6">
        <v>75626</v>
      </c>
      <c r="F1423" s="5" t="s">
        <v>112</v>
      </c>
      <c r="G1423" s="5" t="s">
        <v>134</v>
      </c>
      <c r="H1423" s="5" t="s">
        <v>18</v>
      </c>
      <c r="I1423" s="5" t="s">
        <v>17</v>
      </c>
      <c r="J1423" s="7">
        <v>45519</v>
      </c>
      <c r="K1423" s="5" t="s">
        <v>17</v>
      </c>
      <c r="L1423" s="8">
        <v>43605</v>
      </c>
      <c r="M1423" s="19">
        <v>264</v>
      </c>
      <c r="N1423" s="19">
        <v>314</v>
      </c>
      <c r="O1423" s="24">
        <v>2500</v>
      </c>
      <c r="P1423" s="24">
        <v>9200</v>
      </c>
      <c r="Q1423" t="s">
        <v>1983</v>
      </c>
      <c r="R1423" s="19">
        <f>VLOOKUP(A1423,[1]Sheet1!$A$2:$Q$1536,15,FALSE)</f>
        <v>7033.8173828125</v>
      </c>
      <c r="S1423" s="27">
        <f t="shared" si="66"/>
        <v>-0.30796685488034992</v>
      </c>
      <c r="T1423" s="19">
        <f>VLOOKUP(A1423,[1]Sheet1!$A$2:$Q$1536,16,FALSE)</f>
        <v>10347.543345441391</v>
      </c>
      <c r="U1423" s="27">
        <f t="shared" si="67"/>
        <v>0.11090007619508457</v>
      </c>
      <c r="V1423" s="19">
        <f>VLOOKUP(A1423,[1]Sheet1!$A$2:$Q$1536,17,FALSE)</f>
        <v>6822.22265625</v>
      </c>
      <c r="W1423" s="27">
        <f t="shared" si="68"/>
        <v>-0.34853411616105223</v>
      </c>
    </row>
    <row r="1424" spans="1:23" x14ac:dyDescent="0.3">
      <c r="A1424" s="4" t="s">
        <v>1699</v>
      </c>
      <c r="B1424" s="5">
        <v>2015</v>
      </c>
      <c r="C1424" s="5" t="s">
        <v>1089</v>
      </c>
      <c r="D1424" s="15" t="s">
        <v>1696</v>
      </c>
      <c r="E1424" s="6">
        <v>136242</v>
      </c>
      <c r="F1424" s="5" t="s">
        <v>42</v>
      </c>
      <c r="G1424" s="5" t="s">
        <v>28</v>
      </c>
      <c r="H1424" s="5" t="s">
        <v>17</v>
      </c>
      <c r="I1424" s="5" t="s">
        <v>18</v>
      </c>
      <c r="J1424" s="7">
        <v>45603</v>
      </c>
      <c r="K1424" s="5" t="s">
        <v>17</v>
      </c>
      <c r="L1424" s="8">
        <v>44067</v>
      </c>
      <c r="M1424" s="19">
        <v>235</v>
      </c>
      <c r="N1424" s="19">
        <v>285</v>
      </c>
      <c r="O1424" s="24">
        <v>0</v>
      </c>
      <c r="P1424" s="24">
        <v>7300</v>
      </c>
      <c r="Q1424" t="s">
        <v>1983</v>
      </c>
      <c r="R1424" s="19">
        <f>VLOOKUP(A1424,[1]Sheet1!$A$2:$Q$1536,15,FALSE)</f>
        <v>1305.67626953125</v>
      </c>
      <c r="S1424" s="27">
        <f t="shared" si="66"/>
        <v>-4.5909724105047633</v>
      </c>
      <c r="T1424" s="19">
        <f>VLOOKUP(A1424,[1]Sheet1!$A$2:$Q$1536,16,FALSE)</f>
        <v>8692.4263797578042</v>
      </c>
      <c r="U1424" s="27">
        <f t="shared" si="67"/>
        <v>0.16018845819624891</v>
      </c>
      <c r="V1424" s="19">
        <f>VLOOKUP(A1424,[1]Sheet1!$A$2:$Q$1536,17,FALSE)</f>
        <v>1330.663208007812</v>
      </c>
      <c r="W1424" s="27">
        <f t="shared" si="68"/>
        <v>-4.4859862030221116</v>
      </c>
    </row>
    <row r="1425" spans="1:23" x14ac:dyDescent="0.3">
      <c r="A1425" s="4" t="s">
        <v>855</v>
      </c>
      <c r="B1425" s="5">
        <v>2016</v>
      </c>
      <c r="C1425" s="5" t="s">
        <v>391</v>
      </c>
      <c r="D1425" s="15" t="s">
        <v>582</v>
      </c>
      <c r="E1425" s="6">
        <v>64096</v>
      </c>
      <c r="F1425" s="5" t="s">
        <v>66</v>
      </c>
      <c r="G1425" s="5" t="s">
        <v>22</v>
      </c>
      <c r="H1425" s="5" t="s">
        <v>18</v>
      </c>
      <c r="I1425" s="5" t="s">
        <v>17</v>
      </c>
      <c r="J1425" s="7">
        <v>45342</v>
      </c>
      <c r="K1425" s="5" t="s">
        <v>17</v>
      </c>
      <c r="L1425" s="8">
        <v>44035</v>
      </c>
      <c r="M1425" s="19">
        <v>222</v>
      </c>
      <c r="N1425" s="19">
        <v>272</v>
      </c>
      <c r="O1425" s="24">
        <v>8100</v>
      </c>
      <c r="P1425" s="24">
        <v>9000</v>
      </c>
      <c r="Q1425" t="s">
        <v>1983</v>
      </c>
      <c r="R1425" s="19">
        <f>VLOOKUP(A1425,[1]Sheet1!$A$2:$Q$1536,15,FALSE)</f>
        <v>4843.921875</v>
      </c>
      <c r="S1425" s="27">
        <f t="shared" si="66"/>
        <v>-0.85799858714690769</v>
      </c>
      <c r="T1425" s="19">
        <f>VLOOKUP(A1425,[1]Sheet1!$A$2:$Q$1536,16,FALSE)</f>
        <v>11204.198121017909</v>
      </c>
      <c r="U1425" s="27">
        <f t="shared" si="67"/>
        <v>0.19672966304327152</v>
      </c>
      <c r="V1425" s="19">
        <f>VLOOKUP(A1425,[1]Sheet1!$A$2:$Q$1536,17,FALSE)</f>
        <v>4693.626953125</v>
      </c>
      <c r="W1425" s="27">
        <f t="shared" si="68"/>
        <v>-0.91749367597436182</v>
      </c>
    </row>
    <row r="1426" spans="1:23" x14ac:dyDescent="0.3">
      <c r="A1426" s="4" t="s">
        <v>508</v>
      </c>
      <c r="B1426" s="5">
        <v>2017</v>
      </c>
      <c r="C1426" s="5" t="s">
        <v>391</v>
      </c>
      <c r="D1426" s="15" t="s">
        <v>394</v>
      </c>
      <c r="E1426" s="6">
        <v>102225</v>
      </c>
      <c r="F1426" s="5" t="s">
        <v>21</v>
      </c>
      <c r="G1426" s="5" t="s">
        <v>28</v>
      </c>
      <c r="H1426" s="5" t="s">
        <v>17</v>
      </c>
      <c r="I1426" s="5" t="s">
        <v>18</v>
      </c>
      <c r="J1426" s="7">
        <v>45678</v>
      </c>
      <c r="K1426" s="5" t="s">
        <v>17</v>
      </c>
      <c r="L1426" s="8">
        <v>44074</v>
      </c>
      <c r="M1426" s="19">
        <v>179</v>
      </c>
      <c r="N1426" s="19">
        <v>229</v>
      </c>
      <c r="O1426" s="24">
        <v>5000</v>
      </c>
      <c r="P1426" s="24">
        <v>8400</v>
      </c>
      <c r="Q1426" t="s">
        <v>1983</v>
      </c>
      <c r="R1426" s="19">
        <f>VLOOKUP(A1426,[1]Sheet1!$A$2:$Q$1536,15,FALSE)</f>
        <v>2089.234375</v>
      </c>
      <c r="S1426" s="27">
        <f t="shared" si="66"/>
        <v>-3.0206116175931674</v>
      </c>
      <c r="T1426" s="19">
        <f>VLOOKUP(A1426,[1]Sheet1!$A$2:$Q$1536,16,FALSE)</f>
        <v>9286.1134826892012</v>
      </c>
      <c r="U1426" s="27">
        <f t="shared" si="67"/>
        <v>9.5423503529335305E-2</v>
      </c>
      <c r="V1426" s="19">
        <f>VLOOKUP(A1426,[1]Sheet1!$A$2:$Q$1536,17,FALSE)</f>
        <v>2051.209716796875</v>
      </c>
      <c r="W1426" s="27">
        <f t="shared" si="68"/>
        <v>-3.0951444073291832</v>
      </c>
    </row>
    <row r="1427" spans="1:23" x14ac:dyDescent="0.3">
      <c r="A1427" s="4" t="s">
        <v>408</v>
      </c>
      <c r="B1427" s="5">
        <v>2014</v>
      </c>
      <c r="C1427" s="5" t="s">
        <v>391</v>
      </c>
      <c r="D1427" s="15" t="s">
        <v>394</v>
      </c>
      <c r="E1427" s="6">
        <v>179546</v>
      </c>
      <c r="F1427" s="5" t="s">
        <v>27</v>
      </c>
      <c r="G1427" s="5" t="s">
        <v>25</v>
      </c>
      <c r="H1427" s="5" t="s">
        <v>18</v>
      </c>
      <c r="I1427" s="5" t="s">
        <v>17</v>
      </c>
      <c r="J1427" s="7">
        <v>45631</v>
      </c>
      <c r="K1427" s="5" t="s">
        <v>17</v>
      </c>
      <c r="L1427" s="8">
        <v>44137</v>
      </c>
      <c r="M1427" s="19">
        <v>280</v>
      </c>
      <c r="N1427" s="19">
        <v>330</v>
      </c>
      <c r="O1427" s="24">
        <v>1300</v>
      </c>
      <c r="P1427" s="24">
        <v>9200</v>
      </c>
      <c r="Q1427" t="s">
        <v>1983</v>
      </c>
      <c r="R1427" s="19">
        <f>VLOOKUP(A1427,[1]Sheet1!$A$2:$Q$1536,15,FALSE)</f>
        <v>655.34954833984375</v>
      </c>
      <c r="S1427" s="27">
        <f t="shared" si="66"/>
        <v>-13.038309820012524</v>
      </c>
      <c r="T1427" s="19">
        <f>VLOOKUP(A1427,[1]Sheet1!$A$2:$Q$1536,16,FALSE)</f>
        <v>9234.1030691491214</v>
      </c>
      <c r="U1427" s="27">
        <f t="shared" si="67"/>
        <v>3.6931653127263474E-3</v>
      </c>
      <c r="V1427" s="19">
        <f>VLOOKUP(A1427,[1]Sheet1!$A$2:$Q$1536,17,FALSE)</f>
        <v>953.262451171875</v>
      </c>
      <c r="W1427" s="27">
        <f t="shared" si="68"/>
        <v>-8.6510672257048995</v>
      </c>
    </row>
    <row r="1428" spans="1:23" x14ac:dyDescent="0.3">
      <c r="A1428" s="4" t="s">
        <v>470</v>
      </c>
      <c r="B1428" s="5">
        <v>2016</v>
      </c>
      <c r="C1428" s="5" t="s">
        <v>391</v>
      </c>
      <c r="D1428" s="15" t="s">
        <v>464</v>
      </c>
      <c r="E1428" s="6">
        <v>81919</v>
      </c>
      <c r="F1428" s="5" t="s">
        <v>164</v>
      </c>
      <c r="G1428" s="5" t="s">
        <v>25</v>
      </c>
      <c r="H1428" s="5" t="s">
        <v>18</v>
      </c>
      <c r="I1428" s="5" t="s">
        <v>17</v>
      </c>
      <c r="J1428" s="7">
        <v>45720</v>
      </c>
      <c r="K1428" s="5" t="s">
        <v>17</v>
      </c>
      <c r="L1428" s="8">
        <v>43608</v>
      </c>
      <c r="M1428" s="19">
        <v>264</v>
      </c>
      <c r="N1428" s="19">
        <v>314</v>
      </c>
      <c r="O1428" s="24">
        <v>4300</v>
      </c>
      <c r="P1428" s="24">
        <v>7400</v>
      </c>
      <c r="Q1428" t="s">
        <v>1983</v>
      </c>
      <c r="R1428" s="19">
        <f>VLOOKUP(A1428,[1]Sheet1!$A$2:$Q$1536,15,FALSE)</f>
        <v>9404.48828125</v>
      </c>
      <c r="S1428" s="27">
        <f t="shared" si="66"/>
        <v>0.2131416639910548</v>
      </c>
      <c r="T1428" s="19">
        <f>VLOOKUP(A1428,[1]Sheet1!$A$2:$Q$1536,16,FALSE)</f>
        <v>9564.4451526813391</v>
      </c>
      <c r="U1428" s="27">
        <f t="shared" si="67"/>
        <v>0.22630117253320742</v>
      </c>
      <c r="V1428" s="19">
        <f>VLOOKUP(A1428,[1]Sheet1!$A$2:$Q$1536,17,FALSE)</f>
        <v>9547.591796875</v>
      </c>
      <c r="W1428" s="27">
        <f t="shared" si="68"/>
        <v>0.22493544367679433</v>
      </c>
    </row>
    <row r="1429" spans="1:23" x14ac:dyDescent="0.3">
      <c r="A1429" s="4" t="s">
        <v>1428</v>
      </c>
      <c r="B1429" s="5">
        <v>2016</v>
      </c>
      <c r="C1429" s="5" t="s">
        <v>1086</v>
      </c>
      <c r="D1429" s="15" t="s">
        <v>1411</v>
      </c>
      <c r="E1429" s="6">
        <v>112794</v>
      </c>
      <c r="F1429" s="5" t="s">
        <v>47</v>
      </c>
      <c r="G1429" s="5" t="s">
        <v>25</v>
      </c>
      <c r="H1429" s="5" t="s">
        <v>18</v>
      </c>
      <c r="I1429" s="5" t="s">
        <v>17</v>
      </c>
      <c r="J1429" s="7">
        <v>45330</v>
      </c>
      <c r="K1429" s="5" t="s">
        <v>17</v>
      </c>
      <c r="L1429" s="8">
        <v>43612</v>
      </c>
      <c r="M1429" s="19">
        <v>264</v>
      </c>
      <c r="N1429" s="19">
        <v>314</v>
      </c>
      <c r="O1429" s="24">
        <v>4500</v>
      </c>
      <c r="P1429" s="24">
        <v>6600</v>
      </c>
      <c r="Q1429" t="s">
        <v>1983</v>
      </c>
      <c r="R1429" s="19">
        <f>VLOOKUP(A1429,[1]Sheet1!$A$2:$Q$1536,15,FALSE)</f>
        <v>5143.93115234375</v>
      </c>
      <c r="S1429" s="27">
        <f t="shared" si="66"/>
        <v>-0.28306538414551202</v>
      </c>
      <c r="T1429" s="19">
        <f>VLOOKUP(A1429,[1]Sheet1!$A$2:$Q$1536,16,FALSE)</f>
        <v>9585.3973607468124</v>
      </c>
      <c r="U1429" s="27">
        <f t="shared" si="67"/>
        <v>0.31145264493387842</v>
      </c>
      <c r="V1429" s="19">
        <f>VLOOKUP(A1429,[1]Sheet1!$A$2:$Q$1536,17,FALSE)</f>
        <v>5081.0556640625</v>
      </c>
      <c r="W1429" s="27">
        <f t="shared" si="68"/>
        <v>-0.29894266789493218</v>
      </c>
    </row>
    <row r="1430" spans="1:23" x14ac:dyDescent="0.3">
      <c r="A1430" s="4" t="s">
        <v>461</v>
      </c>
      <c r="B1430" s="5">
        <v>2012</v>
      </c>
      <c r="C1430" s="5" t="s">
        <v>391</v>
      </c>
      <c r="D1430" s="15" t="s">
        <v>413</v>
      </c>
      <c r="E1430" s="6">
        <v>90946</v>
      </c>
      <c r="F1430" s="5" t="s">
        <v>40</v>
      </c>
      <c r="G1430" s="5" t="s">
        <v>25</v>
      </c>
      <c r="H1430" s="5" t="s">
        <v>18</v>
      </c>
      <c r="I1430" s="5" t="s">
        <v>17</v>
      </c>
      <c r="J1430" s="7">
        <v>45622</v>
      </c>
      <c r="K1430" s="5" t="s">
        <v>17</v>
      </c>
      <c r="L1430" s="8">
        <v>44310</v>
      </c>
      <c r="M1430" s="19">
        <v>235</v>
      </c>
      <c r="N1430" s="19">
        <v>285</v>
      </c>
      <c r="O1430" s="24">
        <v>3100</v>
      </c>
      <c r="P1430" s="24">
        <v>4000</v>
      </c>
      <c r="Q1430" t="s">
        <v>1983</v>
      </c>
      <c r="R1430" s="19">
        <f>VLOOKUP(A1430,[1]Sheet1!$A$2:$Q$1536,15,FALSE)</f>
        <v>2783.58935546875</v>
      </c>
      <c r="S1430" s="27">
        <f t="shared" si="66"/>
        <v>-0.43699356808555162</v>
      </c>
      <c r="T1430" s="19">
        <f>VLOOKUP(A1430,[1]Sheet1!$A$2:$Q$1536,16,FALSE)</f>
        <v>9500.8485271811642</v>
      </c>
      <c r="U1430" s="27">
        <f t="shared" si="67"/>
        <v>0.5789849729151747</v>
      </c>
      <c r="V1430" s="19">
        <f>VLOOKUP(A1430,[1]Sheet1!$A$2:$Q$1536,17,FALSE)</f>
        <v>2713.12353515625</v>
      </c>
      <c r="W1430" s="27">
        <f t="shared" si="68"/>
        <v>-0.47431547003613983</v>
      </c>
    </row>
    <row r="1431" spans="1:23" x14ac:dyDescent="0.3">
      <c r="A1431" s="4" t="s">
        <v>663</v>
      </c>
      <c r="B1431" s="5">
        <v>2015</v>
      </c>
      <c r="C1431" s="5" t="s">
        <v>636</v>
      </c>
      <c r="D1431" s="15" t="s">
        <v>641</v>
      </c>
      <c r="E1431" s="6">
        <v>85191</v>
      </c>
      <c r="F1431" s="5" t="s">
        <v>92</v>
      </c>
      <c r="G1431" s="5" t="s">
        <v>25</v>
      </c>
      <c r="H1431" s="5" t="s">
        <v>18</v>
      </c>
      <c r="I1431" s="5" t="s">
        <v>17</v>
      </c>
      <c r="J1431" s="7">
        <v>45393</v>
      </c>
      <c r="K1431" s="5" t="s">
        <v>17</v>
      </c>
      <c r="L1431" s="8">
        <v>44081</v>
      </c>
      <c r="M1431" s="19">
        <v>325</v>
      </c>
      <c r="N1431" s="19">
        <v>375</v>
      </c>
      <c r="O1431" s="24">
        <v>0</v>
      </c>
      <c r="P1431" s="24">
        <v>5800</v>
      </c>
      <c r="Q1431" t="s">
        <v>1983</v>
      </c>
      <c r="R1431" s="19">
        <f>VLOOKUP(A1431,[1]Sheet1!$A$2:$Q$1536,15,FALSE)</f>
        <v>5715.67724609375</v>
      </c>
      <c r="S1431" s="27">
        <f t="shared" si="66"/>
        <v>-1.4752889338508131E-2</v>
      </c>
      <c r="T1431" s="19">
        <f>VLOOKUP(A1431,[1]Sheet1!$A$2:$Q$1536,16,FALSE)</f>
        <v>9837.8265355512467</v>
      </c>
      <c r="U1431" s="27">
        <f t="shared" si="67"/>
        <v>0.4104388831170821</v>
      </c>
      <c r="V1431" s="19">
        <f>VLOOKUP(A1431,[1]Sheet1!$A$2:$Q$1536,17,FALSE)</f>
        <v>5713.1025390625</v>
      </c>
      <c r="W1431" s="27">
        <f t="shared" si="68"/>
        <v>-1.5210205023164098E-2</v>
      </c>
    </row>
    <row r="1432" spans="1:23" x14ac:dyDescent="0.3">
      <c r="A1432" s="4" t="s">
        <v>1636</v>
      </c>
      <c r="B1432" s="5">
        <v>2021</v>
      </c>
      <c r="C1432" s="5" t="s">
        <v>391</v>
      </c>
      <c r="D1432" s="15" t="s">
        <v>1637</v>
      </c>
      <c r="E1432" s="6">
        <v>55343</v>
      </c>
      <c r="F1432" s="5" t="s">
        <v>24</v>
      </c>
      <c r="G1432" s="5" t="s">
        <v>28</v>
      </c>
      <c r="H1432" s="5" t="s">
        <v>17</v>
      </c>
      <c r="I1432" s="5" t="s">
        <v>18</v>
      </c>
      <c r="J1432" s="7">
        <v>45622</v>
      </c>
      <c r="K1432" s="5" t="s">
        <v>17</v>
      </c>
      <c r="L1432" s="8">
        <v>43608</v>
      </c>
      <c r="M1432" s="19">
        <v>264</v>
      </c>
      <c r="N1432" s="19">
        <v>314</v>
      </c>
      <c r="O1432" s="24">
        <v>15300</v>
      </c>
      <c r="P1432" s="24">
        <v>18900</v>
      </c>
      <c r="Q1432" t="s">
        <v>1983</v>
      </c>
      <c r="R1432" s="19">
        <f>VLOOKUP(A1432,[1]Sheet1!$A$2:$Q$1536,15,FALSE)</f>
        <v>11290.99609375</v>
      </c>
      <c r="S1432" s="27">
        <f t="shared" si="66"/>
        <v>-0.67390014513085128</v>
      </c>
      <c r="T1432" s="19">
        <f>VLOOKUP(A1432,[1]Sheet1!$A$2:$Q$1536,16,FALSE)</f>
        <v>14145.75226513688</v>
      </c>
      <c r="U1432" s="27">
        <f t="shared" si="67"/>
        <v>-0.33609013121064413</v>
      </c>
      <c r="V1432" s="19">
        <f>VLOOKUP(A1432,[1]Sheet1!$A$2:$Q$1536,17,FALSE)</f>
        <v>11476.3505859375</v>
      </c>
      <c r="W1432" s="27">
        <f t="shared" si="68"/>
        <v>-0.64686499061461566</v>
      </c>
    </row>
    <row r="1433" spans="1:23" x14ac:dyDescent="0.3">
      <c r="A1433" s="4" t="s">
        <v>1958</v>
      </c>
      <c r="B1433" s="5">
        <v>2018</v>
      </c>
      <c r="C1433" s="5" t="s">
        <v>96</v>
      </c>
      <c r="D1433" s="15" t="s">
        <v>1959</v>
      </c>
      <c r="E1433" s="6">
        <v>49944</v>
      </c>
      <c r="F1433" s="5" t="s">
        <v>15</v>
      </c>
      <c r="G1433" s="5" t="s">
        <v>28</v>
      </c>
      <c r="H1433" s="5" t="s">
        <v>17</v>
      </c>
      <c r="I1433" s="5" t="s">
        <v>18</v>
      </c>
      <c r="J1433" s="7">
        <v>45589</v>
      </c>
      <c r="K1433" s="5" t="s">
        <v>17</v>
      </c>
      <c r="L1433" s="8">
        <v>43612</v>
      </c>
      <c r="M1433" s="19">
        <v>264</v>
      </c>
      <c r="N1433" s="19">
        <v>314</v>
      </c>
      <c r="O1433" s="24">
        <v>0</v>
      </c>
      <c r="P1433" s="24">
        <v>16900</v>
      </c>
      <c r="Q1433" t="s">
        <v>1983</v>
      </c>
      <c r="R1433" s="19">
        <f>VLOOKUP(A1433,[1]Sheet1!$A$2:$Q$1536,15,FALSE)</f>
        <v>14081.9853515625</v>
      </c>
      <c r="S1433" s="27">
        <f t="shared" si="66"/>
        <v>-0.20011486861295594</v>
      </c>
      <c r="T1433" s="19">
        <f>VLOOKUP(A1433,[1]Sheet1!$A$2:$Q$1536,16,FALSE)</f>
        <v>12475.69842474186</v>
      </c>
      <c r="U1433" s="27">
        <f t="shared" si="67"/>
        <v>-0.35463357838819226</v>
      </c>
      <c r="V1433" s="19">
        <f>VLOOKUP(A1433,[1]Sheet1!$A$2:$Q$1536,17,FALSE)</f>
        <v>14068.7763671875</v>
      </c>
      <c r="W1433" s="27">
        <f t="shared" si="68"/>
        <v>-0.20124164027624616</v>
      </c>
    </row>
    <row r="1434" spans="1:23" x14ac:dyDescent="0.3">
      <c r="A1434" s="4" t="s">
        <v>348</v>
      </c>
      <c r="B1434" s="5">
        <v>2019</v>
      </c>
      <c r="C1434" s="5" t="s">
        <v>237</v>
      </c>
      <c r="D1434" s="15" t="s">
        <v>339</v>
      </c>
      <c r="E1434" s="6">
        <v>67374</v>
      </c>
      <c r="F1434" s="5" t="s">
        <v>170</v>
      </c>
      <c r="G1434" s="5" t="s">
        <v>22</v>
      </c>
      <c r="H1434" s="5" t="s">
        <v>18</v>
      </c>
      <c r="I1434" s="5" t="s">
        <v>17</v>
      </c>
      <c r="J1434" s="7">
        <v>45337</v>
      </c>
      <c r="K1434" s="5" t="s">
        <v>17</v>
      </c>
      <c r="L1434" s="8">
        <v>44113</v>
      </c>
      <c r="M1434" s="19">
        <v>264</v>
      </c>
      <c r="N1434" s="19">
        <v>314</v>
      </c>
      <c r="O1434" s="24">
        <v>0</v>
      </c>
      <c r="P1434" s="24">
        <v>12600</v>
      </c>
      <c r="Q1434" t="s">
        <v>1983</v>
      </c>
      <c r="R1434" s="19">
        <f>VLOOKUP(A1434,[1]Sheet1!$A$2:$Q$1536,15,FALSE)</f>
        <v>13787.3232421875</v>
      </c>
      <c r="S1434" s="27">
        <f t="shared" si="66"/>
        <v>8.6117023684078003E-2</v>
      </c>
      <c r="T1434" s="19">
        <f>VLOOKUP(A1434,[1]Sheet1!$A$2:$Q$1536,16,FALSE)</f>
        <v>10064.207319269201</v>
      </c>
      <c r="U1434" s="27">
        <f t="shared" si="67"/>
        <v>-0.25196149088420533</v>
      </c>
      <c r="V1434" s="19">
        <f>VLOOKUP(A1434,[1]Sheet1!$A$2:$Q$1536,17,FALSE)</f>
        <v>14004.759765625</v>
      </c>
      <c r="W1434" s="27">
        <f t="shared" si="68"/>
        <v>0.10030588093863735</v>
      </c>
    </row>
    <row r="1435" spans="1:23" x14ac:dyDescent="0.3">
      <c r="A1435" s="4" t="s">
        <v>354</v>
      </c>
      <c r="B1435" s="5">
        <v>2014</v>
      </c>
      <c r="C1435" s="5" t="s">
        <v>237</v>
      </c>
      <c r="D1435" s="15" t="s">
        <v>310</v>
      </c>
      <c r="E1435" s="6">
        <v>113358</v>
      </c>
      <c r="F1435" s="5" t="s">
        <v>21</v>
      </c>
      <c r="G1435" s="5" t="s">
        <v>25</v>
      </c>
      <c r="H1435" s="5" t="s">
        <v>18</v>
      </c>
      <c r="I1435" s="5" t="s">
        <v>17</v>
      </c>
      <c r="J1435" s="7">
        <v>45566</v>
      </c>
      <c r="K1435" s="5" t="s">
        <v>17</v>
      </c>
      <c r="L1435" s="8">
        <v>44444</v>
      </c>
      <c r="M1435" s="19">
        <v>264</v>
      </c>
      <c r="N1435" s="19">
        <v>314</v>
      </c>
      <c r="O1435" s="24">
        <v>2000</v>
      </c>
      <c r="P1435" s="24">
        <v>6500</v>
      </c>
      <c r="Q1435" t="s">
        <v>1983</v>
      </c>
      <c r="R1435" s="19">
        <f>VLOOKUP(A1435,[1]Sheet1!$A$2:$Q$1536,15,FALSE)</f>
        <v>1182.58447265625</v>
      </c>
      <c r="S1435" s="27">
        <f t="shared" si="66"/>
        <v>-4.4964361111558411</v>
      </c>
      <c r="T1435" s="19">
        <f>VLOOKUP(A1435,[1]Sheet1!$A$2:$Q$1536,16,FALSE)</f>
        <v>9154.1602744730626</v>
      </c>
      <c r="U1435" s="27">
        <f t="shared" si="67"/>
        <v>0.28994033258018775</v>
      </c>
      <c r="V1435" s="19">
        <f>VLOOKUP(A1435,[1]Sheet1!$A$2:$Q$1536,17,FALSE)</f>
        <v>1276.312622070312</v>
      </c>
      <c r="W1435" s="27">
        <f t="shared" si="68"/>
        <v>-4.0927961438290268</v>
      </c>
    </row>
    <row r="1436" spans="1:23" x14ac:dyDescent="0.3">
      <c r="A1436" s="4" t="s">
        <v>294</v>
      </c>
      <c r="B1436" s="5">
        <v>2014</v>
      </c>
      <c r="C1436" s="5" t="s">
        <v>237</v>
      </c>
      <c r="D1436" s="15" t="s">
        <v>286</v>
      </c>
      <c r="E1436" s="6">
        <v>142214</v>
      </c>
      <c r="F1436" s="5" t="s">
        <v>32</v>
      </c>
      <c r="G1436" s="5" t="s">
        <v>25</v>
      </c>
      <c r="H1436" s="5" t="s">
        <v>18</v>
      </c>
      <c r="I1436" s="5" t="s">
        <v>17</v>
      </c>
      <c r="J1436" s="7">
        <v>45370</v>
      </c>
      <c r="K1436" s="5" t="s">
        <v>17</v>
      </c>
      <c r="L1436" s="8">
        <v>43612</v>
      </c>
      <c r="M1436" s="19">
        <v>264</v>
      </c>
      <c r="N1436" s="19">
        <v>314</v>
      </c>
      <c r="O1436" s="24">
        <v>3500</v>
      </c>
      <c r="P1436" s="24">
        <v>5100</v>
      </c>
      <c r="Q1436" t="s">
        <v>1983</v>
      </c>
      <c r="R1436" s="19">
        <f>VLOOKUP(A1436,[1]Sheet1!$A$2:$Q$1536,15,FALSE)</f>
        <v>2329.04638671875</v>
      </c>
      <c r="S1436" s="27">
        <f t="shared" si="66"/>
        <v>-1.1897374088736274</v>
      </c>
      <c r="T1436" s="19">
        <f>VLOOKUP(A1436,[1]Sheet1!$A$2:$Q$1536,16,FALSE)</f>
        <v>9166.6588908926096</v>
      </c>
      <c r="U1436" s="27">
        <f t="shared" si="67"/>
        <v>0.44363589169146184</v>
      </c>
      <c r="V1436" s="19">
        <f>VLOOKUP(A1436,[1]Sheet1!$A$2:$Q$1536,17,FALSE)</f>
        <v>2178.560791015625</v>
      </c>
      <c r="W1436" s="27">
        <f t="shared" si="68"/>
        <v>-1.340995037197207</v>
      </c>
    </row>
    <row r="1437" spans="1:23" x14ac:dyDescent="0.3">
      <c r="A1437" s="4" t="s">
        <v>912</v>
      </c>
      <c r="B1437" s="5">
        <v>2019</v>
      </c>
      <c r="C1437" s="5" t="s">
        <v>30</v>
      </c>
      <c r="D1437" s="15" t="s">
        <v>913</v>
      </c>
      <c r="E1437" s="6">
        <v>70646</v>
      </c>
      <c r="F1437" s="5" t="s">
        <v>24</v>
      </c>
      <c r="G1437" s="5" t="s">
        <v>28</v>
      </c>
      <c r="H1437" s="5" t="s">
        <v>17</v>
      </c>
      <c r="I1437" s="5" t="s">
        <v>18</v>
      </c>
      <c r="J1437" s="7">
        <v>45309</v>
      </c>
      <c r="K1437" s="5" t="s">
        <v>17</v>
      </c>
      <c r="L1437" s="8">
        <v>44067</v>
      </c>
      <c r="M1437" s="19">
        <v>235</v>
      </c>
      <c r="N1437" s="19">
        <v>285</v>
      </c>
      <c r="O1437" s="24">
        <v>0</v>
      </c>
      <c r="P1437" s="24">
        <v>20300</v>
      </c>
      <c r="Q1437" t="s">
        <v>1983</v>
      </c>
      <c r="R1437" s="19">
        <f>VLOOKUP(A1437,[1]Sheet1!$A$2:$Q$1536,15,FALSE)</f>
        <v>8350.7646484375</v>
      </c>
      <c r="S1437" s="27">
        <f t="shared" si="66"/>
        <v>-1.4309151143181007</v>
      </c>
      <c r="T1437" s="19">
        <f>VLOOKUP(A1437,[1]Sheet1!$A$2:$Q$1536,16,FALSE)</f>
        <v>9545.9791889994558</v>
      </c>
      <c r="U1437" s="27">
        <f t="shared" si="67"/>
        <v>-1.1265497858400115</v>
      </c>
      <c r="V1437" s="19">
        <f>VLOOKUP(A1437,[1]Sheet1!$A$2:$Q$1536,17,FALSE)</f>
        <v>8406.125</v>
      </c>
      <c r="W1437" s="27">
        <f t="shared" si="68"/>
        <v>-1.4149057978557302</v>
      </c>
    </row>
    <row r="1438" spans="1:23" x14ac:dyDescent="0.3">
      <c r="A1438" s="4" t="s">
        <v>1262</v>
      </c>
      <c r="B1438" s="5">
        <v>2018</v>
      </c>
      <c r="C1438" s="5" t="s">
        <v>30</v>
      </c>
      <c r="D1438" s="15" t="s">
        <v>1263</v>
      </c>
      <c r="E1438" s="6">
        <v>96731</v>
      </c>
      <c r="F1438" s="5" t="s">
        <v>64</v>
      </c>
      <c r="G1438" s="5" t="s">
        <v>25</v>
      </c>
      <c r="H1438" s="5" t="s">
        <v>18</v>
      </c>
      <c r="I1438" s="5" t="s">
        <v>17</v>
      </c>
      <c r="J1438" s="7">
        <v>45736</v>
      </c>
      <c r="K1438" s="5" t="s">
        <v>17</v>
      </c>
      <c r="L1438" s="8">
        <v>44224</v>
      </c>
      <c r="M1438" s="19">
        <v>235</v>
      </c>
      <c r="N1438" s="19">
        <v>285</v>
      </c>
      <c r="O1438" s="24">
        <v>0</v>
      </c>
      <c r="P1438" s="24">
        <v>20200</v>
      </c>
      <c r="Q1438" t="s">
        <v>1983</v>
      </c>
      <c r="R1438" s="19">
        <f>VLOOKUP(A1438,[1]Sheet1!$A$2:$Q$1536,15,FALSE)</f>
        <v>10714.0390625</v>
      </c>
      <c r="S1438" s="27">
        <f t="shared" si="66"/>
        <v>-0.88537673627694968</v>
      </c>
      <c r="T1438" s="19">
        <f>VLOOKUP(A1438,[1]Sheet1!$A$2:$Q$1536,16,FALSE)</f>
        <v>9413.4320335970406</v>
      </c>
      <c r="U1438" s="27">
        <f t="shared" si="67"/>
        <v>-1.1458698514957268</v>
      </c>
      <c r="V1438" s="19">
        <f>VLOOKUP(A1438,[1]Sheet1!$A$2:$Q$1536,17,FALSE)</f>
        <v>10749.6376953125</v>
      </c>
      <c r="W1438" s="27">
        <f t="shared" si="68"/>
        <v>-0.8791330994167772</v>
      </c>
    </row>
    <row r="1439" spans="1:23" x14ac:dyDescent="0.3">
      <c r="A1439" s="4" t="s">
        <v>985</v>
      </c>
      <c r="B1439" s="5">
        <v>2020</v>
      </c>
      <c r="C1439" s="5" t="s">
        <v>30</v>
      </c>
      <c r="D1439" s="15" t="s">
        <v>986</v>
      </c>
      <c r="E1439" s="6">
        <v>45048</v>
      </c>
      <c r="F1439" s="5" t="s">
        <v>24</v>
      </c>
      <c r="G1439" s="5" t="s">
        <v>28</v>
      </c>
      <c r="H1439" s="5" t="s">
        <v>17</v>
      </c>
      <c r="I1439" s="5" t="s">
        <v>18</v>
      </c>
      <c r="J1439" s="7">
        <v>45398</v>
      </c>
      <c r="K1439" s="5" t="s">
        <v>17</v>
      </c>
      <c r="L1439" s="8">
        <v>44081</v>
      </c>
      <c r="M1439" s="19">
        <v>325</v>
      </c>
      <c r="N1439" s="19">
        <v>375</v>
      </c>
      <c r="O1439" s="24">
        <v>14100</v>
      </c>
      <c r="P1439" s="24">
        <v>21200</v>
      </c>
      <c r="Q1439" t="s">
        <v>1983</v>
      </c>
      <c r="R1439" s="19">
        <f>VLOOKUP(A1439,[1]Sheet1!$A$2:$Q$1536,15,FALSE)</f>
        <v>9259.4990234375</v>
      </c>
      <c r="S1439" s="27">
        <f t="shared" si="66"/>
        <v>-1.2895407134164483</v>
      </c>
      <c r="T1439" s="19">
        <f>VLOOKUP(A1439,[1]Sheet1!$A$2:$Q$1536,16,FALSE)</f>
        <v>12564.12090137385</v>
      </c>
      <c r="U1439" s="27">
        <f t="shared" si="67"/>
        <v>-0.68734447610113669</v>
      </c>
      <c r="V1439" s="19">
        <f>VLOOKUP(A1439,[1]Sheet1!$A$2:$Q$1536,17,FALSE)</f>
        <v>9297.71875</v>
      </c>
      <c r="W1439" s="27">
        <f t="shared" si="68"/>
        <v>-1.2801291983584684</v>
      </c>
    </row>
    <row r="1440" spans="1:23" x14ac:dyDescent="0.3">
      <c r="A1440" s="4" t="s">
        <v>841</v>
      </c>
      <c r="B1440" s="5">
        <v>2014</v>
      </c>
      <c r="C1440" s="5" t="s">
        <v>391</v>
      </c>
      <c r="D1440" s="15" t="s">
        <v>580</v>
      </c>
      <c r="E1440" s="6">
        <v>169388</v>
      </c>
      <c r="F1440" s="5" t="s">
        <v>27</v>
      </c>
      <c r="G1440" s="5" t="s">
        <v>25</v>
      </c>
      <c r="H1440" s="5" t="s">
        <v>18</v>
      </c>
      <c r="I1440" s="5" t="s">
        <v>17</v>
      </c>
      <c r="J1440" s="7">
        <v>45442</v>
      </c>
      <c r="K1440" s="5" t="s">
        <v>17</v>
      </c>
      <c r="L1440" s="8">
        <v>44113</v>
      </c>
      <c r="M1440" s="19">
        <v>264</v>
      </c>
      <c r="N1440" s="19">
        <v>314</v>
      </c>
      <c r="O1440" s="24">
        <v>0</v>
      </c>
      <c r="P1440" s="24">
        <v>5000</v>
      </c>
      <c r="Q1440" t="s">
        <v>1983</v>
      </c>
      <c r="R1440" s="19">
        <f>VLOOKUP(A1440,[1]Sheet1!$A$2:$Q$1536,15,FALSE)</f>
        <v>1953.616455078125</v>
      </c>
      <c r="S1440" s="27">
        <f t="shared" si="66"/>
        <v>-1.5593560020459851</v>
      </c>
      <c r="T1440" s="19">
        <f>VLOOKUP(A1440,[1]Sheet1!$A$2:$Q$1536,16,FALSE)</f>
        <v>9305.6330311934707</v>
      </c>
      <c r="U1440" s="27">
        <f t="shared" si="67"/>
        <v>0.46269104065897843</v>
      </c>
      <c r="V1440" s="19">
        <f>VLOOKUP(A1440,[1]Sheet1!$A$2:$Q$1536,17,FALSE)</f>
        <v>1920.052001953125</v>
      </c>
      <c r="W1440" s="27">
        <f t="shared" si="68"/>
        <v>-1.6040961364139485</v>
      </c>
    </row>
    <row r="1441" spans="1:23" x14ac:dyDescent="0.3">
      <c r="A1441" s="4" t="s">
        <v>257</v>
      </c>
      <c r="B1441" s="5">
        <v>2013</v>
      </c>
      <c r="C1441" s="5" t="s">
        <v>237</v>
      </c>
      <c r="D1441" s="15" t="s">
        <v>250</v>
      </c>
      <c r="E1441" s="6">
        <v>122334</v>
      </c>
      <c r="F1441" s="5" t="s">
        <v>57</v>
      </c>
      <c r="G1441" s="5" t="s">
        <v>25</v>
      </c>
      <c r="H1441" s="5" t="s">
        <v>18</v>
      </c>
      <c r="I1441" s="5" t="s">
        <v>17</v>
      </c>
      <c r="J1441" s="7">
        <v>45678</v>
      </c>
      <c r="K1441" s="5" t="s">
        <v>17</v>
      </c>
      <c r="L1441" s="8">
        <v>44278</v>
      </c>
      <c r="M1441" s="19">
        <v>235</v>
      </c>
      <c r="N1441" s="19">
        <v>285</v>
      </c>
      <c r="O1441" s="24">
        <v>1000</v>
      </c>
      <c r="P1441" s="24">
        <v>4400</v>
      </c>
      <c r="Q1441" t="s">
        <v>1983</v>
      </c>
      <c r="R1441" s="19">
        <f>VLOOKUP(A1441,[1]Sheet1!$A$2:$Q$1536,15,FALSE)</f>
        <v>1926.562622070312</v>
      </c>
      <c r="S1441" s="27">
        <f t="shared" si="66"/>
        <v>-1.2838603581292864</v>
      </c>
      <c r="T1441" s="19">
        <f>VLOOKUP(A1441,[1]Sheet1!$A$2:$Q$1536,16,FALSE)</f>
        <v>9083.3643891211414</v>
      </c>
      <c r="U1441" s="27">
        <f t="shared" si="67"/>
        <v>0.51559798643884192</v>
      </c>
      <c r="V1441" s="19">
        <f>VLOOKUP(A1441,[1]Sheet1!$A$2:$Q$1536,17,FALSE)</f>
        <v>1885.53759765625</v>
      </c>
      <c r="W1441" s="27">
        <f t="shared" si="68"/>
        <v>-1.3335519829831357</v>
      </c>
    </row>
    <row r="1442" spans="1:23" x14ac:dyDescent="0.3">
      <c r="A1442" s="4" t="s">
        <v>741</v>
      </c>
      <c r="B1442" s="5">
        <v>2017</v>
      </c>
      <c r="C1442" s="5" t="s">
        <v>46</v>
      </c>
      <c r="D1442" s="15" t="s">
        <v>740</v>
      </c>
      <c r="E1442" s="6">
        <v>117524</v>
      </c>
      <c r="F1442" s="5" t="s">
        <v>40</v>
      </c>
      <c r="G1442" s="5" t="s">
        <v>33</v>
      </c>
      <c r="H1442" s="5" t="s">
        <v>17</v>
      </c>
      <c r="I1442" s="5" t="s">
        <v>18</v>
      </c>
      <c r="J1442" s="7">
        <v>45538</v>
      </c>
      <c r="K1442" s="5" t="s">
        <v>17</v>
      </c>
      <c r="L1442" s="8">
        <v>44128</v>
      </c>
      <c r="M1442" s="19">
        <v>264</v>
      </c>
      <c r="N1442" s="19">
        <v>314</v>
      </c>
      <c r="O1442" s="24">
        <v>11000</v>
      </c>
      <c r="P1442" s="24">
        <v>13400</v>
      </c>
      <c r="Q1442" t="s">
        <v>1983</v>
      </c>
      <c r="R1442" s="19">
        <f>VLOOKUP(A1442,[1]Sheet1!$A$2:$Q$1536,15,FALSE)</f>
        <v>3417.68896484375</v>
      </c>
      <c r="S1442" s="27">
        <f t="shared" si="66"/>
        <v>-2.9207780865490847</v>
      </c>
      <c r="T1442" s="19">
        <f>VLOOKUP(A1442,[1]Sheet1!$A$2:$Q$1536,16,FALSE)</f>
        <v>9038.7485187448583</v>
      </c>
      <c r="U1442" s="27">
        <f t="shared" si="67"/>
        <v>-0.48250612042260416</v>
      </c>
      <c r="V1442" s="19">
        <f>VLOOKUP(A1442,[1]Sheet1!$A$2:$Q$1536,17,FALSE)</f>
        <v>3291.81689453125</v>
      </c>
      <c r="W1442" s="27">
        <f t="shared" si="68"/>
        <v>-3.0707002938898706</v>
      </c>
    </row>
    <row r="1443" spans="1:23" x14ac:dyDescent="0.3">
      <c r="A1443" s="4" t="s">
        <v>213</v>
      </c>
      <c r="B1443" s="5">
        <v>2015</v>
      </c>
      <c r="C1443" s="5" t="s">
        <v>96</v>
      </c>
      <c r="D1443" s="15" t="s">
        <v>211</v>
      </c>
      <c r="E1443" s="6">
        <v>111502</v>
      </c>
      <c r="F1443" s="5" t="s">
        <v>24</v>
      </c>
      <c r="G1443" s="5" t="s">
        <v>28</v>
      </c>
      <c r="H1443" s="5" t="s">
        <v>17</v>
      </c>
      <c r="I1443" s="5" t="s">
        <v>18</v>
      </c>
      <c r="J1443" s="7">
        <v>45328</v>
      </c>
      <c r="K1443" s="5" t="s">
        <v>17</v>
      </c>
      <c r="L1443" s="8">
        <v>43612</v>
      </c>
      <c r="M1443" s="19">
        <v>264</v>
      </c>
      <c r="N1443" s="19">
        <v>314</v>
      </c>
      <c r="O1443" s="24">
        <v>8900</v>
      </c>
      <c r="P1443" s="24">
        <v>14600</v>
      </c>
      <c r="Q1443" t="s">
        <v>1983</v>
      </c>
      <c r="R1443" s="19">
        <f>VLOOKUP(A1443,[1]Sheet1!$A$2:$Q$1536,15,FALSE)</f>
        <v>3274.239990234375</v>
      </c>
      <c r="S1443" s="27">
        <f t="shared" si="66"/>
        <v>-3.4590500523924361</v>
      </c>
      <c r="T1443" s="19">
        <f>VLOOKUP(A1443,[1]Sheet1!$A$2:$Q$1536,16,FALSE)</f>
        <v>9016.0645620835367</v>
      </c>
      <c r="U1443" s="27">
        <f t="shared" si="67"/>
        <v>-0.61933179376280589</v>
      </c>
      <c r="V1443" s="19">
        <f>VLOOKUP(A1443,[1]Sheet1!$A$2:$Q$1536,17,FALSE)</f>
        <v>3205.46240234375</v>
      </c>
      <c r="W1443" s="27">
        <f t="shared" si="68"/>
        <v>-3.5547250809508366</v>
      </c>
    </row>
    <row r="1444" spans="1:23" x14ac:dyDescent="0.3">
      <c r="A1444" s="4" t="s">
        <v>1145</v>
      </c>
      <c r="B1444" s="5">
        <v>2017</v>
      </c>
      <c r="C1444" s="5" t="s">
        <v>636</v>
      </c>
      <c r="D1444" s="15" t="s">
        <v>1142</v>
      </c>
      <c r="E1444" s="6">
        <v>104056</v>
      </c>
      <c r="F1444" s="5" t="s">
        <v>132</v>
      </c>
      <c r="G1444" s="5" t="s">
        <v>25</v>
      </c>
      <c r="H1444" s="5" t="s">
        <v>18</v>
      </c>
      <c r="I1444" s="5" t="s">
        <v>17</v>
      </c>
      <c r="J1444" s="7">
        <v>45344</v>
      </c>
      <c r="K1444" s="5" t="s">
        <v>17</v>
      </c>
      <c r="L1444" s="8">
        <v>43950</v>
      </c>
      <c r="M1444" s="19">
        <v>264</v>
      </c>
      <c r="N1444" s="19">
        <v>314</v>
      </c>
      <c r="O1444" s="24">
        <v>2500</v>
      </c>
      <c r="P1444" s="24">
        <v>9300</v>
      </c>
      <c r="Q1444" t="s">
        <v>1983</v>
      </c>
      <c r="R1444" s="19">
        <f>VLOOKUP(A1444,[1]Sheet1!$A$2:$Q$1536,15,FALSE)</f>
        <v>2955.115478515625</v>
      </c>
      <c r="S1444" s="27">
        <f t="shared" si="66"/>
        <v>-2.1470851368121338</v>
      </c>
      <c r="T1444" s="19">
        <f>VLOOKUP(A1444,[1]Sheet1!$A$2:$Q$1536,16,FALSE)</f>
        <v>8626.0044908671971</v>
      </c>
      <c r="U1444" s="27">
        <f t="shared" si="67"/>
        <v>-7.8135307006435867E-2</v>
      </c>
      <c r="V1444" s="19">
        <f>VLOOKUP(A1444,[1]Sheet1!$A$2:$Q$1536,17,FALSE)</f>
        <v>2792.935546875</v>
      </c>
      <c r="W1444" s="27">
        <f t="shared" si="68"/>
        <v>-2.3298297951793834</v>
      </c>
    </row>
    <row r="1445" spans="1:23" x14ac:dyDescent="0.3">
      <c r="A1445" s="4" t="s">
        <v>926</v>
      </c>
      <c r="B1445" s="5">
        <v>2018</v>
      </c>
      <c r="C1445" s="5" t="s">
        <v>920</v>
      </c>
      <c r="D1445" s="15" t="s">
        <v>921</v>
      </c>
      <c r="E1445" s="6">
        <v>62751</v>
      </c>
      <c r="F1445" s="5" t="s">
        <v>64</v>
      </c>
      <c r="G1445" s="5" t="s">
        <v>28</v>
      </c>
      <c r="H1445" s="5" t="s">
        <v>17</v>
      </c>
      <c r="I1445" s="5" t="s">
        <v>18</v>
      </c>
      <c r="J1445" s="7">
        <v>45608</v>
      </c>
      <c r="K1445" s="5" t="s">
        <v>17</v>
      </c>
      <c r="L1445" s="8">
        <v>43950</v>
      </c>
      <c r="M1445" s="19">
        <v>264</v>
      </c>
      <c r="N1445" s="19">
        <v>314</v>
      </c>
      <c r="O1445" s="24">
        <v>12950</v>
      </c>
      <c r="P1445" s="24">
        <v>14750</v>
      </c>
      <c r="Q1445" t="s">
        <v>1983</v>
      </c>
      <c r="R1445" s="19">
        <f>VLOOKUP(A1445,[1]Sheet1!$A$2:$Q$1536,15,FALSE)</f>
        <v>12846.2197265625</v>
      </c>
      <c r="S1445" s="27">
        <f t="shared" si="66"/>
        <v>-0.14819770437998958</v>
      </c>
      <c r="T1445" s="19">
        <f>VLOOKUP(A1445,[1]Sheet1!$A$2:$Q$1536,16,FALSE)</f>
        <v>11545.98943372179</v>
      </c>
      <c r="U1445" s="27">
        <f t="shared" si="67"/>
        <v>-0.27749986994795073</v>
      </c>
      <c r="V1445" s="19">
        <f>VLOOKUP(A1445,[1]Sheet1!$A$2:$Q$1536,17,FALSE)</f>
        <v>12910.5859375</v>
      </c>
      <c r="W1445" s="27">
        <f t="shared" si="68"/>
        <v>-0.14247332161410664</v>
      </c>
    </row>
    <row r="1446" spans="1:23" x14ac:dyDescent="0.3">
      <c r="A1446" s="4" t="s">
        <v>1602</v>
      </c>
      <c r="B1446" s="5">
        <v>2022</v>
      </c>
      <c r="C1446" s="5" t="s">
        <v>920</v>
      </c>
      <c r="D1446" s="15" t="s">
        <v>1603</v>
      </c>
      <c r="E1446" s="6">
        <v>38431</v>
      </c>
      <c r="F1446" s="5" t="s">
        <v>158</v>
      </c>
      <c r="G1446" s="5" t="s">
        <v>16</v>
      </c>
      <c r="H1446" s="5" t="s">
        <v>17</v>
      </c>
      <c r="I1446" s="5" t="s">
        <v>18</v>
      </c>
      <c r="J1446" s="7">
        <v>45426</v>
      </c>
      <c r="K1446" s="5" t="s">
        <v>17</v>
      </c>
      <c r="L1446" s="8">
        <v>44128</v>
      </c>
      <c r="M1446" s="19">
        <v>264</v>
      </c>
      <c r="N1446" s="19">
        <v>314</v>
      </c>
      <c r="O1446" s="24">
        <v>0</v>
      </c>
      <c r="P1446" s="24">
        <v>20500</v>
      </c>
      <c r="Q1446" t="s">
        <v>1983</v>
      </c>
      <c r="R1446" s="19">
        <f>VLOOKUP(A1446,[1]Sheet1!$A$2:$Q$1536,15,FALSE)</f>
        <v>25240.935546875</v>
      </c>
      <c r="S1446" s="27">
        <f t="shared" si="66"/>
        <v>0.18782725141350634</v>
      </c>
      <c r="T1446" s="19">
        <f>VLOOKUP(A1446,[1]Sheet1!$A$2:$Q$1536,16,FALSE)</f>
        <v>14694.85545282113</v>
      </c>
      <c r="U1446" s="27">
        <f t="shared" si="67"/>
        <v>-0.39504604627222745</v>
      </c>
      <c r="V1446" s="19">
        <f>VLOOKUP(A1446,[1]Sheet1!$A$2:$Q$1536,17,FALSE)</f>
        <v>25060.251953125</v>
      </c>
      <c r="W1446" s="27">
        <f t="shared" si="68"/>
        <v>0.18197151256319827</v>
      </c>
    </row>
    <row r="1447" spans="1:23" x14ac:dyDescent="0.3">
      <c r="A1447" s="4" t="s">
        <v>1155</v>
      </c>
      <c r="B1447" s="5">
        <v>2019</v>
      </c>
      <c r="C1447" s="5" t="s">
        <v>636</v>
      </c>
      <c r="D1447" s="15" t="s">
        <v>1142</v>
      </c>
      <c r="E1447" s="6">
        <v>42542</v>
      </c>
      <c r="F1447" s="5" t="s">
        <v>101</v>
      </c>
      <c r="G1447" s="5" t="s">
        <v>33</v>
      </c>
      <c r="H1447" s="5" t="s">
        <v>17</v>
      </c>
      <c r="I1447" s="5" t="s">
        <v>18</v>
      </c>
      <c r="J1447" s="7">
        <v>45351</v>
      </c>
      <c r="K1447" s="5" t="s">
        <v>17</v>
      </c>
      <c r="L1447" s="8">
        <v>44483</v>
      </c>
      <c r="M1447" s="19">
        <v>264</v>
      </c>
      <c r="N1447" s="19">
        <v>314</v>
      </c>
      <c r="O1447" s="24">
        <v>8600</v>
      </c>
      <c r="P1447" s="24">
        <v>14100</v>
      </c>
      <c r="Q1447" t="s">
        <v>1983</v>
      </c>
      <c r="R1447" s="19">
        <f>VLOOKUP(A1447,[1]Sheet1!$A$2:$Q$1536,15,FALSE)</f>
        <v>11730.845703125</v>
      </c>
      <c r="S1447" s="27">
        <f t="shared" si="66"/>
        <v>-0.20195937759575824</v>
      </c>
      <c r="T1447" s="19">
        <f>VLOOKUP(A1447,[1]Sheet1!$A$2:$Q$1536,16,FALSE)</f>
        <v>11865.313861739251</v>
      </c>
      <c r="U1447" s="27">
        <f t="shared" si="67"/>
        <v>-0.18833771818431974</v>
      </c>
      <c r="V1447" s="19">
        <f>VLOOKUP(A1447,[1]Sheet1!$A$2:$Q$1536,17,FALSE)</f>
        <v>11599.2109375</v>
      </c>
      <c r="W1447" s="27">
        <f t="shared" si="68"/>
        <v>-0.21559992968271682</v>
      </c>
    </row>
    <row r="1448" spans="1:23" x14ac:dyDescent="0.3">
      <c r="A1448" s="4" t="s">
        <v>1369</v>
      </c>
      <c r="B1448" s="5">
        <v>2017</v>
      </c>
      <c r="C1448" s="5" t="s">
        <v>1089</v>
      </c>
      <c r="D1448" s="15" t="s">
        <v>1363</v>
      </c>
      <c r="E1448" s="6">
        <v>111658</v>
      </c>
      <c r="F1448" s="5" t="s">
        <v>27</v>
      </c>
      <c r="G1448" s="5" t="s">
        <v>25</v>
      </c>
      <c r="H1448" s="5" t="s">
        <v>18</v>
      </c>
      <c r="I1448" s="5" t="s">
        <v>17</v>
      </c>
      <c r="J1448" s="7">
        <v>45454</v>
      </c>
      <c r="K1448" s="5" t="s">
        <v>17</v>
      </c>
      <c r="L1448" s="8">
        <v>44451</v>
      </c>
      <c r="M1448" s="19">
        <v>264</v>
      </c>
      <c r="N1448" s="19">
        <v>314</v>
      </c>
      <c r="O1448" s="24">
        <v>1900</v>
      </c>
      <c r="P1448" s="24">
        <v>9000</v>
      </c>
      <c r="Q1448" t="s">
        <v>1983</v>
      </c>
      <c r="R1448" s="19">
        <f>VLOOKUP(A1448,[1]Sheet1!$A$2:$Q$1536,15,FALSE)</f>
        <v>2825.115966796875</v>
      </c>
      <c r="S1448" s="27">
        <f t="shared" si="66"/>
        <v>-2.1857099339551103</v>
      </c>
      <c r="T1448" s="19">
        <f>VLOOKUP(A1448,[1]Sheet1!$A$2:$Q$1536,16,FALSE)</f>
        <v>8578.6002944771553</v>
      </c>
      <c r="U1448" s="27">
        <f t="shared" si="67"/>
        <v>-4.9122198384057937E-2</v>
      </c>
      <c r="V1448" s="19">
        <f>VLOOKUP(A1448,[1]Sheet1!$A$2:$Q$1536,17,FALSE)</f>
        <v>2690.8447265625</v>
      </c>
      <c r="W1448" s="27">
        <f t="shared" si="68"/>
        <v>-2.3446745964778573</v>
      </c>
    </row>
    <row r="1449" spans="1:23" x14ac:dyDescent="0.3">
      <c r="A1449" s="4" t="s">
        <v>854</v>
      </c>
      <c r="B1449" s="5">
        <v>2017</v>
      </c>
      <c r="C1449" s="5" t="s">
        <v>391</v>
      </c>
      <c r="D1449" s="15" t="s">
        <v>582</v>
      </c>
      <c r="E1449" s="6">
        <v>97060</v>
      </c>
      <c r="F1449" s="5" t="s">
        <v>32</v>
      </c>
      <c r="G1449" s="5" t="s">
        <v>22</v>
      </c>
      <c r="H1449" s="5" t="s">
        <v>18</v>
      </c>
      <c r="I1449" s="5" t="s">
        <v>17</v>
      </c>
      <c r="J1449" s="7">
        <v>45664</v>
      </c>
      <c r="K1449" s="5" t="s">
        <v>17</v>
      </c>
      <c r="L1449" s="8">
        <v>44035</v>
      </c>
      <c r="M1449" s="19">
        <v>222</v>
      </c>
      <c r="N1449" s="19">
        <v>272</v>
      </c>
      <c r="O1449" s="24">
        <v>3100</v>
      </c>
      <c r="P1449" s="24">
        <v>4000</v>
      </c>
      <c r="Q1449" t="s">
        <v>1983</v>
      </c>
      <c r="R1449" s="19">
        <f>VLOOKUP(A1449,[1]Sheet1!$A$2:$Q$1536,15,FALSE)</f>
        <v>2870.8740234375</v>
      </c>
      <c r="S1449" s="27">
        <f t="shared" si="66"/>
        <v>-0.39330390931278753</v>
      </c>
      <c r="T1449" s="19">
        <f>VLOOKUP(A1449,[1]Sheet1!$A$2:$Q$1536,16,FALSE)</f>
        <v>9458.5333927098036</v>
      </c>
      <c r="U1449" s="27">
        <f t="shared" si="67"/>
        <v>0.57710145601610785</v>
      </c>
      <c r="V1449" s="19">
        <f>VLOOKUP(A1449,[1]Sheet1!$A$2:$Q$1536,17,FALSE)</f>
        <v>2804.68310546875</v>
      </c>
      <c r="W1449" s="27">
        <f t="shared" si="68"/>
        <v>-0.42618607863417612</v>
      </c>
    </row>
    <row r="1450" spans="1:23" x14ac:dyDescent="0.3">
      <c r="A1450" s="4" t="s">
        <v>1343</v>
      </c>
      <c r="B1450" s="5">
        <v>2017</v>
      </c>
      <c r="C1450" s="5" t="s">
        <v>1089</v>
      </c>
      <c r="D1450" s="15" t="s">
        <v>1328</v>
      </c>
      <c r="E1450" s="6">
        <v>117120</v>
      </c>
      <c r="F1450" s="5" t="s">
        <v>61</v>
      </c>
      <c r="G1450" s="5" t="s">
        <v>22</v>
      </c>
      <c r="H1450" s="5" t="s">
        <v>18</v>
      </c>
      <c r="I1450" s="5" t="s">
        <v>17</v>
      </c>
      <c r="J1450" s="7">
        <v>45384</v>
      </c>
      <c r="K1450" s="5" t="s">
        <v>17</v>
      </c>
      <c r="L1450" s="8">
        <v>44310</v>
      </c>
      <c r="M1450" s="19">
        <v>235</v>
      </c>
      <c r="N1450" s="19">
        <v>285</v>
      </c>
      <c r="O1450" s="24">
        <v>2700</v>
      </c>
      <c r="P1450" s="24">
        <v>9600</v>
      </c>
      <c r="Q1450" t="s">
        <v>1983</v>
      </c>
      <c r="R1450" s="19">
        <f>VLOOKUP(A1450,[1]Sheet1!$A$2:$Q$1536,15,FALSE)</f>
        <v>2813.283203125</v>
      </c>
      <c r="S1450" s="27">
        <f t="shared" si="66"/>
        <v>-2.4123830794341297</v>
      </c>
      <c r="T1450" s="19">
        <f>VLOOKUP(A1450,[1]Sheet1!$A$2:$Q$1536,16,FALSE)</f>
        <v>8571.6413934483644</v>
      </c>
      <c r="U1450" s="27">
        <f t="shared" si="67"/>
        <v>-0.11997219194653309</v>
      </c>
      <c r="V1450" s="19">
        <f>VLOOKUP(A1450,[1]Sheet1!$A$2:$Q$1536,17,FALSE)</f>
        <v>2641.29443359375</v>
      </c>
      <c r="W1450" s="27">
        <f t="shared" si="68"/>
        <v>-2.6345815437691371</v>
      </c>
    </row>
    <row r="1451" spans="1:23" x14ac:dyDescent="0.3">
      <c r="A1451" s="4" t="s">
        <v>1784</v>
      </c>
      <c r="B1451" s="5">
        <v>2011</v>
      </c>
      <c r="C1451" s="5" t="s">
        <v>1086</v>
      </c>
      <c r="D1451" s="15" t="s">
        <v>1758</v>
      </c>
      <c r="E1451" s="6">
        <v>83377</v>
      </c>
      <c r="F1451" s="5" t="s">
        <v>32</v>
      </c>
      <c r="G1451" s="5" t="s">
        <v>25</v>
      </c>
      <c r="H1451" s="5" t="s">
        <v>18</v>
      </c>
      <c r="I1451" s="5" t="s">
        <v>17</v>
      </c>
      <c r="J1451" s="7">
        <v>45594</v>
      </c>
      <c r="K1451" s="5" t="s">
        <v>17</v>
      </c>
      <c r="L1451" s="8">
        <v>44113</v>
      </c>
      <c r="M1451" s="19">
        <v>264</v>
      </c>
      <c r="N1451" s="19">
        <v>314</v>
      </c>
      <c r="O1451" s="24">
        <v>1600</v>
      </c>
      <c r="P1451" s="24">
        <v>2200</v>
      </c>
      <c r="Q1451" t="s">
        <v>1983</v>
      </c>
      <c r="R1451" s="19">
        <f>VLOOKUP(A1451,[1]Sheet1!$A$2:$Q$1536,15,FALSE)</f>
        <v>1555.5615234375</v>
      </c>
      <c r="S1451" s="27">
        <f t="shared" si="66"/>
        <v>-0.41428028840570158</v>
      </c>
      <c r="T1451" s="19">
        <f>VLOOKUP(A1451,[1]Sheet1!$A$2:$Q$1536,16,FALSE)</f>
        <v>8733.461570803689</v>
      </c>
      <c r="U1451" s="27">
        <f t="shared" si="67"/>
        <v>0.74809530194136442</v>
      </c>
      <c r="V1451" s="19">
        <f>VLOOKUP(A1451,[1]Sheet1!$A$2:$Q$1536,17,FALSE)</f>
        <v>1524.272094726562</v>
      </c>
      <c r="W1451" s="27">
        <f t="shared" si="68"/>
        <v>-0.44331186512645321</v>
      </c>
    </row>
    <row r="1452" spans="1:23" x14ac:dyDescent="0.3">
      <c r="A1452" s="4" t="s">
        <v>925</v>
      </c>
      <c r="B1452" s="5">
        <v>2016</v>
      </c>
      <c r="C1452" s="5" t="s">
        <v>920</v>
      </c>
      <c r="D1452" s="15" t="s">
        <v>921</v>
      </c>
      <c r="E1452" s="6">
        <v>82599</v>
      </c>
      <c r="F1452" s="5" t="s">
        <v>73</v>
      </c>
      <c r="G1452" s="5" t="s">
        <v>28</v>
      </c>
      <c r="H1452" s="5" t="s">
        <v>17</v>
      </c>
      <c r="I1452" s="5" t="s">
        <v>18</v>
      </c>
      <c r="J1452" s="7">
        <v>45412</v>
      </c>
      <c r="K1452" s="5" t="s">
        <v>17</v>
      </c>
      <c r="L1452" s="8">
        <v>44310</v>
      </c>
      <c r="M1452" s="19">
        <v>235</v>
      </c>
      <c r="N1452" s="19">
        <v>285</v>
      </c>
      <c r="O1452" s="24">
        <v>8500</v>
      </c>
      <c r="P1452" s="24">
        <v>12000</v>
      </c>
      <c r="Q1452" t="s">
        <v>1983</v>
      </c>
      <c r="R1452" s="19">
        <f>VLOOKUP(A1452,[1]Sheet1!$A$2:$Q$1536,15,FALSE)</f>
        <v>5659.69482421875</v>
      </c>
      <c r="S1452" s="27">
        <f t="shared" si="66"/>
        <v>-1.1202556626640112</v>
      </c>
      <c r="T1452" s="19">
        <f>VLOOKUP(A1452,[1]Sheet1!$A$2:$Q$1536,16,FALSE)</f>
        <v>9541.8341124331946</v>
      </c>
      <c r="U1452" s="27">
        <f t="shared" si="67"/>
        <v>-0.2576198515507378</v>
      </c>
      <c r="V1452" s="19">
        <f>VLOOKUP(A1452,[1]Sheet1!$A$2:$Q$1536,17,FALSE)</f>
        <v>5701.3681640625</v>
      </c>
      <c r="W1452" s="27">
        <f t="shared" si="68"/>
        <v>-1.1047579554044131</v>
      </c>
    </row>
    <row r="1453" spans="1:23" x14ac:dyDescent="0.3">
      <c r="A1453" s="4" t="s">
        <v>1780</v>
      </c>
      <c r="B1453" s="5">
        <v>2014</v>
      </c>
      <c r="C1453" s="5" t="s">
        <v>1086</v>
      </c>
      <c r="D1453" s="15" t="s">
        <v>1758</v>
      </c>
      <c r="E1453" s="6">
        <v>86724</v>
      </c>
      <c r="F1453" s="5" t="s">
        <v>87</v>
      </c>
      <c r="G1453" s="5" t="s">
        <v>25</v>
      </c>
      <c r="H1453" s="5" t="s">
        <v>18</v>
      </c>
      <c r="I1453" s="5" t="s">
        <v>17</v>
      </c>
      <c r="J1453" s="7">
        <v>45701</v>
      </c>
      <c r="K1453" s="5" t="s">
        <v>17</v>
      </c>
      <c r="L1453" s="8">
        <v>44224</v>
      </c>
      <c r="M1453" s="19">
        <v>235</v>
      </c>
      <c r="N1453" s="19">
        <v>285</v>
      </c>
      <c r="O1453" s="24">
        <v>1800</v>
      </c>
      <c r="P1453" s="24">
        <v>2800</v>
      </c>
      <c r="Q1453" t="s">
        <v>1983</v>
      </c>
      <c r="R1453" s="19">
        <f>VLOOKUP(A1453,[1]Sheet1!$A$2:$Q$1536,15,FALSE)</f>
        <v>2089.295166015625</v>
      </c>
      <c r="S1453" s="27">
        <f t="shared" si="66"/>
        <v>-0.34016487739246504</v>
      </c>
      <c r="T1453" s="19">
        <f>VLOOKUP(A1453,[1]Sheet1!$A$2:$Q$1536,16,FALSE)</f>
        <v>8683.0493902803191</v>
      </c>
      <c r="U1453" s="27">
        <f t="shared" si="67"/>
        <v>0.67753264157010562</v>
      </c>
      <c r="V1453" s="19">
        <f>VLOOKUP(A1453,[1]Sheet1!$A$2:$Q$1536,17,FALSE)</f>
        <v>2011.743041992188</v>
      </c>
      <c r="W1453" s="27">
        <f t="shared" si="68"/>
        <v>-0.3918278535350207</v>
      </c>
    </row>
    <row r="1454" spans="1:23" x14ac:dyDescent="0.3">
      <c r="A1454" s="4" t="s">
        <v>1573</v>
      </c>
      <c r="B1454" s="5">
        <v>2012</v>
      </c>
      <c r="C1454" s="5" t="s">
        <v>636</v>
      </c>
      <c r="D1454" s="15" t="s">
        <v>1300</v>
      </c>
      <c r="E1454" s="6">
        <v>140148</v>
      </c>
      <c r="F1454" s="5" t="s">
        <v>77</v>
      </c>
      <c r="G1454" s="5" t="s">
        <v>25</v>
      </c>
      <c r="H1454" s="5" t="s">
        <v>18</v>
      </c>
      <c r="I1454" s="5" t="s">
        <v>17</v>
      </c>
      <c r="J1454" s="7">
        <v>45309</v>
      </c>
      <c r="K1454" s="5" t="s">
        <v>17</v>
      </c>
      <c r="L1454" s="8">
        <v>43935</v>
      </c>
      <c r="M1454" s="19">
        <v>222</v>
      </c>
      <c r="N1454" s="19">
        <v>272</v>
      </c>
      <c r="O1454" s="24">
        <v>0</v>
      </c>
      <c r="P1454" s="24">
        <v>1800</v>
      </c>
      <c r="Q1454" t="s">
        <v>1983</v>
      </c>
      <c r="R1454" s="19">
        <f>VLOOKUP(A1454,[1]Sheet1!$A$2:$Q$1536,15,FALSE)</f>
        <v>3402.3369140625</v>
      </c>
      <c r="S1454" s="27">
        <f t="shared" si="66"/>
        <v>0.47095186471384987</v>
      </c>
      <c r="T1454" s="19">
        <f>VLOOKUP(A1454,[1]Sheet1!$A$2:$Q$1536,16,FALSE)</f>
        <v>8867.5776217742387</v>
      </c>
      <c r="U1454" s="27">
        <f t="shared" si="67"/>
        <v>0.79701333591034829</v>
      </c>
      <c r="V1454" s="19">
        <f>VLOOKUP(A1454,[1]Sheet1!$A$2:$Q$1536,17,FALSE)</f>
        <v>3291.81689453125</v>
      </c>
      <c r="W1454" s="27">
        <f t="shared" si="68"/>
        <v>0.45318951276106217</v>
      </c>
    </row>
    <row r="1455" spans="1:23" x14ac:dyDescent="0.3">
      <c r="A1455" s="4" t="s">
        <v>1420</v>
      </c>
      <c r="B1455" s="5">
        <v>2016</v>
      </c>
      <c r="C1455" s="5" t="s">
        <v>1086</v>
      </c>
      <c r="D1455" s="15" t="s">
        <v>1411</v>
      </c>
      <c r="E1455" s="6">
        <v>103980</v>
      </c>
      <c r="F1455" s="5" t="s">
        <v>27</v>
      </c>
      <c r="G1455" s="5" t="s">
        <v>33</v>
      </c>
      <c r="H1455" s="5" t="s">
        <v>17</v>
      </c>
      <c r="I1455" s="5" t="s">
        <v>18</v>
      </c>
      <c r="J1455" s="7">
        <v>45715</v>
      </c>
      <c r="K1455" s="5" t="s">
        <v>17</v>
      </c>
      <c r="L1455" s="8">
        <v>43612</v>
      </c>
      <c r="M1455" s="19">
        <v>264</v>
      </c>
      <c r="N1455" s="19">
        <v>314</v>
      </c>
      <c r="O1455" s="24">
        <v>3600</v>
      </c>
      <c r="P1455" s="24">
        <v>8000</v>
      </c>
      <c r="Q1455" t="s">
        <v>1983</v>
      </c>
      <c r="R1455" s="19">
        <f>VLOOKUP(A1455,[1]Sheet1!$A$2:$Q$1536,15,FALSE)</f>
        <v>1915.90380859375</v>
      </c>
      <c r="S1455" s="27">
        <f t="shared" si="66"/>
        <v>-3.1755749762154823</v>
      </c>
      <c r="T1455" s="19">
        <f>VLOOKUP(A1455,[1]Sheet1!$A$2:$Q$1536,16,FALSE)</f>
        <v>8559.3285989029591</v>
      </c>
      <c r="U1455" s="27">
        <f t="shared" si="67"/>
        <v>6.5347251532631628E-2</v>
      </c>
      <c r="V1455" s="19">
        <f>VLOOKUP(A1455,[1]Sheet1!$A$2:$Q$1536,17,FALSE)</f>
        <v>1808.7412109375</v>
      </c>
      <c r="W1455" s="27">
        <f t="shared" si="68"/>
        <v>-3.4229655141508442</v>
      </c>
    </row>
    <row r="1456" spans="1:23" x14ac:dyDescent="0.3">
      <c r="A1456" s="4" t="s">
        <v>285</v>
      </c>
      <c r="B1456" s="5">
        <v>2016</v>
      </c>
      <c r="C1456" s="5" t="s">
        <v>237</v>
      </c>
      <c r="D1456" s="15" t="s">
        <v>286</v>
      </c>
      <c r="E1456" s="6">
        <v>60985</v>
      </c>
      <c r="F1456" s="5" t="s">
        <v>184</v>
      </c>
      <c r="G1456" s="5" t="s">
        <v>33</v>
      </c>
      <c r="H1456" s="5" t="s">
        <v>17</v>
      </c>
      <c r="I1456" s="5" t="s">
        <v>18</v>
      </c>
      <c r="J1456" s="7">
        <v>45678</v>
      </c>
      <c r="K1456" s="5" t="s">
        <v>17</v>
      </c>
      <c r="L1456" s="8">
        <v>44052</v>
      </c>
      <c r="M1456" s="19">
        <v>235</v>
      </c>
      <c r="N1456" s="19">
        <v>285</v>
      </c>
      <c r="O1456" s="24">
        <v>11300</v>
      </c>
      <c r="P1456" s="24">
        <v>17000</v>
      </c>
      <c r="Q1456" t="s">
        <v>1983</v>
      </c>
      <c r="R1456" s="19">
        <f>VLOOKUP(A1456,[1]Sheet1!$A$2:$Q$1536,15,FALSE)</f>
        <v>12151.185546875</v>
      </c>
      <c r="S1456" s="27">
        <f t="shared" si="66"/>
        <v>-0.39904044213792794</v>
      </c>
      <c r="T1456" s="19">
        <f>VLOOKUP(A1456,[1]Sheet1!$A$2:$Q$1536,16,FALSE)</f>
        <v>12129.576415072979</v>
      </c>
      <c r="U1456" s="27">
        <f t="shared" si="67"/>
        <v>-0.40153286629817708</v>
      </c>
      <c r="V1456" s="19">
        <f>VLOOKUP(A1456,[1]Sheet1!$A$2:$Q$1536,17,FALSE)</f>
        <v>12070.8740234375</v>
      </c>
      <c r="W1456" s="27">
        <f t="shared" si="68"/>
        <v>-0.4083487216411858</v>
      </c>
    </row>
    <row r="1457" spans="1:23" x14ac:dyDescent="0.3">
      <c r="A1457" s="4" t="s">
        <v>1606</v>
      </c>
      <c r="B1457" s="5">
        <v>2018</v>
      </c>
      <c r="C1457" s="5" t="s">
        <v>519</v>
      </c>
      <c r="D1457" s="15" t="s">
        <v>1607</v>
      </c>
      <c r="E1457" s="6">
        <v>104053</v>
      </c>
      <c r="F1457" s="5" t="s">
        <v>219</v>
      </c>
      <c r="G1457" s="5" t="s">
        <v>22</v>
      </c>
      <c r="H1457" s="5" t="s">
        <v>18</v>
      </c>
      <c r="I1457" s="5" t="s">
        <v>17</v>
      </c>
      <c r="J1457" s="7">
        <v>45720</v>
      </c>
      <c r="K1457" s="5" t="s">
        <v>17</v>
      </c>
      <c r="L1457" s="8">
        <v>44310</v>
      </c>
      <c r="M1457" s="19">
        <v>235</v>
      </c>
      <c r="N1457" s="19">
        <v>285</v>
      </c>
      <c r="O1457" s="24">
        <v>2700</v>
      </c>
      <c r="P1457" s="24">
        <v>14600</v>
      </c>
      <c r="Q1457" t="s">
        <v>1983</v>
      </c>
      <c r="R1457" s="19">
        <f>VLOOKUP(A1457,[1]Sheet1!$A$2:$Q$1536,15,FALSE)</f>
        <v>2335.592529296875</v>
      </c>
      <c r="S1457" s="27">
        <f t="shared" si="66"/>
        <v>-5.2510903836446579</v>
      </c>
      <c r="T1457" s="19">
        <f>VLOOKUP(A1457,[1]Sheet1!$A$2:$Q$1536,16,FALSE)</f>
        <v>9124.3800479051988</v>
      </c>
      <c r="U1457" s="27">
        <f t="shared" si="67"/>
        <v>-0.60010871131479337</v>
      </c>
      <c r="V1457" s="19">
        <f>VLOOKUP(A1457,[1]Sheet1!$A$2:$Q$1536,17,FALSE)</f>
        <v>2226.78125</v>
      </c>
      <c r="W1457" s="27">
        <f t="shared" si="68"/>
        <v>-5.5565488302903576</v>
      </c>
    </row>
    <row r="1458" spans="1:23" x14ac:dyDescent="0.3">
      <c r="A1458" s="4" t="s">
        <v>759</v>
      </c>
      <c r="B1458" s="5">
        <v>2011</v>
      </c>
      <c r="C1458" s="5" t="s">
        <v>559</v>
      </c>
      <c r="D1458" s="15" t="s">
        <v>760</v>
      </c>
      <c r="E1458" s="6">
        <v>139708</v>
      </c>
      <c r="F1458" s="5" t="s">
        <v>38</v>
      </c>
      <c r="G1458" s="5" t="s">
        <v>25</v>
      </c>
      <c r="H1458" s="5" t="s">
        <v>18</v>
      </c>
      <c r="I1458" s="5" t="s">
        <v>17</v>
      </c>
      <c r="J1458" s="7">
        <v>45608</v>
      </c>
      <c r="K1458" s="5" t="s">
        <v>17</v>
      </c>
      <c r="L1458" s="8">
        <v>43605</v>
      </c>
      <c r="M1458" s="19">
        <v>264</v>
      </c>
      <c r="N1458" s="19">
        <v>314</v>
      </c>
      <c r="O1458" s="24">
        <v>2200</v>
      </c>
      <c r="P1458" s="24">
        <v>2700</v>
      </c>
      <c r="Q1458" t="s">
        <v>1983</v>
      </c>
      <c r="R1458" s="19">
        <f>VLOOKUP(A1458,[1]Sheet1!$A$2:$Q$1536,15,FALSE)</f>
        <v>1690.178100585938</v>
      </c>
      <c r="S1458" s="27">
        <f t="shared" si="66"/>
        <v>-0.5974647873286163</v>
      </c>
      <c r="T1458" s="19">
        <f>VLOOKUP(A1458,[1]Sheet1!$A$2:$Q$1536,16,FALSE)</f>
        <v>10024.34608927198</v>
      </c>
      <c r="U1458" s="27">
        <f t="shared" si="67"/>
        <v>0.73065574792060195</v>
      </c>
      <c r="V1458" s="19">
        <f>VLOOKUP(A1458,[1]Sheet1!$A$2:$Q$1536,17,FALSE)</f>
        <v>1603.841186523438</v>
      </c>
      <c r="W1458" s="27">
        <f t="shared" si="68"/>
        <v>-0.68345845130255556</v>
      </c>
    </row>
    <row r="1459" spans="1:23" x14ac:dyDescent="0.3">
      <c r="A1459" s="4" t="s">
        <v>292</v>
      </c>
      <c r="B1459" s="5">
        <v>2016</v>
      </c>
      <c r="C1459" s="5" t="s">
        <v>237</v>
      </c>
      <c r="D1459" s="15" t="s">
        <v>286</v>
      </c>
      <c r="E1459" s="6">
        <v>112208</v>
      </c>
      <c r="F1459" s="5" t="s">
        <v>170</v>
      </c>
      <c r="G1459" s="5" t="s">
        <v>28</v>
      </c>
      <c r="H1459" s="5" t="s">
        <v>17</v>
      </c>
      <c r="I1459" s="5" t="s">
        <v>18</v>
      </c>
      <c r="J1459" s="7">
        <v>45622</v>
      </c>
      <c r="K1459" s="5" t="s">
        <v>17</v>
      </c>
      <c r="L1459" s="8">
        <v>44706</v>
      </c>
      <c r="M1459" s="19">
        <v>222</v>
      </c>
      <c r="N1459" s="19">
        <v>272</v>
      </c>
      <c r="O1459" s="24">
        <v>9300</v>
      </c>
      <c r="P1459" s="24">
        <v>13500</v>
      </c>
      <c r="Q1459" t="s">
        <v>1983</v>
      </c>
      <c r="R1459" s="19">
        <f>VLOOKUP(A1459,[1]Sheet1!$A$2:$Q$1536,15,FALSE)</f>
        <v>7294.76806640625</v>
      </c>
      <c r="S1459" s="27">
        <f t="shared" si="66"/>
        <v>-0.85064142918676</v>
      </c>
      <c r="T1459" s="19">
        <f>VLOOKUP(A1459,[1]Sheet1!$A$2:$Q$1536,16,FALSE)</f>
        <v>9336.4611763051871</v>
      </c>
      <c r="U1459" s="27">
        <f t="shared" si="67"/>
        <v>-0.44594399795303302</v>
      </c>
      <c r="V1459" s="19">
        <f>VLOOKUP(A1459,[1]Sheet1!$A$2:$Q$1536,17,FALSE)</f>
        <v>7289.4951171875</v>
      </c>
      <c r="W1459" s="27">
        <f t="shared" si="68"/>
        <v>-0.85198011425634834</v>
      </c>
    </row>
    <row r="1460" spans="1:23" x14ac:dyDescent="0.3">
      <c r="A1460" s="4" t="s">
        <v>178</v>
      </c>
      <c r="B1460" s="5">
        <v>2012</v>
      </c>
      <c r="C1460" s="5" t="s">
        <v>96</v>
      </c>
      <c r="D1460" s="15" t="s">
        <v>179</v>
      </c>
      <c r="E1460" s="6">
        <v>84056</v>
      </c>
      <c r="F1460" s="5" t="s">
        <v>112</v>
      </c>
      <c r="G1460" s="5" t="s">
        <v>22</v>
      </c>
      <c r="H1460" s="5" t="s">
        <v>18</v>
      </c>
      <c r="I1460" s="5" t="s">
        <v>17</v>
      </c>
      <c r="J1460" s="7">
        <v>45622</v>
      </c>
      <c r="K1460" s="5" t="s">
        <v>17</v>
      </c>
      <c r="L1460" s="8">
        <v>44128</v>
      </c>
      <c r="M1460" s="19">
        <v>264</v>
      </c>
      <c r="N1460" s="19">
        <v>314</v>
      </c>
      <c r="O1460" s="24">
        <v>900</v>
      </c>
      <c r="P1460" s="24">
        <v>3600</v>
      </c>
      <c r="Q1460" t="s">
        <v>1983</v>
      </c>
      <c r="R1460" s="19">
        <f>VLOOKUP(A1460,[1]Sheet1!$A$2:$Q$1536,15,FALSE)</f>
        <v>3005.4287109375</v>
      </c>
      <c r="S1460" s="27">
        <f t="shared" si="66"/>
        <v>-0.19783243798088029</v>
      </c>
      <c r="T1460" s="19">
        <f>VLOOKUP(A1460,[1]Sheet1!$A$2:$Q$1536,16,FALSE)</f>
        <v>9398.8038258645884</v>
      </c>
      <c r="U1460" s="27">
        <f t="shared" si="67"/>
        <v>0.61697253536741004</v>
      </c>
      <c r="V1460" s="19">
        <f>VLOOKUP(A1460,[1]Sheet1!$A$2:$Q$1536,17,FALSE)</f>
        <v>2970.3740234375</v>
      </c>
      <c r="W1460" s="27">
        <f t="shared" si="68"/>
        <v>-0.21196858429089613</v>
      </c>
    </row>
    <row r="1461" spans="1:23" x14ac:dyDescent="0.3">
      <c r="A1461" s="4" t="s">
        <v>228</v>
      </c>
      <c r="B1461" s="5">
        <v>2017</v>
      </c>
      <c r="C1461" s="5" t="s">
        <v>223</v>
      </c>
      <c r="D1461" s="15">
        <v>1500</v>
      </c>
      <c r="E1461" s="6">
        <v>90843</v>
      </c>
      <c r="F1461" s="5" t="s">
        <v>47</v>
      </c>
      <c r="G1461" s="5" t="s">
        <v>25</v>
      </c>
      <c r="H1461" s="5" t="s">
        <v>18</v>
      </c>
      <c r="I1461" s="5" t="s">
        <v>17</v>
      </c>
      <c r="J1461" s="7">
        <v>45706</v>
      </c>
      <c r="K1461" s="5" t="s">
        <v>17</v>
      </c>
      <c r="L1461" s="8">
        <v>44483</v>
      </c>
      <c r="M1461" s="19">
        <v>264</v>
      </c>
      <c r="N1461" s="19">
        <v>314</v>
      </c>
      <c r="O1461" s="24">
        <v>13600</v>
      </c>
      <c r="P1461" s="24">
        <v>15500</v>
      </c>
      <c r="Q1461" t="s">
        <v>1983</v>
      </c>
      <c r="R1461" s="19">
        <f>VLOOKUP(A1461,[1]Sheet1!$A$2:$Q$1536,15,FALSE)</f>
        <v>13155.65625</v>
      </c>
      <c r="S1461" s="27">
        <f t="shared" si="66"/>
        <v>-0.17820044135008467</v>
      </c>
      <c r="T1461" s="19">
        <f>VLOOKUP(A1461,[1]Sheet1!$A$2:$Q$1536,16,FALSE)</f>
        <v>11465.927493790021</v>
      </c>
      <c r="U1461" s="27">
        <f t="shared" si="67"/>
        <v>-0.35183132881267953</v>
      </c>
      <c r="V1461" s="19">
        <f>VLOOKUP(A1461,[1]Sheet1!$A$2:$Q$1536,17,FALSE)</f>
        <v>13321.9248046875</v>
      </c>
      <c r="W1461" s="27">
        <f t="shared" si="68"/>
        <v>-0.16349553290873664</v>
      </c>
    </row>
    <row r="1462" spans="1:23" x14ac:dyDescent="0.3">
      <c r="A1462" s="4" t="s">
        <v>625</v>
      </c>
      <c r="B1462" s="5">
        <v>2011</v>
      </c>
      <c r="C1462" s="5" t="s">
        <v>30</v>
      </c>
      <c r="D1462" s="15" t="s">
        <v>614</v>
      </c>
      <c r="E1462" s="6">
        <v>117143</v>
      </c>
      <c r="F1462" s="5" t="s">
        <v>87</v>
      </c>
      <c r="G1462" s="5" t="s">
        <v>33</v>
      </c>
      <c r="H1462" s="5" t="s">
        <v>17</v>
      </c>
      <c r="I1462" s="5" t="s">
        <v>18</v>
      </c>
      <c r="J1462" s="7">
        <v>45510</v>
      </c>
      <c r="K1462" s="5" t="s">
        <v>17</v>
      </c>
      <c r="L1462" s="8">
        <v>44310</v>
      </c>
      <c r="M1462" s="19">
        <v>235</v>
      </c>
      <c r="N1462" s="19">
        <v>285</v>
      </c>
      <c r="O1462" s="24">
        <v>6600</v>
      </c>
      <c r="P1462" s="24">
        <v>8500</v>
      </c>
      <c r="Q1462" t="s">
        <v>1983</v>
      </c>
      <c r="R1462" s="19">
        <f>VLOOKUP(A1462,[1]Sheet1!$A$2:$Q$1536,15,FALSE)</f>
        <v>2409.291015625</v>
      </c>
      <c r="S1462" s="27">
        <f t="shared" si="66"/>
        <v>-2.52800883947803</v>
      </c>
      <c r="T1462" s="19">
        <f>VLOOKUP(A1462,[1]Sheet1!$A$2:$Q$1536,16,FALSE)</f>
        <v>9012.0232585279882</v>
      </c>
      <c r="U1462" s="27">
        <f t="shared" si="67"/>
        <v>5.6815572246050931E-2</v>
      </c>
      <c r="V1462" s="19">
        <f>VLOOKUP(A1462,[1]Sheet1!$A$2:$Q$1536,17,FALSE)</f>
        <v>2314.35888671875</v>
      </c>
      <c r="W1462" s="27">
        <f t="shared" si="68"/>
        <v>-2.6727233830407018</v>
      </c>
    </row>
    <row r="1463" spans="1:23" x14ac:dyDescent="0.3">
      <c r="A1463" s="4" t="s">
        <v>1775</v>
      </c>
      <c r="B1463" s="5">
        <v>2018</v>
      </c>
      <c r="C1463" s="5" t="s">
        <v>1086</v>
      </c>
      <c r="D1463" s="15" t="s">
        <v>1758</v>
      </c>
      <c r="E1463" s="6">
        <v>149084</v>
      </c>
      <c r="F1463" s="5" t="s">
        <v>79</v>
      </c>
      <c r="G1463" s="5" t="s">
        <v>22</v>
      </c>
      <c r="H1463" s="5" t="s">
        <v>18</v>
      </c>
      <c r="I1463" s="5" t="s">
        <v>17</v>
      </c>
      <c r="J1463" s="7">
        <v>45526</v>
      </c>
      <c r="K1463" s="5" t="s">
        <v>17</v>
      </c>
      <c r="L1463" s="8">
        <v>44067</v>
      </c>
      <c r="M1463" s="19">
        <v>235</v>
      </c>
      <c r="N1463" s="19">
        <v>285</v>
      </c>
      <c r="O1463" s="24">
        <v>600</v>
      </c>
      <c r="P1463" s="24">
        <v>3000</v>
      </c>
      <c r="Q1463" t="s">
        <v>1983</v>
      </c>
      <c r="R1463" s="19">
        <f>VLOOKUP(A1463,[1]Sheet1!$A$2:$Q$1536,15,FALSE)</f>
        <v>2546.605712890625</v>
      </c>
      <c r="S1463" s="27">
        <f t="shared" si="66"/>
        <v>-0.17803866724021913</v>
      </c>
      <c r="T1463" s="19">
        <f>VLOOKUP(A1463,[1]Sheet1!$A$2:$Q$1536,16,FALSE)</f>
        <v>8635.5098207763167</v>
      </c>
      <c r="U1463" s="27">
        <f t="shared" si="67"/>
        <v>0.65259723371719758</v>
      </c>
      <c r="V1463" s="19">
        <f>VLOOKUP(A1463,[1]Sheet1!$A$2:$Q$1536,17,FALSE)</f>
        <v>2349.4912109375</v>
      </c>
      <c r="W1463" s="27">
        <f t="shared" si="68"/>
        <v>-0.27687219515195899</v>
      </c>
    </row>
    <row r="1464" spans="1:23" x14ac:dyDescent="0.3">
      <c r="A1464" s="4" t="s">
        <v>665</v>
      </c>
      <c r="B1464" s="5">
        <v>2014</v>
      </c>
      <c r="C1464" s="5" t="s">
        <v>636</v>
      </c>
      <c r="D1464" s="15" t="s">
        <v>641</v>
      </c>
      <c r="E1464" s="6">
        <v>84451</v>
      </c>
      <c r="F1464" s="5" t="s">
        <v>103</v>
      </c>
      <c r="G1464" s="5" t="s">
        <v>28</v>
      </c>
      <c r="H1464" s="5" t="s">
        <v>17</v>
      </c>
      <c r="I1464" s="5" t="s">
        <v>18</v>
      </c>
      <c r="J1464" s="7">
        <v>45449</v>
      </c>
      <c r="K1464" s="5" t="s">
        <v>17</v>
      </c>
      <c r="L1464" s="8">
        <v>44067</v>
      </c>
      <c r="M1464" s="19">
        <v>235</v>
      </c>
      <c r="N1464" s="19">
        <v>285</v>
      </c>
      <c r="O1464" s="24">
        <v>0</v>
      </c>
      <c r="P1464" s="24">
        <v>2500</v>
      </c>
      <c r="Q1464" t="s">
        <v>1983</v>
      </c>
      <c r="R1464" s="19">
        <f>VLOOKUP(A1464,[1]Sheet1!$A$2:$Q$1536,15,FALSE)</f>
        <v>5220.32373046875</v>
      </c>
      <c r="S1464" s="27">
        <f t="shared" si="66"/>
        <v>0.52110249687991728</v>
      </c>
      <c r="T1464" s="19">
        <f>VLOOKUP(A1464,[1]Sheet1!$A$2:$Q$1536,16,FALSE)</f>
        <v>9079.7872718494582</v>
      </c>
      <c r="U1464" s="27">
        <f t="shared" si="67"/>
        <v>0.72466315287464045</v>
      </c>
      <c r="V1464" s="19">
        <f>VLOOKUP(A1464,[1]Sheet1!$A$2:$Q$1536,17,FALSE)</f>
        <v>5096.6005859375</v>
      </c>
      <c r="W1464" s="27">
        <f t="shared" si="68"/>
        <v>0.50947696256638586</v>
      </c>
    </row>
    <row r="1465" spans="1:23" x14ac:dyDescent="0.3">
      <c r="A1465" s="4" t="s">
        <v>1194</v>
      </c>
      <c r="B1465" s="5">
        <v>2014</v>
      </c>
      <c r="C1465" s="5" t="s">
        <v>684</v>
      </c>
      <c r="D1465" s="15" t="s">
        <v>1187</v>
      </c>
      <c r="E1465" s="6">
        <v>88292</v>
      </c>
      <c r="F1465" s="5" t="s">
        <v>81</v>
      </c>
      <c r="G1465" s="5" t="s">
        <v>28</v>
      </c>
      <c r="H1465" s="5" t="s">
        <v>17</v>
      </c>
      <c r="I1465" s="5" t="s">
        <v>18</v>
      </c>
      <c r="J1465" s="7">
        <v>45664</v>
      </c>
      <c r="K1465" s="5" t="s">
        <v>17</v>
      </c>
      <c r="L1465" s="8">
        <v>44224</v>
      </c>
      <c r="M1465" s="19">
        <v>235</v>
      </c>
      <c r="N1465" s="19">
        <v>285</v>
      </c>
      <c r="O1465" s="24">
        <v>3800</v>
      </c>
      <c r="P1465" s="24">
        <v>6900</v>
      </c>
      <c r="Q1465" t="s">
        <v>1983</v>
      </c>
      <c r="R1465" s="19">
        <f>VLOOKUP(A1465,[1]Sheet1!$A$2:$Q$1536,15,FALSE)</f>
        <v>1961.400390625</v>
      </c>
      <c r="S1465" s="27">
        <f t="shared" si="66"/>
        <v>-2.5178946802398237</v>
      </c>
      <c r="T1465" s="19">
        <f>VLOOKUP(A1465,[1]Sheet1!$A$2:$Q$1536,16,FALSE)</f>
        <v>9093.2597651502037</v>
      </c>
      <c r="U1465" s="27">
        <f t="shared" si="67"/>
        <v>0.24119620705831393</v>
      </c>
      <c r="V1465" s="19">
        <f>VLOOKUP(A1465,[1]Sheet1!$A$2:$Q$1536,17,FALSE)</f>
        <v>1885.53759765625</v>
      </c>
      <c r="W1465" s="27">
        <f t="shared" si="68"/>
        <v>-2.6594337914962809</v>
      </c>
    </row>
    <row r="1466" spans="1:23" x14ac:dyDescent="0.3">
      <c r="A1466" s="4" t="s">
        <v>1424</v>
      </c>
      <c r="B1466" s="5">
        <v>2018</v>
      </c>
      <c r="C1466" s="5" t="s">
        <v>1086</v>
      </c>
      <c r="D1466" s="15" t="s">
        <v>1411</v>
      </c>
      <c r="E1466" s="6">
        <v>99887</v>
      </c>
      <c r="F1466" s="5" t="s">
        <v>644</v>
      </c>
      <c r="G1466" s="5" t="s">
        <v>16</v>
      </c>
      <c r="H1466" s="5" t="s">
        <v>17</v>
      </c>
      <c r="I1466" s="5" t="s">
        <v>18</v>
      </c>
      <c r="J1466" s="7">
        <v>45309</v>
      </c>
      <c r="K1466" s="5" t="s">
        <v>17</v>
      </c>
      <c r="L1466" s="8">
        <v>44137</v>
      </c>
      <c r="M1466" s="19">
        <v>280</v>
      </c>
      <c r="N1466" s="19">
        <v>330</v>
      </c>
      <c r="O1466" s="24">
        <v>9800</v>
      </c>
      <c r="P1466" s="24">
        <v>12300</v>
      </c>
      <c r="Q1466" t="s">
        <v>1983</v>
      </c>
      <c r="R1466" s="19">
        <f>VLOOKUP(A1466,[1]Sheet1!$A$2:$Q$1536,15,FALSE)</f>
        <v>9163.4755859375</v>
      </c>
      <c r="S1466" s="27">
        <f t="shared" si="66"/>
        <v>-0.34228545540906874</v>
      </c>
      <c r="T1466" s="19">
        <f>VLOOKUP(A1466,[1]Sheet1!$A$2:$Q$1536,16,FALSE)</f>
        <v>9857.358042545824</v>
      </c>
      <c r="U1466" s="27">
        <f t="shared" si="67"/>
        <v>-0.24779884700457971</v>
      </c>
      <c r="V1466" s="19">
        <f>VLOOKUP(A1466,[1]Sheet1!$A$2:$Q$1536,17,FALSE)</f>
        <v>9237.1826171875</v>
      </c>
      <c r="W1466" s="27">
        <f t="shared" si="68"/>
        <v>-0.33157484373141627</v>
      </c>
    </row>
    <row r="1467" spans="1:23" x14ac:dyDescent="0.3">
      <c r="A1467" s="4" t="s">
        <v>1632</v>
      </c>
      <c r="B1467" s="5">
        <v>2017</v>
      </c>
      <c r="C1467" s="5" t="s">
        <v>519</v>
      </c>
      <c r="D1467" s="15" t="s">
        <v>1607</v>
      </c>
      <c r="E1467" s="6">
        <v>68328</v>
      </c>
      <c r="F1467" s="5" t="s">
        <v>132</v>
      </c>
      <c r="G1467" s="5" t="s">
        <v>25</v>
      </c>
      <c r="H1467" s="5" t="s">
        <v>18</v>
      </c>
      <c r="I1467" s="5" t="s">
        <v>17</v>
      </c>
      <c r="J1467" s="7">
        <v>45566</v>
      </c>
      <c r="K1467" s="5" t="s">
        <v>17</v>
      </c>
      <c r="L1467" s="8">
        <v>44135</v>
      </c>
      <c r="M1467" s="19">
        <v>235</v>
      </c>
      <c r="N1467" s="19">
        <v>285</v>
      </c>
      <c r="O1467" s="24">
        <v>4000</v>
      </c>
      <c r="P1467" s="24">
        <v>9000</v>
      </c>
      <c r="Q1467" t="s">
        <v>1983</v>
      </c>
      <c r="R1467" s="19">
        <f>VLOOKUP(A1467,[1]Sheet1!$A$2:$Q$1536,15,FALSE)</f>
        <v>4373.24462890625</v>
      </c>
      <c r="S1467" s="27">
        <f t="shared" si="66"/>
        <v>-1.0579685710952107</v>
      </c>
      <c r="T1467" s="19">
        <f>VLOOKUP(A1467,[1]Sheet1!$A$2:$Q$1536,16,FALSE)</f>
        <v>9481.8463784492415</v>
      </c>
      <c r="U1467" s="27">
        <f t="shared" si="67"/>
        <v>5.0817779493285524E-2</v>
      </c>
      <c r="V1467" s="19">
        <f>VLOOKUP(A1467,[1]Sheet1!$A$2:$Q$1536,17,FALSE)</f>
        <v>4499.12060546875</v>
      </c>
      <c r="W1467" s="27">
        <f t="shared" si="68"/>
        <v>-1.0003909184075577</v>
      </c>
    </row>
    <row r="1468" spans="1:23" x14ac:dyDescent="0.3">
      <c r="A1468" s="4" t="s">
        <v>1435</v>
      </c>
      <c r="B1468" s="5">
        <v>2011</v>
      </c>
      <c r="C1468" s="5" t="s">
        <v>1086</v>
      </c>
      <c r="D1468" s="15" t="s">
        <v>1436</v>
      </c>
      <c r="E1468" s="6">
        <v>133423</v>
      </c>
      <c r="F1468" s="5" t="s">
        <v>40</v>
      </c>
      <c r="G1468" s="5" t="s">
        <v>25</v>
      </c>
      <c r="H1468" s="5" t="s">
        <v>18</v>
      </c>
      <c r="I1468" s="5" t="s">
        <v>17</v>
      </c>
      <c r="J1468" s="7">
        <v>45680</v>
      </c>
      <c r="K1468" s="5" t="s">
        <v>17</v>
      </c>
      <c r="L1468" s="8">
        <v>44113</v>
      </c>
      <c r="M1468" s="19">
        <v>264</v>
      </c>
      <c r="N1468" s="19">
        <v>314</v>
      </c>
      <c r="O1468" s="24">
        <v>0</v>
      </c>
      <c r="P1468" s="24">
        <v>2600</v>
      </c>
      <c r="Q1468" t="s">
        <v>1983</v>
      </c>
      <c r="R1468" s="19">
        <f>VLOOKUP(A1468,[1]Sheet1!$A$2:$Q$1536,15,FALSE)</f>
        <v>319.35650634765619</v>
      </c>
      <c r="S1468" s="27">
        <f t="shared" si="66"/>
        <v>-7.1413716280124939</v>
      </c>
      <c r="T1468" s="19">
        <f>VLOOKUP(A1468,[1]Sheet1!$A$2:$Q$1536,16,FALSE)</f>
        <v>8708.9995346943688</v>
      </c>
      <c r="U1468" s="27">
        <f t="shared" si="67"/>
        <v>0.70145824561796311</v>
      </c>
      <c r="V1468" s="19">
        <f>VLOOKUP(A1468,[1]Sheet1!$A$2:$Q$1536,17,FALSE)</f>
        <v>815.262451171875</v>
      </c>
      <c r="W1468" s="27">
        <f t="shared" si="68"/>
        <v>-2.189157057660029</v>
      </c>
    </row>
    <row r="1469" spans="1:23" x14ac:dyDescent="0.3">
      <c r="A1469" s="4" t="s">
        <v>1931</v>
      </c>
      <c r="B1469" s="5">
        <v>2017</v>
      </c>
      <c r="C1469" s="5" t="s">
        <v>684</v>
      </c>
      <c r="D1469" s="15" t="s">
        <v>1182</v>
      </c>
      <c r="E1469" s="6">
        <v>83652</v>
      </c>
      <c r="F1469" s="5" t="s">
        <v>144</v>
      </c>
      <c r="G1469" s="5" t="s">
        <v>25</v>
      </c>
      <c r="H1469" s="5" t="s">
        <v>18</v>
      </c>
      <c r="I1469" s="5" t="s">
        <v>17</v>
      </c>
      <c r="J1469" s="7">
        <v>45482</v>
      </c>
      <c r="K1469" s="5" t="s">
        <v>17</v>
      </c>
      <c r="L1469" s="8">
        <v>44444</v>
      </c>
      <c r="M1469" s="19">
        <v>264</v>
      </c>
      <c r="N1469" s="19">
        <v>314</v>
      </c>
      <c r="O1469" s="24">
        <v>4800</v>
      </c>
      <c r="P1469" s="24">
        <v>9100</v>
      </c>
      <c r="Q1469" t="s">
        <v>1983</v>
      </c>
      <c r="R1469" s="19">
        <f>VLOOKUP(A1469,[1]Sheet1!$A$2:$Q$1536,15,FALSE)</f>
        <v>2710.697021484375</v>
      </c>
      <c r="S1469" s="27">
        <f t="shared" si="66"/>
        <v>-2.357070129149605</v>
      </c>
      <c r="T1469" s="19">
        <f>VLOOKUP(A1469,[1]Sheet1!$A$2:$Q$1536,16,FALSE)</f>
        <v>9020.4733492636842</v>
      </c>
      <c r="U1469" s="27">
        <f t="shared" si="67"/>
        <v>-8.8162391991111339E-3</v>
      </c>
      <c r="V1469" s="19">
        <f>VLOOKUP(A1469,[1]Sheet1!$A$2:$Q$1536,17,FALSE)</f>
        <v>2511.72216796875</v>
      </c>
      <c r="W1469" s="27">
        <f t="shared" si="68"/>
        <v>-2.6230121770829626</v>
      </c>
    </row>
    <row r="1470" spans="1:23" x14ac:dyDescent="0.3">
      <c r="A1470" s="4" t="s">
        <v>186</v>
      </c>
      <c r="B1470" s="5">
        <v>2016</v>
      </c>
      <c r="C1470" s="5" t="s">
        <v>96</v>
      </c>
      <c r="D1470" s="15" t="s">
        <v>177</v>
      </c>
      <c r="E1470" s="6">
        <v>108620</v>
      </c>
      <c r="F1470" s="5" t="s">
        <v>115</v>
      </c>
      <c r="G1470" s="5" t="s">
        <v>16</v>
      </c>
      <c r="H1470" s="5" t="s">
        <v>17</v>
      </c>
      <c r="I1470" s="5" t="s">
        <v>18</v>
      </c>
      <c r="J1470" s="7">
        <v>45715</v>
      </c>
      <c r="K1470" s="5" t="s">
        <v>17</v>
      </c>
      <c r="L1470" s="8">
        <v>44028</v>
      </c>
      <c r="M1470" s="19">
        <v>235</v>
      </c>
      <c r="N1470" s="19">
        <v>285</v>
      </c>
      <c r="O1470" s="24">
        <v>0</v>
      </c>
      <c r="P1470" s="24">
        <v>11100</v>
      </c>
      <c r="Q1470" t="s">
        <v>1983</v>
      </c>
      <c r="R1470" s="19">
        <f>VLOOKUP(A1470,[1]Sheet1!$A$2:$Q$1536,15,FALSE)</f>
        <v>8558.943359375</v>
      </c>
      <c r="S1470" s="27">
        <f t="shared" si="66"/>
        <v>-0.29688905907312318</v>
      </c>
      <c r="T1470" s="19">
        <f>VLOOKUP(A1470,[1]Sheet1!$A$2:$Q$1536,16,FALSE)</f>
        <v>10022.393775772211</v>
      </c>
      <c r="U1470" s="27">
        <f t="shared" si="67"/>
        <v>-0.10751984489301923</v>
      </c>
      <c r="V1470" s="19">
        <f>VLOOKUP(A1470,[1]Sheet1!$A$2:$Q$1536,17,FALSE)</f>
        <v>8585.3583984375</v>
      </c>
      <c r="W1470" s="27">
        <f t="shared" si="68"/>
        <v>-0.29289884997930365</v>
      </c>
    </row>
    <row r="1471" spans="1:23" x14ac:dyDescent="0.3">
      <c r="A1471" s="4" t="s">
        <v>180</v>
      </c>
      <c r="B1471" s="5">
        <v>2012</v>
      </c>
      <c r="C1471" s="5" t="s">
        <v>96</v>
      </c>
      <c r="D1471" s="15" t="s">
        <v>181</v>
      </c>
      <c r="E1471" s="6">
        <v>164609</v>
      </c>
      <c r="F1471" s="5" t="s">
        <v>81</v>
      </c>
      <c r="G1471" s="5" t="s">
        <v>25</v>
      </c>
      <c r="H1471" s="5" t="s">
        <v>18</v>
      </c>
      <c r="I1471" s="5" t="s">
        <v>17</v>
      </c>
      <c r="J1471" s="7">
        <v>45568</v>
      </c>
      <c r="K1471" s="5" t="s">
        <v>17</v>
      </c>
      <c r="L1471" s="8">
        <v>44144</v>
      </c>
      <c r="M1471" s="19">
        <v>235</v>
      </c>
      <c r="N1471" s="19">
        <v>285</v>
      </c>
      <c r="O1471" s="24">
        <v>0</v>
      </c>
      <c r="P1471" s="24">
        <v>3600</v>
      </c>
      <c r="Q1471" t="s">
        <v>1983</v>
      </c>
      <c r="R1471" s="19">
        <f>VLOOKUP(A1471,[1]Sheet1!$A$2:$Q$1536,15,FALSE)</f>
        <v>1397.711303710938</v>
      </c>
      <c r="S1471" s="27">
        <f t="shared" si="66"/>
        <v>-1.575639182742504</v>
      </c>
      <c r="T1471" s="19">
        <f>VLOOKUP(A1471,[1]Sheet1!$A$2:$Q$1536,16,FALSE)</f>
        <v>9306.6929291045344</v>
      </c>
      <c r="U1471" s="27">
        <f t="shared" si="67"/>
        <v>0.6131816073202726</v>
      </c>
      <c r="V1471" s="19">
        <f>VLOOKUP(A1471,[1]Sheet1!$A$2:$Q$1536,17,FALSE)</f>
        <v>1414.7646484375</v>
      </c>
      <c r="W1471" s="27">
        <f t="shared" si="68"/>
        <v>-1.544592843746786</v>
      </c>
    </row>
    <row r="1472" spans="1:23" x14ac:dyDescent="0.3">
      <c r="A1472" s="4" t="s">
        <v>721</v>
      </c>
      <c r="B1472" s="5">
        <v>2017</v>
      </c>
      <c r="C1472" s="5" t="s">
        <v>83</v>
      </c>
      <c r="D1472" s="15" t="s">
        <v>722</v>
      </c>
      <c r="E1472" s="6">
        <v>52552</v>
      </c>
      <c r="F1472" s="5" t="s">
        <v>79</v>
      </c>
      <c r="G1472" s="5" t="s">
        <v>28</v>
      </c>
      <c r="H1472" s="5" t="s">
        <v>17</v>
      </c>
      <c r="I1472" s="5" t="s">
        <v>18</v>
      </c>
      <c r="J1472" s="7">
        <v>45610</v>
      </c>
      <c r="K1472" s="5" t="s">
        <v>17</v>
      </c>
      <c r="L1472" s="8">
        <v>44137</v>
      </c>
      <c r="M1472" s="19">
        <v>280</v>
      </c>
      <c r="N1472" s="19">
        <v>330</v>
      </c>
      <c r="O1472" s="24">
        <v>0</v>
      </c>
      <c r="P1472" s="24">
        <v>27000</v>
      </c>
      <c r="Q1472" t="s">
        <v>1983</v>
      </c>
      <c r="R1472" s="19">
        <f>VLOOKUP(A1472,[1]Sheet1!$A$2:$Q$1536,15,FALSE)</f>
        <v>7373.6201171875</v>
      </c>
      <c r="S1472" s="27">
        <f t="shared" si="66"/>
        <v>-2.661702063693856</v>
      </c>
      <c r="T1472" s="19">
        <f>VLOOKUP(A1472,[1]Sheet1!$A$2:$Q$1536,16,FALSE)</f>
        <v>11260.20625536839</v>
      </c>
      <c r="U1472" s="27">
        <f t="shared" si="67"/>
        <v>-1.3978246390582358</v>
      </c>
      <c r="V1472" s="19">
        <f>VLOOKUP(A1472,[1]Sheet1!$A$2:$Q$1536,17,FALSE)</f>
        <v>7056.85595703125</v>
      </c>
      <c r="W1472" s="27">
        <f t="shared" si="68"/>
        <v>-2.8260664755524689</v>
      </c>
    </row>
    <row r="1473" spans="1:23" x14ac:dyDescent="0.3">
      <c r="A1473" s="4" t="s">
        <v>1179</v>
      </c>
      <c r="B1473" s="5">
        <v>2021</v>
      </c>
      <c r="C1473" s="5" t="s">
        <v>920</v>
      </c>
      <c r="D1473" s="15" t="s">
        <v>1180</v>
      </c>
      <c r="E1473" s="6">
        <v>56534</v>
      </c>
      <c r="F1473" s="5" t="s">
        <v>158</v>
      </c>
      <c r="G1473" s="5" t="s">
        <v>16</v>
      </c>
      <c r="H1473" s="5" t="s">
        <v>17</v>
      </c>
      <c r="I1473" s="5" t="s">
        <v>18</v>
      </c>
      <c r="J1473" s="7">
        <v>45720</v>
      </c>
      <c r="K1473" s="5" t="s">
        <v>17</v>
      </c>
      <c r="L1473" s="8">
        <v>44483</v>
      </c>
      <c r="M1473" s="19">
        <v>264</v>
      </c>
      <c r="N1473" s="19">
        <v>314</v>
      </c>
      <c r="O1473" s="24">
        <v>27200</v>
      </c>
      <c r="P1473" s="24">
        <v>31500</v>
      </c>
      <c r="Q1473" t="s">
        <v>1983</v>
      </c>
      <c r="R1473" s="19">
        <f>VLOOKUP(A1473,[1]Sheet1!$A$2:$Q$1536,15,FALSE)</f>
        <v>22027.5</v>
      </c>
      <c r="S1473" s="27">
        <f t="shared" si="66"/>
        <v>-0.43003064351378956</v>
      </c>
      <c r="T1473" s="19">
        <f>VLOOKUP(A1473,[1]Sheet1!$A$2:$Q$1536,16,FALSE)</f>
        <v>15791.932209661039</v>
      </c>
      <c r="U1473" s="27">
        <f t="shared" si="67"/>
        <v>-0.99468941366967289</v>
      </c>
      <c r="V1473" s="19">
        <f>VLOOKUP(A1473,[1]Sheet1!$A$2:$Q$1536,17,FALSE)</f>
        <v>21554.8671875</v>
      </c>
      <c r="W1473" s="27">
        <f t="shared" si="68"/>
        <v>-0.4613868749916184</v>
      </c>
    </row>
    <row r="1474" spans="1:23" x14ac:dyDescent="0.3">
      <c r="A1474" s="4" t="s">
        <v>1005</v>
      </c>
      <c r="B1474" s="5">
        <v>2015</v>
      </c>
      <c r="C1474" s="5" t="s">
        <v>237</v>
      </c>
      <c r="D1474" s="15" t="s">
        <v>238</v>
      </c>
      <c r="E1474" s="6">
        <v>51610</v>
      </c>
      <c r="F1474" s="5" t="s">
        <v>64</v>
      </c>
      <c r="G1474" s="5" t="s">
        <v>28</v>
      </c>
      <c r="H1474" s="5" t="s">
        <v>17</v>
      </c>
      <c r="I1474" s="5" t="s">
        <v>18</v>
      </c>
      <c r="J1474" s="7">
        <v>45561</v>
      </c>
      <c r="K1474" s="5" t="s">
        <v>17</v>
      </c>
      <c r="L1474" s="8">
        <v>43608</v>
      </c>
      <c r="M1474" s="19">
        <v>264</v>
      </c>
      <c r="N1474" s="19">
        <v>314</v>
      </c>
      <c r="O1474" s="24">
        <v>0</v>
      </c>
      <c r="P1474" s="24">
        <v>6200</v>
      </c>
      <c r="Q1474" t="s">
        <v>1983</v>
      </c>
      <c r="R1474" s="19">
        <f>VLOOKUP(A1474,[1]Sheet1!$A$2:$Q$1536,15,FALSE)</f>
        <v>12035.0869140625</v>
      </c>
      <c r="S1474" s="27">
        <f t="shared" si="66"/>
        <v>0.48483961567775991</v>
      </c>
      <c r="T1474" s="19">
        <f>VLOOKUP(A1474,[1]Sheet1!$A$2:$Q$1536,16,FALSE)</f>
        <v>11606.28149627506</v>
      </c>
      <c r="U1474" s="27">
        <f t="shared" si="67"/>
        <v>0.46580651158686454</v>
      </c>
      <c r="V1474" s="19">
        <f>VLOOKUP(A1474,[1]Sheet1!$A$2:$Q$1536,17,FALSE)</f>
        <v>11977.8447265625</v>
      </c>
      <c r="W1474" s="27">
        <f t="shared" si="68"/>
        <v>0.48237766129572068</v>
      </c>
    </row>
    <row r="1475" spans="1:23" x14ac:dyDescent="0.3">
      <c r="A1475" s="4" t="s">
        <v>833</v>
      </c>
      <c r="B1475" s="5">
        <v>2015</v>
      </c>
      <c r="C1475" s="5" t="s">
        <v>559</v>
      </c>
      <c r="D1475" s="15" t="s">
        <v>760</v>
      </c>
      <c r="E1475" s="6">
        <v>104860</v>
      </c>
      <c r="F1475" s="5" t="s">
        <v>21</v>
      </c>
      <c r="G1475" s="5" t="s">
        <v>22</v>
      </c>
      <c r="H1475" s="5" t="s">
        <v>18</v>
      </c>
      <c r="I1475" s="5" t="s">
        <v>17</v>
      </c>
      <c r="J1475" s="7">
        <v>45720</v>
      </c>
      <c r="K1475" s="5" t="s">
        <v>17</v>
      </c>
      <c r="L1475" s="8">
        <v>44483</v>
      </c>
      <c r="M1475" s="19">
        <v>264</v>
      </c>
      <c r="N1475" s="19">
        <v>314</v>
      </c>
      <c r="O1475" s="24">
        <v>2900</v>
      </c>
      <c r="P1475" s="24">
        <v>9000</v>
      </c>
      <c r="Q1475" t="s">
        <v>1983</v>
      </c>
      <c r="R1475" s="19">
        <f>VLOOKUP(A1475,[1]Sheet1!$A$2:$Q$1536,15,FALSE)</f>
        <v>4220.52734375</v>
      </c>
      <c r="S1475" s="27">
        <f t="shared" ref="S1475:S1536" si="69">(R1475-$P1475)/R1475</f>
        <v>-1.1324349463883272</v>
      </c>
      <c r="T1475" s="19">
        <f>VLOOKUP(A1475,[1]Sheet1!$A$2:$Q$1536,16,FALSE)</f>
        <v>10039.444239775679</v>
      </c>
      <c r="U1475" s="27">
        <f t="shared" ref="U1475:U1536" si="70">(T1475-$P1475)/T1475</f>
        <v>0.10353603396266331</v>
      </c>
      <c r="V1475" s="19">
        <f>VLOOKUP(A1475,[1]Sheet1!$A$2:$Q$1536,17,FALSE)</f>
        <v>4149.24072265625</v>
      </c>
      <c r="W1475" s="27">
        <f t="shared" ref="W1475:W1536" si="71">(V1475-$P1475)/V1475</f>
        <v>-1.1690715486467134</v>
      </c>
    </row>
    <row r="1476" spans="1:23" x14ac:dyDescent="0.3">
      <c r="A1476" s="4" t="s">
        <v>1930</v>
      </c>
      <c r="B1476" s="5">
        <v>2012</v>
      </c>
      <c r="C1476" s="5" t="s">
        <v>684</v>
      </c>
      <c r="D1476" s="15" t="s">
        <v>1182</v>
      </c>
      <c r="E1476" s="6">
        <v>87604</v>
      </c>
      <c r="F1476" s="5" t="s">
        <v>161</v>
      </c>
      <c r="G1476" s="5" t="s">
        <v>16</v>
      </c>
      <c r="H1476" s="5" t="s">
        <v>17</v>
      </c>
      <c r="I1476" s="5" t="s">
        <v>18</v>
      </c>
      <c r="J1476" s="7">
        <v>45594</v>
      </c>
      <c r="K1476" s="5" t="s">
        <v>17</v>
      </c>
      <c r="L1476" s="8">
        <v>44054</v>
      </c>
      <c r="M1476" s="19">
        <v>235</v>
      </c>
      <c r="N1476" s="19">
        <v>285</v>
      </c>
      <c r="O1476" s="24">
        <v>5300</v>
      </c>
      <c r="P1476" s="24">
        <v>13876.0233918129</v>
      </c>
      <c r="Q1476" t="s">
        <v>1983</v>
      </c>
      <c r="R1476" s="19">
        <f>VLOOKUP(A1476,[1]Sheet1!$A$2:$Q$1536,15,FALSE)</f>
        <v>4873.599609375</v>
      </c>
      <c r="S1476" s="27">
        <f t="shared" si="69"/>
        <v>-1.847181652986136</v>
      </c>
      <c r="T1476" s="19">
        <f>VLOOKUP(A1476,[1]Sheet1!$A$2:$Q$1536,16,FALSE)</f>
        <v>9829.5335764666215</v>
      </c>
      <c r="U1476" s="27">
        <f t="shared" si="70"/>
        <v>-0.41166651335666443</v>
      </c>
      <c r="V1476" s="19">
        <f>VLOOKUP(A1476,[1]Sheet1!$A$2:$Q$1536,17,FALSE)</f>
        <v>4913.08251953125</v>
      </c>
      <c r="W1476" s="27">
        <f t="shared" si="71"/>
        <v>-1.8243009020611343</v>
      </c>
    </row>
    <row r="1477" spans="1:23" x14ac:dyDescent="0.3">
      <c r="A1477" s="4" t="s">
        <v>1697</v>
      </c>
      <c r="B1477" s="5">
        <v>2017</v>
      </c>
      <c r="C1477" s="5" t="s">
        <v>1089</v>
      </c>
      <c r="D1477" s="15" t="s">
        <v>1696</v>
      </c>
      <c r="E1477" s="6">
        <v>136589</v>
      </c>
      <c r="F1477" s="5" t="s">
        <v>38</v>
      </c>
      <c r="G1477" s="5" t="s">
        <v>25</v>
      </c>
      <c r="H1477" s="5" t="s">
        <v>18</v>
      </c>
      <c r="I1477" s="5" t="s">
        <v>17</v>
      </c>
      <c r="J1477" s="7">
        <v>45566</v>
      </c>
      <c r="K1477" s="5" t="s">
        <v>17</v>
      </c>
      <c r="L1477" s="8">
        <v>43608</v>
      </c>
      <c r="M1477" s="19">
        <v>264</v>
      </c>
      <c r="N1477" s="19">
        <v>314</v>
      </c>
      <c r="O1477" s="24">
        <v>0</v>
      </c>
      <c r="P1477" s="24">
        <v>800</v>
      </c>
      <c r="Q1477" t="s">
        <v>1983</v>
      </c>
      <c r="R1477" s="19">
        <f>VLOOKUP(A1477,[1]Sheet1!$A$2:$Q$1536,15,FALSE)</f>
        <v>1916.4375</v>
      </c>
      <c r="S1477" s="27">
        <f t="shared" si="69"/>
        <v>0.58255878420245899</v>
      </c>
      <c r="T1477" s="19">
        <f>VLOOKUP(A1477,[1]Sheet1!$A$2:$Q$1536,16,FALSE)</f>
        <v>8627.6414701834565</v>
      </c>
      <c r="U1477" s="27">
        <f t="shared" si="70"/>
        <v>0.9072747745992058</v>
      </c>
      <c r="V1477" s="19">
        <f>VLOOKUP(A1477,[1]Sheet1!$A$2:$Q$1536,17,FALSE)</f>
        <v>1786.465209960938</v>
      </c>
      <c r="W1477" s="27">
        <f t="shared" si="71"/>
        <v>0.55218831268620538</v>
      </c>
    </row>
    <row r="1478" spans="1:23" x14ac:dyDescent="0.3">
      <c r="A1478" s="4" t="s">
        <v>1909</v>
      </c>
      <c r="B1478" s="5">
        <v>2017</v>
      </c>
      <c r="C1478" s="5" t="s">
        <v>1223</v>
      </c>
      <c r="D1478" s="15" t="s">
        <v>1254</v>
      </c>
      <c r="E1478" s="6">
        <v>47196</v>
      </c>
      <c r="F1478" s="5" t="s">
        <v>59</v>
      </c>
      <c r="G1478" s="5" t="s">
        <v>16</v>
      </c>
      <c r="H1478" s="5" t="s">
        <v>17</v>
      </c>
      <c r="I1478" s="5" t="s">
        <v>18</v>
      </c>
      <c r="J1478" s="7">
        <v>45510</v>
      </c>
      <c r="K1478" s="5" t="s">
        <v>17</v>
      </c>
      <c r="L1478" s="8">
        <v>44035</v>
      </c>
      <c r="M1478" s="19">
        <v>222</v>
      </c>
      <c r="N1478" s="19">
        <v>272</v>
      </c>
      <c r="O1478" s="24">
        <v>0</v>
      </c>
      <c r="P1478" s="24">
        <v>11800</v>
      </c>
      <c r="Q1478" t="s">
        <v>1983</v>
      </c>
      <c r="R1478" s="19">
        <f>VLOOKUP(A1478,[1]Sheet1!$A$2:$Q$1536,15,FALSE)</f>
        <v>17737.9296875</v>
      </c>
      <c r="S1478" s="27">
        <f t="shared" si="69"/>
        <v>0.33475889194016178</v>
      </c>
      <c r="T1478" s="19">
        <f>VLOOKUP(A1478,[1]Sheet1!$A$2:$Q$1536,16,FALSE)</f>
        <v>13122.76465323197</v>
      </c>
      <c r="U1478" s="27">
        <f t="shared" si="70"/>
        <v>0.10079923615075961</v>
      </c>
      <c r="V1478" s="19">
        <f>VLOOKUP(A1478,[1]Sheet1!$A$2:$Q$1536,17,FALSE)</f>
        <v>17612.146484375</v>
      </c>
      <c r="W1478" s="27">
        <f t="shared" si="71"/>
        <v>0.33000784370782815</v>
      </c>
    </row>
    <row r="1479" spans="1:23" x14ac:dyDescent="0.3">
      <c r="A1479" s="4" t="s">
        <v>1614</v>
      </c>
      <c r="B1479" s="5">
        <v>2017</v>
      </c>
      <c r="C1479" s="5" t="s">
        <v>519</v>
      </c>
      <c r="D1479" s="15" t="s">
        <v>1607</v>
      </c>
      <c r="E1479" s="6">
        <v>154588</v>
      </c>
      <c r="F1479" s="5" t="s">
        <v>61</v>
      </c>
      <c r="G1479" s="5" t="s">
        <v>25</v>
      </c>
      <c r="H1479" s="5" t="s">
        <v>18</v>
      </c>
      <c r="I1479" s="5" t="s">
        <v>17</v>
      </c>
      <c r="J1479" s="7">
        <v>45342</v>
      </c>
      <c r="K1479" s="5" t="s">
        <v>17</v>
      </c>
      <c r="L1479" s="8">
        <v>44224</v>
      </c>
      <c r="M1479" s="19">
        <v>235</v>
      </c>
      <c r="N1479" s="19">
        <v>285</v>
      </c>
      <c r="O1479" s="24">
        <v>4200</v>
      </c>
      <c r="P1479" s="24">
        <v>10600</v>
      </c>
      <c r="Q1479" t="s">
        <v>1983</v>
      </c>
      <c r="R1479" s="19">
        <f>VLOOKUP(A1479,[1]Sheet1!$A$2:$Q$1536,15,FALSE)</f>
        <v>1964.309936523438</v>
      </c>
      <c r="S1479" s="27">
        <f t="shared" si="69"/>
        <v>-4.3962970928918486</v>
      </c>
      <c r="T1479" s="19">
        <f>VLOOKUP(A1479,[1]Sheet1!$A$2:$Q$1536,16,FALSE)</f>
        <v>9003.6373260808396</v>
      </c>
      <c r="U1479" s="27">
        <f t="shared" si="70"/>
        <v>-0.17730197431375608</v>
      </c>
      <c r="V1479" s="19">
        <f>VLOOKUP(A1479,[1]Sheet1!$A$2:$Q$1536,17,FALSE)</f>
        <v>1885.53759765625</v>
      </c>
      <c r="W1479" s="27">
        <f t="shared" si="71"/>
        <v>-4.6217388680957363</v>
      </c>
    </row>
    <row r="1480" spans="1:23" x14ac:dyDescent="0.3">
      <c r="A1480" s="4" t="s">
        <v>923</v>
      </c>
      <c r="B1480" s="5">
        <v>2018</v>
      </c>
      <c r="C1480" s="5" t="s">
        <v>920</v>
      </c>
      <c r="D1480" s="15" t="s">
        <v>921</v>
      </c>
      <c r="E1480" s="6">
        <v>76955</v>
      </c>
      <c r="F1480" s="5" t="s">
        <v>42</v>
      </c>
      <c r="G1480" s="5" t="s">
        <v>33</v>
      </c>
      <c r="H1480" s="5" t="s">
        <v>17</v>
      </c>
      <c r="I1480" s="5" t="s">
        <v>18</v>
      </c>
      <c r="J1480" s="7">
        <v>45706</v>
      </c>
      <c r="K1480" s="5" t="s">
        <v>17</v>
      </c>
      <c r="L1480" s="8">
        <v>44430</v>
      </c>
      <c r="M1480" s="19">
        <v>264</v>
      </c>
      <c r="N1480" s="19">
        <v>314</v>
      </c>
      <c r="O1480" s="24">
        <v>12000</v>
      </c>
      <c r="P1480" s="24">
        <v>14700</v>
      </c>
      <c r="Q1480" t="s">
        <v>1983</v>
      </c>
      <c r="R1480" s="19">
        <f>VLOOKUP(A1480,[1]Sheet1!$A$2:$Q$1536,15,FALSE)</f>
        <v>6485.95751953125</v>
      </c>
      <c r="S1480" s="27">
        <f t="shared" si="69"/>
        <v>-1.266434825657383</v>
      </c>
      <c r="T1480" s="19">
        <f>VLOOKUP(A1480,[1]Sheet1!$A$2:$Q$1536,16,FALSE)</f>
        <v>9717.3024295415835</v>
      </c>
      <c r="U1480" s="27">
        <f t="shared" si="70"/>
        <v>-0.51276551353496125</v>
      </c>
      <c r="V1480" s="19">
        <f>VLOOKUP(A1480,[1]Sheet1!$A$2:$Q$1536,17,FALSE)</f>
        <v>6533.8681640625</v>
      </c>
      <c r="W1480" s="27">
        <f t="shared" si="71"/>
        <v>-1.2498158259226526</v>
      </c>
    </row>
    <row r="1481" spans="1:23" x14ac:dyDescent="0.3">
      <c r="A1481" s="4" t="s">
        <v>1022</v>
      </c>
      <c r="B1481" s="5">
        <v>2014</v>
      </c>
      <c r="C1481" s="5" t="s">
        <v>237</v>
      </c>
      <c r="D1481" s="15" t="s">
        <v>238</v>
      </c>
      <c r="E1481" s="6">
        <v>117800</v>
      </c>
      <c r="F1481" s="5" t="s">
        <v>42</v>
      </c>
      <c r="G1481" s="5" t="s">
        <v>33</v>
      </c>
      <c r="H1481" s="5" t="s">
        <v>17</v>
      </c>
      <c r="I1481" s="5" t="s">
        <v>18</v>
      </c>
      <c r="J1481" s="7">
        <v>45645</v>
      </c>
      <c r="K1481" s="5" t="s">
        <v>17</v>
      </c>
      <c r="L1481" s="8">
        <v>44144</v>
      </c>
      <c r="M1481" s="19">
        <v>235</v>
      </c>
      <c r="N1481" s="19">
        <v>285</v>
      </c>
      <c r="O1481" s="24">
        <v>0</v>
      </c>
      <c r="P1481" s="24">
        <v>9000</v>
      </c>
      <c r="Q1481" t="s">
        <v>1983</v>
      </c>
      <c r="R1481" s="19">
        <f>VLOOKUP(A1481,[1]Sheet1!$A$2:$Q$1536,15,FALSE)</f>
        <v>2295.6650390625</v>
      </c>
      <c r="S1481" s="27">
        <f t="shared" si="69"/>
        <v>-2.9204325748130073</v>
      </c>
      <c r="T1481" s="19">
        <f>VLOOKUP(A1481,[1]Sheet1!$A$2:$Q$1536,16,FALSE)</f>
        <v>9301.2068014746692</v>
      </c>
      <c r="U1481" s="27">
        <f t="shared" si="70"/>
        <v>3.2383625899696594E-2</v>
      </c>
      <c r="V1481" s="19">
        <f>VLOOKUP(A1481,[1]Sheet1!$A$2:$Q$1536,17,FALSE)</f>
        <v>2215.851806640625</v>
      </c>
      <c r="W1481" s="27">
        <f t="shared" si="71"/>
        <v>-3.0616434605546043</v>
      </c>
    </row>
    <row r="1482" spans="1:23" x14ac:dyDescent="0.3">
      <c r="A1482" s="4" t="s">
        <v>1854</v>
      </c>
      <c r="B1482" s="5">
        <v>2013</v>
      </c>
      <c r="C1482" s="5" t="s">
        <v>1845</v>
      </c>
      <c r="D1482" s="15" t="s">
        <v>1853</v>
      </c>
      <c r="E1482" s="6">
        <v>103897</v>
      </c>
      <c r="F1482" s="5" t="s">
        <v>219</v>
      </c>
      <c r="G1482" s="5" t="s">
        <v>22</v>
      </c>
      <c r="H1482" s="5" t="s">
        <v>18</v>
      </c>
      <c r="I1482" s="5" t="s">
        <v>17</v>
      </c>
      <c r="J1482" s="7">
        <v>45454</v>
      </c>
      <c r="K1482" s="5" t="s">
        <v>17</v>
      </c>
      <c r="L1482" s="8">
        <v>44307</v>
      </c>
      <c r="M1482" s="19">
        <v>235</v>
      </c>
      <c r="N1482" s="19">
        <v>285</v>
      </c>
      <c r="O1482" s="24">
        <v>1000</v>
      </c>
      <c r="P1482" s="24">
        <v>3500</v>
      </c>
      <c r="Q1482" t="s">
        <v>1983</v>
      </c>
      <c r="R1482" s="19">
        <f>VLOOKUP(A1482,[1]Sheet1!$A$2:$Q$1536,15,FALSE)</f>
        <v>2500.697021484375</v>
      </c>
      <c r="S1482" s="27">
        <f t="shared" si="69"/>
        <v>-0.39960977676634102</v>
      </c>
      <c r="T1482" s="19">
        <f>VLOOKUP(A1482,[1]Sheet1!$A$2:$Q$1536,16,FALSE)</f>
        <v>8894.3343208778606</v>
      </c>
      <c r="U1482" s="27">
        <f t="shared" si="70"/>
        <v>0.60649106793924135</v>
      </c>
      <c r="V1482" s="19">
        <f>VLOOKUP(A1482,[1]Sheet1!$A$2:$Q$1536,17,FALSE)</f>
        <v>2338.3408203125</v>
      </c>
      <c r="W1482" s="27">
        <f t="shared" si="71"/>
        <v>-0.49678779483148816</v>
      </c>
    </row>
    <row r="1483" spans="1:23" x14ac:dyDescent="0.3">
      <c r="A1483" s="4" t="s">
        <v>489</v>
      </c>
      <c r="B1483" s="5">
        <v>2017</v>
      </c>
      <c r="C1483" s="5" t="s">
        <v>391</v>
      </c>
      <c r="D1483" s="15" t="s">
        <v>394</v>
      </c>
      <c r="E1483" s="6">
        <v>113093</v>
      </c>
      <c r="F1483" s="5" t="s">
        <v>73</v>
      </c>
      <c r="G1483" s="5" t="s">
        <v>25</v>
      </c>
      <c r="H1483" s="5" t="s">
        <v>18</v>
      </c>
      <c r="I1483" s="5" t="s">
        <v>17</v>
      </c>
      <c r="J1483" s="7">
        <v>45666</v>
      </c>
      <c r="K1483" s="5" t="s">
        <v>17</v>
      </c>
      <c r="L1483" s="8">
        <v>44135</v>
      </c>
      <c r="M1483" s="19">
        <v>235</v>
      </c>
      <c r="N1483" s="19">
        <v>285</v>
      </c>
      <c r="O1483" s="24">
        <v>4800</v>
      </c>
      <c r="P1483" s="24">
        <v>9500</v>
      </c>
      <c r="Q1483" t="s">
        <v>1983</v>
      </c>
      <c r="R1483" s="19">
        <f>VLOOKUP(A1483,[1]Sheet1!$A$2:$Q$1536,15,FALSE)</f>
        <v>2390.27490234375</v>
      </c>
      <c r="S1483" s="27">
        <f t="shared" si="69"/>
        <v>-2.9744382500460138</v>
      </c>
      <c r="T1483" s="19">
        <f>VLOOKUP(A1483,[1]Sheet1!$A$2:$Q$1536,16,FALSE)</f>
        <v>9286.1134826892012</v>
      </c>
      <c r="U1483" s="27">
        <f t="shared" si="70"/>
        <v>-2.3032942437061256E-2</v>
      </c>
      <c r="V1483" s="19">
        <f>VLOOKUP(A1483,[1]Sheet1!$A$2:$Q$1536,17,FALSE)</f>
        <v>2358.90087890625</v>
      </c>
      <c r="W1483" s="27">
        <f t="shared" si="71"/>
        <v>-3.0272993600328211</v>
      </c>
    </row>
    <row r="1484" spans="1:23" x14ac:dyDescent="0.3">
      <c r="A1484" s="4" t="s">
        <v>71</v>
      </c>
      <c r="B1484" s="5">
        <v>2015</v>
      </c>
      <c r="C1484" s="5" t="s">
        <v>46</v>
      </c>
      <c r="D1484" s="15">
        <v>200</v>
      </c>
      <c r="E1484" s="6">
        <v>120740</v>
      </c>
      <c r="F1484" s="5" t="s">
        <v>61</v>
      </c>
      <c r="G1484" s="5" t="s">
        <v>22</v>
      </c>
      <c r="H1484" s="5" t="s">
        <v>18</v>
      </c>
      <c r="I1484" s="5" t="s">
        <v>17</v>
      </c>
      <c r="J1484" s="7">
        <v>45356</v>
      </c>
      <c r="K1484" s="5" t="s">
        <v>17</v>
      </c>
      <c r="L1484" s="8">
        <v>44135</v>
      </c>
      <c r="M1484" s="19">
        <v>235</v>
      </c>
      <c r="N1484" s="19">
        <v>285</v>
      </c>
      <c r="O1484" s="24">
        <v>1900</v>
      </c>
      <c r="P1484" s="24">
        <v>5300</v>
      </c>
      <c r="Q1484" t="s">
        <v>1983</v>
      </c>
      <c r="R1484" s="19">
        <f>VLOOKUP(A1484,[1]Sheet1!$A$2:$Q$1536,15,FALSE)</f>
        <v>1857.670288085938</v>
      </c>
      <c r="S1484" s="27">
        <f t="shared" si="69"/>
        <v>-1.8530358880105078</v>
      </c>
      <c r="T1484" s="19">
        <f>VLOOKUP(A1484,[1]Sheet1!$A$2:$Q$1536,16,FALSE)</f>
        <v>8761.7672982228705</v>
      </c>
      <c r="U1484" s="27">
        <f t="shared" si="70"/>
        <v>0.39509920549077043</v>
      </c>
      <c r="V1484" s="19">
        <f>VLOOKUP(A1484,[1]Sheet1!$A$2:$Q$1536,17,FALSE)</f>
        <v>1783.572998046875</v>
      </c>
      <c r="W1484" s="27">
        <f t="shared" si="71"/>
        <v>-1.9715632641915046</v>
      </c>
    </row>
    <row r="1485" spans="1:23" x14ac:dyDescent="0.3">
      <c r="A1485" s="4" t="s">
        <v>825</v>
      </c>
      <c r="B1485" s="5">
        <v>2016</v>
      </c>
      <c r="C1485" s="5" t="s">
        <v>559</v>
      </c>
      <c r="D1485" s="15" t="s">
        <v>826</v>
      </c>
      <c r="E1485" s="6">
        <v>93955</v>
      </c>
      <c r="F1485" s="5" t="s">
        <v>24</v>
      </c>
      <c r="G1485" s="5" t="s">
        <v>22</v>
      </c>
      <c r="H1485" s="5" t="s">
        <v>18</v>
      </c>
      <c r="I1485" s="5" t="s">
        <v>17</v>
      </c>
      <c r="J1485" s="7">
        <v>45659</v>
      </c>
      <c r="K1485" s="5" t="s">
        <v>17</v>
      </c>
      <c r="L1485" s="8">
        <v>43605</v>
      </c>
      <c r="M1485" s="19">
        <v>264</v>
      </c>
      <c r="N1485" s="19">
        <v>314</v>
      </c>
      <c r="O1485" s="24">
        <v>0</v>
      </c>
      <c r="P1485" s="24">
        <v>10700</v>
      </c>
      <c r="Q1485" t="s">
        <v>1983</v>
      </c>
      <c r="R1485" s="19">
        <f>VLOOKUP(A1485,[1]Sheet1!$A$2:$Q$1536,15,FALSE)</f>
        <v>6291.73876953125</v>
      </c>
      <c r="S1485" s="27">
        <f t="shared" si="69"/>
        <v>-0.70064276219102728</v>
      </c>
      <c r="T1485" s="19">
        <f>VLOOKUP(A1485,[1]Sheet1!$A$2:$Q$1536,16,FALSE)</f>
        <v>10332.10697799334</v>
      </c>
      <c r="U1485" s="27">
        <f t="shared" si="70"/>
        <v>-3.5606776312928787E-2</v>
      </c>
      <c r="V1485" s="19">
        <f>VLOOKUP(A1485,[1]Sheet1!$A$2:$Q$1536,17,FALSE)</f>
        <v>6071.4033203125</v>
      </c>
      <c r="W1485" s="27">
        <f t="shared" si="71"/>
        <v>-0.76236027084579561</v>
      </c>
    </row>
    <row r="1486" spans="1:23" x14ac:dyDescent="0.3">
      <c r="A1486" s="4" t="s">
        <v>1333</v>
      </c>
      <c r="B1486" s="5">
        <v>2017</v>
      </c>
      <c r="C1486" s="5" t="s">
        <v>1089</v>
      </c>
      <c r="D1486" s="15" t="s">
        <v>1328</v>
      </c>
      <c r="E1486" s="6">
        <v>111566</v>
      </c>
      <c r="F1486" s="5" t="s">
        <v>42</v>
      </c>
      <c r="G1486" s="5" t="s">
        <v>28</v>
      </c>
      <c r="H1486" s="5" t="s">
        <v>17</v>
      </c>
      <c r="I1486" s="5" t="s">
        <v>18</v>
      </c>
      <c r="J1486" s="7">
        <v>45328</v>
      </c>
      <c r="K1486" s="5" t="s">
        <v>17</v>
      </c>
      <c r="L1486" s="8">
        <v>44451</v>
      </c>
      <c r="M1486" s="19">
        <v>264</v>
      </c>
      <c r="N1486" s="19">
        <v>314</v>
      </c>
      <c r="O1486" s="24">
        <v>5500</v>
      </c>
      <c r="P1486" s="24">
        <v>9600</v>
      </c>
      <c r="Q1486" t="s">
        <v>1983</v>
      </c>
      <c r="R1486" s="19">
        <f>VLOOKUP(A1486,[1]Sheet1!$A$2:$Q$1536,15,FALSE)</f>
        <v>3016.77880859375</v>
      </c>
      <c r="S1486" s="27">
        <f t="shared" si="69"/>
        <v>-2.1822021464261652</v>
      </c>
      <c r="T1486" s="19">
        <f>VLOOKUP(A1486,[1]Sheet1!$A$2:$Q$1536,16,FALSE)</f>
        <v>8652.6920287822322</v>
      </c>
      <c r="U1486" s="27">
        <f t="shared" si="70"/>
        <v>-0.10948129993147238</v>
      </c>
      <c r="V1486" s="19">
        <f>VLOOKUP(A1486,[1]Sheet1!$A$2:$Q$1536,17,FALSE)</f>
        <v>2874.52734375</v>
      </c>
      <c r="W1486" s="27">
        <f t="shared" si="71"/>
        <v>-2.3396794853501732</v>
      </c>
    </row>
    <row r="1487" spans="1:23" x14ac:dyDescent="0.3">
      <c r="A1487" s="4" t="s">
        <v>1965</v>
      </c>
      <c r="B1487" s="5">
        <v>2016</v>
      </c>
      <c r="C1487" s="5" t="s">
        <v>96</v>
      </c>
      <c r="D1487" s="15" t="s">
        <v>1951</v>
      </c>
      <c r="E1487" s="6">
        <v>108800</v>
      </c>
      <c r="F1487" s="5" t="s">
        <v>59</v>
      </c>
      <c r="G1487" s="5" t="s">
        <v>16</v>
      </c>
      <c r="H1487" s="5" t="s">
        <v>17</v>
      </c>
      <c r="I1487" s="5" t="s">
        <v>18</v>
      </c>
      <c r="J1487" s="7">
        <v>45300</v>
      </c>
      <c r="K1487" s="5" t="s">
        <v>17</v>
      </c>
      <c r="L1487" s="8">
        <v>44707</v>
      </c>
      <c r="M1487" s="19">
        <v>222</v>
      </c>
      <c r="N1487" s="19">
        <v>272</v>
      </c>
      <c r="O1487" s="24">
        <v>9500</v>
      </c>
      <c r="P1487" s="24">
        <v>11900</v>
      </c>
      <c r="Q1487" t="s">
        <v>1983</v>
      </c>
      <c r="R1487" s="19">
        <f>VLOOKUP(A1487,[1]Sheet1!$A$2:$Q$1536,15,FALSE)</f>
        <v>8542.5234375</v>
      </c>
      <c r="S1487" s="27">
        <f t="shared" si="69"/>
        <v>-0.39303100390235246</v>
      </c>
      <c r="T1487" s="19">
        <f>VLOOKUP(A1487,[1]Sheet1!$A$2:$Q$1536,16,FALSE)</f>
        <v>9936.3894233106384</v>
      </c>
      <c r="U1487" s="27">
        <f t="shared" si="70"/>
        <v>-0.19761811791340997</v>
      </c>
      <c r="V1487" s="19">
        <f>VLOOKUP(A1487,[1]Sheet1!$A$2:$Q$1536,17,FALSE)</f>
        <v>8690.41796875</v>
      </c>
      <c r="W1487" s="27">
        <f t="shared" si="71"/>
        <v>-0.36932424226215388</v>
      </c>
    </row>
    <row r="1488" spans="1:23" x14ac:dyDescent="0.3">
      <c r="A1488" s="4" t="s">
        <v>455</v>
      </c>
      <c r="B1488" s="5">
        <v>2014</v>
      </c>
      <c r="C1488" s="5" t="s">
        <v>391</v>
      </c>
      <c r="D1488" s="15" t="s">
        <v>413</v>
      </c>
      <c r="E1488" s="6">
        <v>85976</v>
      </c>
      <c r="F1488" s="5" t="s">
        <v>38</v>
      </c>
      <c r="G1488" s="5" t="s">
        <v>22</v>
      </c>
      <c r="H1488" s="5" t="s">
        <v>18</v>
      </c>
      <c r="I1488" s="5" t="s">
        <v>17</v>
      </c>
      <c r="J1488" s="7">
        <v>45608</v>
      </c>
      <c r="K1488" s="5" t="s">
        <v>17</v>
      </c>
      <c r="L1488" s="8">
        <v>44614</v>
      </c>
      <c r="M1488" s="19">
        <v>235</v>
      </c>
      <c r="N1488" s="19">
        <v>285</v>
      </c>
      <c r="O1488" s="24">
        <v>1100</v>
      </c>
      <c r="P1488" s="24">
        <v>2300</v>
      </c>
      <c r="Q1488" t="s">
        <v>1983</v>
      </c>
      <c r="R1488" s="19">
        <f>VLOOKUP(A1488,[1]Sheet1!$A$2:$Q$1536,15,FALSE)</f>
        <v>3162.931884765625</v>
      </c>
      <c r="S1488" s="27">
        <f t="shared" si="69"/>
        <v>0.27282657869490246</v>
      </c>
      <c r="T1488" s="19">
        <f>VLOOKUP(A1488,[1]Sheet1!$A$2:$Q$1536,16,FALSE)</f>
        <v>9417.9075641860363</v>
      </c>
      <c r="U1488" s="27">
        <f t="shared" si="70"/>
        <v>0.75578439432275502</v>
      </c>
      <c r="V1488" s="19">
        <f>VLOOKUP(A1488,[1]Sheet1!$A$2:$Q$1536,17,FALSE)</f>
        <v>3186.73779296875</v>
      </c>
      <c r="W1488" s="27">
        <f t="shared" si="71"/>
        <v>0.27825878706596352</v>
      </c>
    </row>
    <row r="1489" spans="1:23" x14ac:dyDescent="0.3">
      <c r="A1489" s="4" t="s">
        <v>514</v>
      </c>
      <c r="B1489" s="5">
        <v>2017</v>
      </c>
      <c r="C1489" s="5" t="s">
        <v>391</v>
      </c>
      <c r="D1489" s="15" t="s">
        <v>394</v>
      </c>
      <c r="E1489" s="6">
        <v>80173</v>
      </c>
      <c r="F1489" s="5" t="s">
        <v>15</v>
      </c>
      <c r="G1489" s="5" t="s">
        <v>33</v>
      </c>
      <c r="H1489" s="5" t="s">
        <v>17</v>
      </c>
      <c r="I1489" s="5" t="s">
        <v>18</v>
      </c>
      <c r="J1489" s="7">
        <v>45302</v>
      </c>
      <c r="K1489" s="5" t="s">
        <v>17</v>
      </c>
      <c r="L1489" s="8">
        <v>44081</v>
      </c>
      <c r="M1489" s="19">
        <v>325</v>
      </c>
      <c r="N1489" s="19">
        <v>375</v>
      </c>
      <c r="O1489" s="24">
        <v>9000</v>
      </c>
      <c r="P1489" s="24">
        <v>13200</v>
      </c>
      <c r="Q1489" t="s">
        <v>1983</v>
      </c>
      <c r="R1489" s="19">
        <f>VLOOKUP(A1489,[1]Sheet1!$A$2:$Q$1536,15,FALSE)</f>
        <v>9980.06640625</v>
      </c>
      <c r="S1489" s="27">
        <f t="shared" si="69"/>
        <v>-0.32263648984675314</v>
      </c>
      <c r="T1489" s="19">
        <f>VLOOKUP(A1489,[1]Sheet1!$A$2:$Q$1536,16,FALSE)</f>
        <v>10385.313617301819</v>
      </c>
      <c r="U1489" s="27">
        <f t="shared" si="70"/>
        <v>-0.27102565087769176</v>
      </c>
      <c r="V1489" s="19">
        <f>VLOOKUP(A1489,[1]Sheet1!$A$2:$Q$1536,17,FALSE)</f>
        <v>9994.708984375</v>
      </c>
      <c r="W1489" s="27">
        <f t="shared" si="71"/>
        <v>-0.3206987837900952</v>
      </c>
    </row>
    <row r="1490" spans="1:23" x14ac:dyDescent="0.3">
      <c r="A1490" s="4" t="s">
        <v>1515</v>
      </c>
      <c r="B1490" s="5">
        <v>2010</v>
      </c>
      <c r="C1490" s="5" t="s">
        <v>30</v>
      </c>
      <c r="D1490" s="15" t="s">
        <v>1084</v>
      </c>
      <c r="E1490" s="6">
        <v>95727</v>
      </c>
      <c r="F1490" s="5" t="s">
        <v>144</v>
      </c>
      <c r="G1490" s="5" t="s">
        <v>22</v>
      </c>
      <c r="H1490" s="5" t="s">
        <v>18</v>
      </c>
      <c r="I1490" s="5" t="s">
        <v>17</v>
      </c>
      <c r="J1490" s="7">
        <v>45496</v>
      </c>
      <c r="K1490" s="5" t="s">
        <v>17</v>
      </c>
      <c r="L1490" s="8">
        <v>44451</v>
      </c>
      <c r="M1490" s="19">
        <v>264</v>
      </c>
      <c r="N1490" s="19">
        <v>314</v>
      </c>
      <c r="O1490" s="24">
        <v>1800</v>
      </c>
      <c r="P1490" s="24">
        <v>7000</v>
      </c>
      <c r="Q1490" t="s">
        <v>1983</v>
      </c>
      <c r="R1490" s="19">
        <f>VLOOKUP(A1490,[1]Sheet1!$A$2:$Q$1536,15,FALSE)</f>
        <v>2860.679443359375</v>
      </c>
      <c r="S1490" s="27">
        <f t="shared" si="69"/>
        <v>-1.4469711264746623</v>
      </c>
      <c r="T1490" s="19">
        <f>VLOOKUP(A1490,[1]Sheet1!$A$2:$Q$1536,16,FALSE)</f>
        <v>9194.3285182033287</v>
      </c>
      <c r="U1490" s="27">
        <f t="shared" si="70"/>
        <v>0.23866109568076693</v>
      </c>
      <c r="V1490" s="19">
        <f>VLOOKUP(A1490,[1]Sheet1!$A$2:$Q$1536,17,FALSE)</f>
        <v>2700.09423828125</v>
      </c>
      <c r="W1490" s="27">
        <f t="shared" si="71"/>
        <v>-1.5925021063175422</v>
      </c>
    </row>
    <row r="1491" spans="1:23" x14ac:dyDescent="0.3">
      <c r="A1491" s="4" t="s">
        <v>1650</v>
      </c>
      <c r="B1491" s="5">
        <v>2021</v>
      </c>
      <c r="C1491" s="5" t="s">
        <v>391</v>
      </c>
      <c r="D1491" s="15" t="s">
        <v>1056</v>
      </c>
      <c r="E1491" s="6">
        <v>82113</v>
      </c>
      <c r="F1491" s="5" t="s">
        <v>125</v>
      </c>
      <c r="G1491" s="5" t="s">
        <v>16</v>
      </c>
      <c r="H1491" s="5" t="s">
        <v>17</v>
      </c>
      <c r="I1491" s="5" t="s">
        <v>18</v>
      </c>
      <c r="J1491" s="7">
        <v>45412</v>
      </c>
      <c r="K1491" s="5" t="s">
        <v>17</v>
      </c>
      <c r="L1491" s="8">
        <v>44128</v>
      </c>
      <c r="M1491" s="19">
        <v>264</v>
      </c>
      <c r="N1491" s="19">
        <v>314</v>
      </c>
      <c r="O1491" s="24">
        <v>12500</v>
      </c>
      <c r="P1491" s="24">
        <v>16900</v>
      </c>
      <c r="Q1491" t="s">
        <v>1983</v>
      </c>
      <c r="R1491" s="19">
        <f>VLOOKUP(A1491,[1]Sheet1!$A$2:$Q$1536,15,FALSE)</f>
        <v>14081.955078125</v>
      </c>
      <c r="S1491" s="27">
        <f t="shared" si="69"/>
        <v>-0.200117448624202</v>
      </c>
      <c r="T1491" s="19">
        <f>VLOOKUP(A1491,[1]Sheet1!$A$2:$Q$1536,16,FALSE)</f>
        <v>12428.2713570179</v>
      </c>
      <c r="U1491" s="27">
        <f t="shared" si="70"/>
        <v>-0.35980294560088105</v>
      </c>
      <c r="V1491" s="19">
        <f>VLOOKUP(A1491,[1]Sheet1!$A$2:$Q$1536,17,FALSE)</f>
        <v>14068.7763671875</v>
      </c>
      <c r="W1491" s="27">
        <f t="shared" si="71"/>
        <v>-0.20124164027624616</v>
      </c>
    </row>
    <row r="1492" spans="1:23" x14ac:dyDescent="0.3">
      <c r="A1492" s="4" t="s">
        <v>1289</v>
      </c>
      <c r="B1492" s="5">
        <v>2013</v>
      </c>
      <c r="C1492" s="5" t="s">
        <v>636</v>
      </c>
      <c r="D1492" s="15" t="s">
        <v>1288</v>
      </c>
      <c r="E1492" s="6">
        <v>133223</v>
      </c>
      <c r="F1492" s="5" t="s">
        <v>87</v>
      </c>
      <c r="G1492" s="5" t="s">
        <v>25</v>
      </c>
      <c r="H1492" s="5" t="s">
        <v>18</v>
      </c>
      <c r="I1492" s="5" t="s">
        <v>17</v>
      </c>
      <c r="J1492" s="7">
        <v>45687</v>
      </c>
      <c r="K1492" s="5" t="s">
        <v>17</v>
      </c>
      <c r="L1492" s="8">
        <v>44224</v>
      </c>
      <c r="M1492" s="19">
        <v>235</v>
      </c>
      <c r="N1492" s="19">
        <v>285</v>
      </c>
      <c r="O1492" s="24">
        <v>0</v>
      </c>
      <c r="P1492" s="24">
        <v>600</v>
      </c>
      <c r="Q1492" t="s">
        <v>1983</v>
      </c>
      <c r="R1492" s="19">
        <f>VLOOKUP(A1492,[1]Sheet1!$A$2:$Q$1536,15,FALSE)</f>
        <v>714.65997314453125</v>
      </c>
      <c r="S1492" s="27">
        <f t="shared" si="69"/>
        <v>0.16043989792799362</v>
      </c>
      <c r="T1492" s="19">
        <f>VLOOKUP(A1492,[1]Sheet1!$A$2:$Q$1536,16,FALSE)</f>
        <v>8795.8538695093648</v>
      </c>
      <c r="U1492" s="27">
        <f t="shared" si="70"/>
        <v>0.93178604273089538</v>
      </c>
      <c r="V1492" s="19">
        <f>VLOOKUP(A1492,[1]Sheet1!$A$2:$Q$1536,17,FALSE)</f>
        <v>932.59674072265625</v>
      </c>
      <c r="W1492" s="27">
        <f t="shared" si="71"/>
        <v>0.35663510947393151</v>
      </c>
    </row>
    <row r="1493" spans="1:23" x14ac:dyDescent="0.3">
      <c r="A1493" s="4" t="s">
        <v>332</v>
      </c>
      <c r="B1493" s="5">
        <v>2013</v>
      </c>
      <c r="C1493" s="5" t="s">
        <v>237</v>
      </c>
      <c r="D1493" s="15" t="s">
        <v>310</v>
      </c>
      <c r="E1493" s="6">
        <v>79925</v>
      </c>
      <c r="F1493" s="5" t="s">
        <v>87</v>
      </c>
      <c r="G1493" s="5" t="s">
        <v>25</v>
      </c>
      <c r="H1493" s="5" t="s">
        <v>18</v>
      </c>
      <c r="I1493" s="5" t="s">
        <v>17</v>
      </c>
      <c r="J1493" s="7">
        <v>45664</v>
      </c>
      <c r="K1493" s="5" t="s">
        <v>17</v>
      </c>
      <c r="L1493" s="8">
        <v>44067</v>
      </c>
      <c r="M1493" s="19">
        <v>235</v>
      </c>
      <c r="N1493" s="19">
        <v>285</v>
      </c>
      <c r="O1493" s="24">
        <v>1900</v>
      </c>
      <c r="P1493" s="24">
        <v>3700</v>
      </c>
      <c r="Q1493" t="s">
        <v>1983</v>
      </c>
      <c r="R1493" s="19">
        <f>VLOOKUP(A1493,[1]Sheet1!$A$2:$Q$1536,15,FALSE)</f>
        <v>2278.162109375</v>
      </c>
      <c r="S1493" s="27">
        <f t="shared" si="69"/>
        <v>-0.624116205240141</v>
      </c>
      <c r="T1493" s="19">
        <f>VLOOKUP(A1493,[1]Sheet1!$A$2:$Q$1536,16,FALSE)</f>
        <v>9362.6924071530102</v>
      </c>
      <c r="U1493" s="27">
        <f t="shared" si="70"/>
        <v>0.60481452993444129</v>
      </c>
      <c r="V1493" s="19">
        <f>VLOOKUP(A1493,[1]Sheet1!$A$2:$Q$1536,17,FALSE)</f>
        <v>2233.980712890625</v>
      </c>
      <c r="W1493" s="27">
        <f t="shared" si="71"/>
        <v>-0.65623632229682138</v>
      </c>
    </row>
    <row r="1494" spans="1:23" x14ac:dyDescent="0.3">
      <c r="A1494" s="4" t="s">
        <v>264</v>
      </c>
      <c r="B1494" s="5">
        <v>2014</v>
      </c>
      <c r="C1494" s="5" t="s">
        <v>237</v>
      </c>
      <c r="D1494" s="15" t="s">
        <v>263</v>
      </c>
      <c r="E1494" s="6">
        <v>81782</v>
      </c>
      <c r="F1494" s="5" t="s">
        <v>73</v>
      </c>
      <c r="G1494" s="5" t="s">
        <v>33</v>
      </c>
      <c r="H1494" s="5" t="s">
        <v>17</v>
      </c>
      <c r="I1494" s="5" t="s">
        <v>18</v>
      </c>
      <c r="J1494" s="7">
        <v>45440</v>
      </c>
      <c r="K1494" s="5" t="s">
        <v>17</v>
      </c>
      <c r="L1494" s="8">
        <v>44203</v>
      </c>
      <c r="M1494" s="19">
        <v>235</v>
      </c>
      <c r="N1494" s="19">
        <v>285</v>
      </c>
      <c r="O1494" s="24">
        <v>0</v>
      </c>
      <c r="P1494" s="24">
        <v>7500</v>
      </c>
      <c r="Q1494" t="s">
        <v>1983</v>
      </c>
      <c r="R1494" s="19">
        <f>VLOOKUP(A1494,[1]Sheet1!$A$2:$Q$1536,15,FALSE)</f>
        <v>4033.24072265625</v>
      </c>
      <c r="S1494" s="27">
        <f t="shared" si="69"/>
        <v>-0.85954682989032671</v>
      </c>
      <c r="T1494" s="19">
        <f>VLOOKUP(A1494,[1]Sheet1!$A$2:$Q$1536,16,FALSE)</f>
        <v>9426.500060885337</v>
      </c>
      <c r="U1494" s="27">
        <f t="shared" si="70"/>
        <v>0.20437066232877105</v>
      </c>
      <c r="V1494" s="19">
        <f>VLOOKUP(A1494,[1]Sheet1!$A$2:$Q$1536,17,FALSE)</f>
        <v>4045.76806640625</v>
      </c>
      <c r="W1494" s="27">
        <f t="shared" si="71"/>
        <v>-0.85378891644227495</v>
      </c>
    </row>
    <row r="1495" spans="1:23" x14ac:dyDescent="0.3">
      <c r="A1495" s="4" t="s">
        <v>1891</v>
      </c>
      <c r="B1495" s="5">
        <v>2018</v>
      </c>
      <c r="C1495" s="5" t="s">
        <v>1223</v>
      </c>
      <c r="D1495" s="15" t="s">
        <v>1892</v>
      </c>
      <c r="E1495" s="6">
        <v>55301</v>
      </c>
      <c r="F1495" s="5" t="s">
        <v>125</v>
      </c>
      <c r="G1495" s="5" t="s">
        <v>16</v>
      </c>
      <c r="H1495" s="5" t="s">
        <v>17</v>
      </c>
      <c r="I1495" s="5" t="s">
        <v>18</v>
      </c>
      <c r="J1495" s="7">
        <v>45482</v>
      </c>
      <c r="K1495" s="5" t="s">
        <v>17</v>
      </c>
      <c r="L1495" s="8">
        <v>43608</v>
      </c>
      <c r="M1495" s="19">
        <v>264</v>
      </c>
      <c r="N1495" s="19">
        <v>314</v>
      </c>
      <c r="O1495" s="24"/>
      <c r="P1495" s="24">
        <v>21400</v>
      </c>
      <c r="R1495" s="19">
        <f>VLOOKUP(A1495,[1]Sheet1!$A$2:$Q$1536,15,FALSE)</f>
        <v>15798.1865234375</v>
      </c>
      <c r="S1495" s="27">
        <f t="shared" si="69"/>
        <v>-0.35458585504430484</v>
      </c>
      <c r="T1495" s="19">
        <f>VLOOKUP(A1495,[1]Sheet1!$A$2:$Q$1536,16,FALSE)</f>
        <v>12833.488087471769</v>
      </c>
      <c r="U1495" s="27">
        <f t="shared" si="70"/>
        <v>-0.6675123593944019</v>
      </c>
      <c r="V1495" s="19">
        <f>VLOOKUP(A1495,[1]Sheet1!$A$2:$Q$1536,17,FALSE)</f>
        <v>15984.8173828125</v>
      </c>
      <c r="W1495" s="27">
        <f t="shared" si="71"/>
        <v>-0.33877037738386151</v>
      </c>
    </row>
    <row r="1496" spans="1:23" x14ac:dyDescent="0.3">
      <c r="A1496" s="4" t="s">
        <v>1035</v>
      </c>
      <c r="B1496" s="5">
        <v>2021</v>
      </c>
      <c r="C1496" s="5" t="s">
        <v>559</v>
      </c>
      <c r="D1496" s="15" t="s">
        <v>760</v>
      </c>
      <c r="E1496" s="6">
        <v>89762</v>
      </c>
      <c r="F1496" s="5" t="s">
        <v>170</v>
      </c>
      <c r="G1496" s="5" t="s">
        <v>28</v>
      </c>
      <c r="H1496" s="5" t="s">
        <v>17</v>
      </c>
      <c r="I1496" s="5" t="s">
        <v>18</v>
      </c>
      <c r="J1496" s="7">
        <v>45398</v>
      </c>
      <c r="K1496" s="5" t="s">
        <v>17</v>
      </c>
      <c r="L1496" s="8">
        <v>43608</v>
      </c>
      <c r="M1496" s="19">
        <v>264</v>
      </c>
      <c r="N1496" s="19">
        <v>314</v>
      </c>
      <c r="O1496" s="24">
        <v>14900</v>
      </c>
      <c r="P1496" s="24">
        <v>21900</v>
      </c>
      <c r="Q1496" t="s">
        <v>1983</v>
      </c>
      <c r="R1496" s="19">
        <f>VLOOKUP(A1496,[1]Sheet1!$A$2:$Q$1536,15,FALSE)</f>
        <v>24402.33984375</v>
      </c>
      <c r="S1496" s="27">
        <f t="shared" si="69"/>
        <v>0.10254507804467393</v>
      </c>
      <c r="T1496" s="19">
        <f>VLOOKUP(A1496,[1]Sheet1!$A$2:$Q$1536,16,FALSE)</f>
        <v>12432.32117619834</v>
      </c>
      <c r="U1496" s="27">
        <f t="shared" si="70"/>
        <v>-0.76153750290231537</v>
      </c>
      <c r="V1496" s="19">
        <f>VLOOKUP(A1496,[1]Sheet1!$A$2:$Q$1536,17,FALSE)</f>
        <v>24733.83203125</v>
      </c>
      <c r="W1496" s="27">
        <f t="shared" si="71"/>
        <v>0.11457310891695191</v>
      </c>
    </row>
    <row r="1497" spans="1:23" x14ac:dyDescent="0.3">
      <c r="A1497" s="4" t="s">
        <v>1146</v>
      </c>
      <c r="B1497" s="5">
        <v>2019</v>
      </c>
      <c r="C1497" s="5" t="s">
        <v>636</v>
      </c>
      <c r="D1497" s="15" t="s">
        <v>1142</v>
      </c>
      <c r="E1497" s="6">
        <v>123863</v>
      </c>
      <c r="F1497" s="5" t="s">
        <v>27</v>
      </c>
      <c r="G1497" s="5" t="s">
        <v>25</v>
      </c>
      <c r="H1497" s="5" t="s">
        <v>18</v>
      </c>
      <c r="I1497" s="5" t="s">
        <v>17</v>
      </c>
      <c r="J1497" s="7">
        <v>45365</v>
      </c>
      <c r="K1497" s="5" t="s">
        <v>17</v>
      </c>
      <c r="L1497" s="8">
        <v>43612</v>
      </c>
      <c r="M1497" s="19">
        <v>264</v>
      </c>
      <c r="N1497" s="19">
        <v>314</v>
      </c>
      <c r="O1497" s="24">
        <v>4000</v>
      </c>
      <c r="P1497" s="24">
        <v>14000</v>
      </c>
      <c r="Q1497" t="s">
        <v>1983</v>
      </c>
      <c r="R1497" s="19">
        <f>VLOOKUP(A1497,[1]Sheet1!$A$2:$Q$1536,15,FALSE)</f>
        <v>4396.8759765625</v>
      </c>
      <c r="S1497" s="27">
        <f t="shared" si="69"/>
        <v>-2.184078894794133</v>
      </c>
      <c r="T1497" s="19">
        <f>VLOOKUP(A1497,[1]Sheet1!$A$2:$Q$1536,16,FALSE)</f>
        <v>8739.0101084013677</v>
      </c>
      <c r="U1497" s="27">
        <f t="shared" si="70"/>
        <v>-0.60201210735995225</v>
      </c>
      <c r="V1497" s="19">
        <f>VLOOKUP(A1497,[1]Sheet1!$A$2:$Q$1536,17,FALSE)</f>
        <v>4377.65087890625</v>
      </c>
      <c r="W1497" s="27">
        <f t="shared" si="71"/>
        <v>-2.1980622455434089</v>
      </c>
    </row>
    <row r="1498" spans="1:23" x14ac:dyDescent="0.3">
      <c r="A1498" s="4" t="s">
        <v>1694</v>
      </c>
      <c r="B1498" s="5">
        <v>2013</v>
      </c>
      <c r="C1498" s="5" t="s">
        <v>1089</v>
      </c>
      <c r="D1498" s="15" t="s">
        <v>1090</v>
      </c>
      <c r="E1498" s="6">
        <v>138817</v>
      </c>
      <c r="F1498" s="5" t="s">
        <v>79</v>
      </c>
      <c r="G1498" s="5" t="s">
        <v>22</v>
      </c>
      <c r="H1498" s="5" t="s">
        <v>18</v>
      </c>
      <c r="I1498" s="5" t="s">
        <v>17</v>
      </c>
      <c r="J1498" s="7">
        <v>45547</v>
      </c>
      <c r="K1498" s="5" t="s">
        <v>17</v>
      </c>
      <c r="L1498" s="8">
        <v>44081</v>
      </c>
      <c r="M1498" s="19">
        <v>325</v>
      </c>
      <c r="N1498" s="19">
        <v>375</v>
      </c>
      <c r="O1498" s="24">
        <v>400</v>
      </c>
      <c r="P1498" s="24">
        <v>2800</v>
      </c>
      <c r="Q1498" t="s">
        <v>1983</v>
      </c>
      <c r="R1498" s="19">
        <f>VLOOKUP(A1498,[1]Sheet1!$A$2:$Q$1536,15,FALSE)</f>
        <v>786.17547607421875</v>
      </c>
      <c r="S1498" s="27">
        <f t="shared" si="69"/>
        <v>-2.5615458446781498</v>
      </c>
      <c r="T1498" s="19">
        <f>VLOOKUP(A1498,[1]Sheet1!$A$2:$Q$1536,16,FALSE)</f>
        <v>8623.6643072839779</v>
      </c>
      <c r="U1498" s="27">
        <f t="shared" si="70"/>
        <v>0.67531203671332851</v>
      </c>
      <c r="V1498" s="19">
        <f>VLOOKUP(A1498,[1]Sheet1!$A$2:$Q$1536,17,FALSE)</f>
        <v>938.1177978515625</v>
      </c>
      <c r="W1498" s="27">
        <f t="shared" si="71"/>
        <v>-1.9846997961369468</v>
      </c>
    </row>
    <row r="1499" spans="1:23" x14ac:dyDescent="0.3">
      <c r="A1499" s="4" t="s">
        <v>345</v>
      </c>
      <c r="B1499" s="5">
        <v>2017</v>
      </c>
      <c r="C1499" s="5" t="s">
        <v>237</v>
      </c>
      <c r="D1499" s="15" t="s">
        <v>339</v>
      </c>
      <c r="E1499" s="6">
        <v>184388</v>
      </c>
      <c r="F1499" s="5" t="s">
        <v>79</v>
      </c>
      <c r="G1499" s="5" t="s">
        <v>22</v>
      </c>
      <c r="H1499" s="5" t="s">
        <v>18</v>
      </c>
      <c r="I1499" s="5" t="s">
        <v>17</v>
      </c>
      <c r="J1499" s="7">
        <v>45330</v>
      </c>
      <c r="K1499" s="5" t="s">
        <v>17</v>
      </c>
      <c r="L1499" s="8">
        <v>44905</v>
      </c>
      <c r="M1499" s="19">
        <v>128</v>
      </c>
      <c r="N1499" s="19">
        <v>158</v>
      </c>
      <c r="O1499" s="24">
        <v>0</v>
      </c>
      <c r="P1499" s="24">
        <v>14700</v>
      </c>
      <c r="Q1499" t="s">
        <v>1983</v>
      </c>
      <c r="R1499" s="19">
        <f>VLOOKUP(A1499,[1]Sheet1!$A$2:$Q$1536,15,FALSE)</f>
        <v>3478.4560546875</v>
      </c>
      <c r="S1499" s="27">
        <f t="shared" si="69"/>
        <v>-3.2260128542347299</v>
      </c>
      <c r="T1499" s="19">
        <f>VLOOKUP(A1499,[1]Sheet1!$A$2:$Q$1536,16,FALSE)</f>
        <v>9188.1392071758946</v>
      </c>
      <c r="U1499" s="27">
        <f t="shared" si="70"/>
        <v>-0.59988869003196721</v>
      </c>
      <c r="V1499" s="19">
        <f>VLOOKUP(A1499,[1]Sheet1!$A$2:$Q$1536,17,FALSE)</f>
        <v>3388.529296875</v>
      </c>
      <c r="W1499" s="27">
        <f t="shared" si="71"/>
        <v>-3.3381652369235133</v>
      </c>
    </row>
    <row r="1500" spans="1:23" x14ac:dyDescent="0.3">
      <c r="A1500" s="4" t="s">
        <v>1098</v>
      </c>
      <c r="B1500" s="5">
        <v>2019</v>
      </c>
      <c r="C1500" s="5" t="s">
        <v>1086</v>
      </c>
      <c r="D1500" s="15" t="s">
        <v>1093</v>
      </c>
      <c r="E1500" s="6">
        <v>77315</v>
      </c>
      <c r="F1500" s="5" t="s">
        <v>21</v>
      </c>
      <c r="G1500" s="5" t="s">
        <v>33</v>
      </c>
      <c r="H1500" s="5" t="s">
        <v>17</v>
      </c>
      <c r="I1500" s="5" t="s">
        <v>18</v>
      </c>
      <c r="J1500" s="7">
        <v>45715</v>
      </c>
      <c r="K1500" s="5" t="s">
        <v>17</v>
      </c>
      <c r="L1500" s="8">
        <v>43612</v>
      </c>
      <c r="M1500" s="19">
        <v>264</v>
      </c>
      <c r="N1500" s="19">
        <v>314</v>
      </c>
      <c r="O1500" s="24">
        <v>5300</v>
      </c>
      <c r="P1500" s="24">
        <v>10700</v>
      </c>
      <c r="Q1500" t="s">
        <v>1983</v>
      </c>
      <c r="R1500" s="19">
        <f>VLOOKUP(A1500,[1]Sheet1!$A$2:$Q$1536,15,FALSE)</f>
        <v>3835.068115234375</v>
      </c>
      <c r="S1500" s="27">
        <f t="shared" si="69"/>
        <v>-1.7900417094276522</v>
      </c>
      <c r="T1500" s="19">
        <f>VLOOKUP(A1500,[1]Sheet1!$A$2:$Q$1536,16,FALSE)</f>
        <v>8913.7840665857202</v>
      </c>
      <c r="U1500" s="27">
        <f t="shared" si="70"/>
        <v>-0.20038806415673704</v>
      </c>
      <c r="V1500" s="19">
        <f>VLOOKUP(A1500,[1]Sheet1!$A$2:$Q$1536,17,FALSE)</f>
        <v>3739.08154296875</v>
      </c>
      <c r="W1500" s="27">
        <f t="shared" si="71"/>
        <v>-1.861665325304575</v>
      </c>
    </row>
    <row r="1501" spans="1:23" x14ac:dyDescent="0.3">
      <c r="A1501" s="4" t="s">
        <v>1063</v>
      </c>
      <c r="B1501" s="5">
        <v>2019</v>
      </c>
      <c r="C1501" s="5" t="s">
        <v>391</v>
      </c>
      <c r="D1501" s="15" t="s">
        <v>1056</v>
      </c>
      <c r="E1501" s="6">
        <v>61596</v>
      </c>
      <c r="F1501" s="5" t="s">
        <v>92</v>
      </c>
      <c r="G1501" s="5" t="s">
        <v>28</v>
      </c>
      <c r="H1501" s="5" t="s">
        <v>17</v>
      </c>
      <c r="I1501" s="5" t="s">
        <v>18</v>
      </c>
      <c r="J1501" s="7">
        <v>45608</v>
      </c>
      <c r="K1501" s="5" t="s">
        <v>17</v>
      </c>
      <c r="L1501" s="8">
        <v>44451</v>
      </c>
      <c r="M1501" s="19">
        <v>264</v>
      </c>
      <c r="N1501" s="19">
        <v>314</v>
      </c>
      <c r="O1501" s="24">
        <v>10250</v>
      </c>
      <c r="P1501" s="24">
        <v>13100</v>
      </c>
      <c r="Q1501" t="s">
        <v>1983</v>
      </c>
      <c r="R1501" s="19">
        <f>VLOOKUP(A1501,[1]Sheet1!$A$2:$Q$1536,15,FALSE)</f>
        <v>11064.1142578125</v>
      </c>
      <c r="S1501" s="27">
        <f t="shared" si="69"/>
        <v>-0.18400801860392371</v>
      </c>
      <c r="T1501" s="19">
        <f>VLOOKUP(A1501,[1]Sheet1!$A$2:$Q$1536,16,FALSE)</f>
        <v>12252.12939314315</v>
      </c>
      <c r="U1501" s="27">
        <f t="shared" si="70"/>
        <v>-6.9201897862044864E-2</v>
      </c>
      <c r="V1501" s="19">
        <f>VLOOKUP(A1501,[1]Sheet1!$A$2:$Q$1536,17,FALSE)</f>
        <v>10897.6533203125</v>
      </c>
      <c r="W1501" s="27">
        <f t="shared" si="71"/>
        <v>-0.20209366319099842</v>
      </c>
    </row>
    <row r="1502" spans="1:23" x14ac:dyDescent="0.3">
      <c r="A1502" s="4" t="s">
        <v>1148</v>
      </c>
      <c r="B1502" s="5">
        <v>2014</v>
      </c>
      <c r="C1502" s="5" t="s">
        <v>636</v>
      </c>
      <c r="D1502" s="15" t="s">
        <v>1142</v>
      </c>
      <c r="E1502" s="6">
        <v>133971</v>
      </c>
      <c r="F1502" s="5" t="s">
        <v>79</v>
      </c>
      <c r="G1502" s="5" t="s">
        <v>25</v>
      </c>
      <c r="H1502" s="5" t="s">
        <v>18</v>
      </c>
      <c r="I1502" s="5" t="s">
        <v>17</v>
      </c>
      <c r="J1502" s="7">
        <v>45540</v>
      </c>
      <c r="K1502" s="5" t="s">
        <v>17</v>
      </c>
      <c r="L1502" s="8">
        <v>44067</v>
      </c>
      <c r="M1502" s="19">
        <v>235</v>
      </c>
      <c r="N1502" s="19">
        <v>285</v>
      </c>
      <c r="O1502" s="24">
        <v>2100</v>
      </c>
      <c r="P1502" s="24">
        <v>3700</v>
      </c>
      <c r="Q1502" t="s">
        <v>1983</v>
      </c>
      <c r="R1502" s="19">
        <f>VLOOKUP(A1502,[1]Sheet1!$A$2:$Q$1536,15,FALSE)</f>
        <v>1383.715209960938</v>
      </c>
      <c r="S1502" s="27">
        <f t="shared" si="69"/>
        <v>-1.673960633925857</v>
      </c>
      <c r="T1502" s="19">
        <f>VLOOKUP(A1502,[1]Sheet1!$A$2:$Q$1536,16,FALSE)</f>
        <v>8644.440854426126</v>
      </c>
      <c r="U1502" s="27">
        <f t="shared" si="70"/>
        <v>0.5719792566912496</v>
      </c>
      <c r="V1502" s="19">
        <f>VLOOKUP(A1502,[1]Sheet1!$A$2:$Q$1536,17,FALSE)</f>
        <v>1388.217651367188</v>
      </c>
      <c r="W1502" s="27">
        <f t="shared" si="71"/>
        <v>-1.6652881097975165</v>
      </c>
    </row>
    <row r="1503" spans="1:23" x14ac:dyDescent="0.3">
      <c r="A1503" s="4" t="s">
        <v>1245</v>
      </c>
      <c r="B1503" s="5">
        <v>2014</v>
      </c>
      <c r="C1503" s="5" t="s">
        <v>920</v>
      </c>
      <c r="D1503" s="15" t="s">
        <v>1241</v>
      </c>
      <c r="E1503" s="6">
        <v>96959</v>
      </c>
      <c r="F1503" s="5" t="s">
        <v>42</v>
      </c>
      <c r="G1503" s="5" t="s">
        <v>33</v>
      </c>
      <c r="H1503" s="5" t="s">
        <v>17</v>
      </c>
      <c r="I1503" s="5" t="s">
        <v>18</v>
      </c>
      <c r="J1503" s="7">
        <v>45720</v>
      </c>
      <c r="K1503" s="5" t="s">
        <v>17</v>
      </c>
      <c r="L1503" s="8">
        <v>44662</v>
      </c>
      <c r="M1503" s="19">
        <v>235</v>
      </c>
      <c r="N1503" s="19">
        <v>285</v>
      </c>
      <c r="O1503" s="24">
        <v>9000</v>
      </c>
      <c r="P1503" s="24">
        <v>13300</v>
      </c>
      <c r="Q1503" t="s">
        <v>1983</v>
      </c>
      <c r="R1503" s="19">
        <f>VLOOKUP(A1503,[1]Sheet1!$A$2:$Q$1536,15,FALSE)</f>
        <v>4789.22607421875</v>
      </c>
      <c r="S1503" s="27">
        <f t="shared" si="69"/>
        <v>-1.7770666479071116</v>
      </c>
      <c r="T1503" s="19">
        <f>VLOOKUP(A1503,[1]Sheet1!$A$2:$Q$1536,16,FALSE)</f>
        <v>9627.8001176012567</v>
      </c>
      <c r="U1503" s="27">
        <f t="shared" si="70"/>
        <v>-0.38141629838007718</v>
      </c>
      <c r="V1503" s="19">
        <f>VLOOKUP(A1503,[1]Sheet1!$A$2:$Q$1536,17,FALSE)</f>
        <v>4828.96533203125</v>
      </c>
      <c r="W1503" s="27">
        <f t="shared" si="71"/>
        <v>-1.7542131876116627</v>
      </c>
    </row>
    <row r="1504" spans="1:23" x14ac:dyDescent="0.3">
      <c r="A1504" s="4" t="s">
        <v>1545</v>
      </c>
      <c r="B1504" s="5">
        <v>2012</v>
      </c>
      <c r="C1504" s="5" t="s">
        <v>636</v>
      </c>
      <c r="D1504" s="15" t="s">
        <v>1544</v>
      </c>
      <c r="E1504" s="6">
        <v>107908</v>
      </c>
      <c r="F1504" s="5" t="s">
        <v>144</v>
      </c>
      <c r="G1504" s="5" t="s">
        <v>25</v>
      </c>
      <c r="H1504" s="5" t="s">
        <v>18</v>
      </c>
      <c r="I1504" s="5" t="s">
        <v>17</v>
      </c>
      <c r="J1504" s="7">
        <v>45440</v>
      </c>
      <c r="K1504" s="5" t="s">
        <v>17</v>
      </c>
      <c r="L1504" s="8">
        <v>44128</v>
      </c>
      <c r="M1504" s="19">
        <v>264</v>
      </c>
      <c r="N1504" s="19">
        <v>314</v>
      </c>
      <c r="O1504" s="24">
        <v>8000</v>
      </c>
      <c r="P1504" s="24">
        <v>13078.5714285714</v>
      </c>
      <c r="Q1504" t="s">
        <v>1983</v>
      </c>
      <c r="R1504" s="19">
        <f>VLOOKUP(A1504,[1]Sheet1!$A$2:$Q$1536,15,FALSE)</f>
        <v>1609.534301757812</v>
      </c>
      <c r="S1504" s="27">
        <f t="shared" si="69"/>
        <v>-7.1256866748897307</v>
      </c>
      <c r="T1504" s="19">
        <f>VLOOKUP(A1504,[1]Sheet1!$A$2:$Q$1536,16,FALSE)</f>
        <v>8815.153943060146</v>
      </c>
      <c r="U1504" s="27">
        <f t="shared" si="70"/>
        <v>-0.48364640175883594</v>
      </c>
      <c r="V1504" s="19">
        <f>VLOOKUP(A1504,[1]Sheet1!$A$2:$Q$1536,17,FALSE)</f>
        <v>1545.571166992188</v>
      </c>
      <c r="W1504" s="27">
        <f t="shared" si="71"/>
        <v>-7.4619664936059884</v>
      </c>
    </row>
    <row r="1505" spans="1:23" x14ac:dyDescent="0.3">
      <c r="A1505" s="4" t="s">
        <v>931</v>
      </c>
      <c r="B1505" s="5">
        <v>2012</v>
      </c>
      <c r="C1505" s="5" t="s">
        <v>932</v>
      </c>
      <c r="D1505" s="15">
        <v>500</v>
      </c>
      <c r="E1505" s="6">
        <v>97613</v>
      </c>
      <c r="F1505" s="5" t="s">
        <v>73</v>
      </c>
      <c r="G1505" s="5" t="s">
        <v>25</v>
      </c>
      <c r="H1505" s="5" t="s">
        <v>18</v>
      </c>
      <c r="I1505" s="5" t="s">
        <v>17</v>
      </c>
      <c r="J1505" s="7">
        <v>45692</v>
      </c>
      <c r="K1505" s="5" t="s">
        <v>17</v>
      </c>
      <c r="L1505" s="8">
        <v>44451</v>
      </c>
      <c r="M1505" s="19">
        <v>264</v>
      </c>
      <c r="N1505" s="19">
        <v>314</v>
      </c>
      <c r="O1505" s="24">
        <v>1500</v>
      </c>
      <c r="P1505" s="24">
        <v>2975</v>
      </c>
      <c r="Q1505" t="s">
        <v>1983</v>
      </c>
      <c r="R1505" s="19">
        <f>VLOOKUP(A1505,[1]Sheet1!$A$2:$Q$1536,15,FALSE)</f>
        <v>1456.373291015625</v>
      </c>
      <c r="S1505" s="27">
        <f t="shared" si="69"/>
        <v>-1.0427455092405167</v>
      </c>
      <c r="T1505" s="19">
        <f>VLOOKUP(A1505,[1]Sheet1!$A$2:$Q$1536,16,FALSE)</f>
        <v>9139.5977342489168</v>
      </c>
      <c r="U1505" s="27">
        <f t="shared" si="70"/>
        <v>0.67449333258380184</v>
      </c>
      <c r="V1505" s="19">
        <f>VLOOKUP(A1505,[1]Sheet1!$A$2:$Q$1536,17,FALSE)</f>
        <v>1395.367431640625</v>
      </c>
      <c r="W1505" s="27">
        <f t="shared" si="71"/>
        <v>-1.132054921550016</v>
      </c>
    </row>
    <row r="1506" spans="1:23" x14ac:dyDescent="0.3">
      <c r="A1506" s="4" t="s">
        <v>123</v>
      </c>
      <c r="B1506" s="5">
        <v>2015</v>
      </c>
      <c r="C1506" s="5" t="s">
        <v>96</v>
      </c>
      <c r="D1506" s="15" t="s">
        <v>117</v>
      </c>
      <c r="E1506" s="6">
        <v>105313</v>
      </c>
      <c r="F1506" s="5" t="s">
        <v>36</v>
      </c>
      <c r="G1506" s="5" t="s">
        <v>28</v>
      </c>
      <c r="H1506" s="5" t="s">
        <v>17</v>
      </c>
      <c r="I1506" s="5" t="s">
        <v>18</v>
      </c>
      <c r="J1506" s="7">
        <v>45435</v>
      </c>
      <c r="K1506" s="5" t="s">
        <v>17</v>
      </c>
      <c r="L1506" s="8">
        <v>43605</v>
      </c>
      <c r="M1506" s="19">
        <v>264</v>
      </c>
      <c r="N1506" s="19">
        <v>314</v>
      </c>
      <c r="O1506" s="24">
        <v>0</v>
      </c>
      <c r="P1506" s="24">
        <v>9800</v>
      </c>
      <c r="Q1506" t="s">
        <v>1983</v>
      </c>
      <c r="R1506" s="19">
        <f>VLOOKUP(A1506,[1]Sheet1!$A$2:$Q$1536,15,FALSE)</f>
        <v>3393.705322265625</v>
      </c>
      <c r="S1506" s="27">
        <f t="shared" si="69"/>
        <v>-1.8876991575266047</v>
      </c>
      <c r="T1506" s="19">
        <f>VLOOKUP(A1506,[1]Sheet1!$A$2:$Q$1536,16,FALSE)</f>
        <v>9314.4477946533807</v>
      </c>
      <c r="U1506" s="27">
        <f t="shared" si="70"/>
        <v>-5.2128930887919395E-2</v>
      </c>
      <c r="V1506" s="19">
        <f>VLOOKUP(A1506,[1]Sheet1!$A$2:$Q$1536,17,FALSE)</f>
        <v>3336.35888671875</v>
      </c>
      <c r="W1506" s="27">
        <f t="shared" si="71"/>
        <v>-1.9373338818588928</v>
      </c>
    </row>
    <row r="1507" spans="1:23" x14ac:dyDescent="0.3">
      <c r="A1507" s="4" t="s">
        <v>511</v>
      </c>
      <c r="B1507" s="5">
        <v>2017</v>
      </c>
      <c r="C1507" s="5" t="s">
        <v>391</v>
      </c>
      <c r="D1507" s="15" t="s">
        <v>394</v>
      </c>
      <c r="E1507" s="6">
        <v>77863</v>
      </c>
      <c r="F1507" s="5" t="s">
        <v>32</v>
      </c>
      <c r="G1507" s="5" t="s">
        <v>25</v>
      </c>
      <c r="H1507" s="5" t="s">
        <v>18</v>
      </c>
      <c r="I1507" s="5" t="s">
        <v>17</v>
      </c>
      <c r="J1507" s="7">
        <v>45566</v>
      </c>
      <c r="K1507" s="5" t="s">
        <v>17</v>
      </c>
      <c r="L1507" s="8">
        <v>44067</v>
      </c>
      <c r="M1507" s="19">
        <v>235</v>
      </c>
      <c r="N1507" s="19">
        <v>285</v>
      </c>
      <c r="O1507" s="24">
        <v>4700</v>
      </c>
      <c r="P1507" s="24">
        <v>14800</v>
      </c>
      <c r="Q1507" t="s">
        <v>1983</v>
      </c>
      <c r="R1507" s="19">
        <f>VLOOKUP(A1507,[1]Sheet1!$A$2:$Q$1536,15,FALSE)</f>
        <v>3532.621337890625</v>
      </c>
      <c r="S1507" s="27">
        <f t="shared" si="69"/>
        <v>-3.1895234683820588</v>
      </c>
      <c r="T1507" s="19">
        <f>VLOOKUP(A1507,[1]Sheet1!$A$2:$Q$1536,16,FALSE)</f>
        <v>9476.5367337091084</v>
      </c>
      <c r="U1507" s="27">
        <f t="shared" si="70"/>
        <v>-0.56175197921775932</v>
      </c>
      <c r="V1507" s="19">
        <f>VLOOKUP(A1507,[1]Sheet1!$A$2:$Q$1536,17,FALSE)</f>
        <v>3595.61181640625</v>
      </c>
      <c r="W1507" s="27">
        <f t="shared" si="71"/>
        <v>-3.1161284242280458</v>
      </c>
    </row>
    <row r="1508" spans="1:23" x14ac:dyDescent="0.3">
      <c r="A1508" s="4" t="s">
        <v>1330</v>
      </c>
      <c r="B1508" s="5">
        <v>2019</v>
      </c>
      <c r="C1508" s="5" t="s">
        <v>1089</v>
      </c>
      <c r="D1508" s="15" t="s">
        <v>1328</v>
      </c>
      <c r="E1508" s="6">
        <v>107913</v>
      </c>
      <c r="F1508" s="5" t="s">
        <v>61</v>
      </c>
      <c r="G1508" s="5" t="s">
        <v>25</v>
      </c>
      <c r="H1508" s="5" t="s">
        <v>18</v>
      </c>
      <c r="I1508" s="5" t="s">
        <v>17</v>
      </c>
      <c r="J1508" s="7">
        <v>45344</v>
      </c>
      <c r="K1508" s="5" t="s">
        <v>17</v>
      </c>
      <c r="L1508" s="8">
        <v>43612</v>
      </c>
      <c r="M1508" s="19">
        <v>264</v>
      </c>
      <c r="N1508" s="19">
        <v>314</v>
      </c>
      <c r="O1508" s="24">
        <v>5000</v>
      </c>
      <c r="P1508" s="24">
        <v>13600</v>
      </c>
      <c r="Q1508" t="s">
        <v>1983</v>
      </c>
      <c r="R1508" s="19">
        <f>VLOOKUP(A1508,[1]Sheet1!$A$2:$Q$1536,15,FALSE)</f>
        <v>4020.2216796875</v>
      </c>
      <c r="S1508" s="27">
        <f t="shared" si="69"/>
        <v>-2.3828980299059417</v>
      </c>
      <c r="T1508" s="19">
        <f>VLOOKUP(A1508,[1]Sheet1!$A$2:$Q$1536,16,FALSE)</f>
        <v>8667.9501258325763</v>
      </c>
      <c r="U1508" s="27">
        <f t="shared" si="70"/>
        <v>-0.5689984139927996</v>
      </c>
      <c r="V1508" s="19">
        <f>VLOOKUP(A1508,[1]Sheet1!$A$2:$Q$1536,17,FALSE)</f>
        <v>3905.99609375</v>
      </c>
      <c r="W1508" s="27">
        <f t="shared" si="71"/>
        <v>-2.4818263187107164</v>
      </c>
    </row>
    <row r="1509" spans="1:23" x14ac:dyDescent="0.3">
      <c r="A1509" s="4" t="s">
        <v>463</v>
      </c>
      <c r="B1509" s="5">
        <v>2016</v>
      </c>
      <c r="C1509" s="5" t="s">
        <v>391</v>
      </c>
      <c r="D1509" s="15" t="s">
        <v>464</v>
      </c>
      <c r="E1509" s="6">
        <v>116066</v>
      </c>
      <c r="F1509" s="5" t="s">
        <v>24</v>
      </c>
      <c r="G1509" s="5" t="s">
        <v>22</v>
      </c>
      <c r="H1509" s="5" t="s">
        <v>18</v>
      </c>
      <c r="I1509" s="5" t="s">
        <v>17</v>
      </c>
      <c r="J1509" s="7">
        <v>45300</v>
      </c>
      <c r="K1509" s="5" t="s">
        <v>17</v>
      </c>
      <c r="L1509" s="8">
        <v>44113</v>
      </c>
      <c r="M1509" s="19">
        <v>264</v>
      </c>
      <c r="N1509" s="19">
        <v>314</v>
      </c>
      <c r="O1509" s="24">
        <v>1700</v>
      </c>
      <c r="P1509" s="24">
        <v>5000</v>
      </c>
      <c r="Q1509" t="s">
        <v>1983</v>
      </c>
      <c r="R1509" s="19">
        <f>VLOOKUP(A1509,[1]Sheet1!$A$2:$Q$1536,15,FALSE)</f>
        <v>3609.983642578125</v>
      </c>
      <c r="S1509" s="27">
        <f t="shared" si="69"/>
        <v>-0.38504782709463292</v>
      </c>
      <c r="T1509" s="19">
        <f>VLOOKUP(A1509,[1]Sheet1!$A$2:$Q$1536,16,FALSE)</f>
        <v>9373.1938530902935</v>
      </c>
      <c r="U1509" s="27">
        <f t="shared" si="70"/>
        <v>0.4665638971766784</v>
      </c>
      <c r="V1509" s="19">
        <f>VLOOKUP(A1509,[1]Sheet1!$A$2:$Q$1536,17,FALSE)</f>
        <v>3532.02197265625</v>
      </c>
      <c r="W1509" s="27">
        <f t="shared" si="71"/>
        <v>-0.41561973246722472</v>
      </c>
    </row>
    <row r="1510" spans="1:23" x14ac:dyDescent="0.3">
      <c r="A1510" s="4" t="s">
        <v>462</v>
      </c>
      <c r="B1510" s="5">
        <v>2014</v>
      </c>
      <c r="C1510" s="5" t="s">
        <v>391</v>
      </c>
      <c r="D1510" s="15" t="s">
        <v>413</v>
      </c>
      <c r="E1510" s="6">
        <v>99033</v>
      </c>
      <c r="F1510" s="5" t="s">
        <v>246</v>
      </c>
      <c r="G1510" s="5" t="s">
        <v>33</v>
      </c>
      <c r="H1510" s="5" t="s">
        <v>17</v>
      </c>
      <c r="I1510" s="5" t="s">
        <v>18</v>
      </c>
      <c r="J1510" s="7">
        <v>45300</v>
      </c>
      <c r="K1510" s="5" t="s">
        <v>17</v>
      </c>
      <c r="L1510" s="8">
        <v>43612</v>
      </c>
      <c r="M1510" s="19">
        <v>264</v>
      </c>
      <c r="N1510" s="19">
        <v>314</v>
      </c>
      <c r="O1510" s="24">
        <v>7000</v>
      </c>
      <c r="P1510" s="24">
        <v>7800</v>
      </c>
      <c r="Q1510" t="s">
        <v>1983</v>
      </c>
      <c r="R1510" s="19">
        <f>VLOOKUP(A1510,[1]Sheet1!$A$2:$Q$1536,15,FALSE)</f>
        <v>8200.255859375</v>
      </c>
      <c r="S1510" s="27">
        <f t="shared" si="69"/>
        <v>4.8810167175138162E-2</v>
      </c>
      <c r="T1510" s="19">
        <f>VLOOKUP(A1510,[1]Sheet1!$A$2:$Q$1536,16,FALSE)</f>
        <v>10237.15498416027</v>
      </c>
      <c r="U1510" s="27">
        <f t="shared" si="70"/>
        <v>0.23806956013963132</v>
      </c>
      <c r="V1510" s="19">
        <f>VLOOKUP(A1510,[1]Sheet1!$A$2:$Q$1536,17,FALSE)</f>
        <v>8093.9970703125</v>
      </c>
      <c r="W1510" s="27">
        <f t="shared" si="71"/>
        <v>3.6322853561540649E-2</v>
      </c>
    </row>
    <row r="1511" spans="1:23" x14ac:dyDescent="0.3">
      <c r="A1511" s="4" t="s">
        <v>1757</v>
      </c>
      <c r="B1511" s="5">
        <v>2020</v>
      </c>
      <c r="C1511" s="5" t="s">
        <v>1086</v>
      </c>
      <c r="D1511" s="15" t="s">
        <v>1758</v>
      </c>
      <c r="E1511" s="6">
        <v>105978</v>
      </c>
      <c r="F1511" s="5" t="s">
        <v>73</v>
      </c>
      <c r="G1511" s="5" t="s">
        <v>28</v>
      </c>
      <c r="H1511" s="5" t="s">
        <v>17</v>
      </c>
      <c r="I1511" s="5" t="s">
        <v>18</v>
      </c>
      <c r="J1511" s="7">
        <v>45442</v>
      </c>
      <c r="K1511" s="5" t="s">
        <v>17</v>
      </c>
      <c r="L1511" s="8">
        <v>44113</v>
      </c>
      <c r="M1511" s="19">
        <v>264</v>
      </c>
      <c r="N1511" s="19">
        <v>314</v>
      </c>
      <c r="O1511" s="24">
        <v>6000</v>
      </c>
      <c r="P1511" s="24">
        <v>13800</v>
      </c>
      <c r="Q1511" t="s">
        <v>1983</v>
      </c>
      <c r="R1511" s="19">
        <f>VLOOKUP(A1511,[1]Sheet1!$A$2:$Q$1536,15,FALSE)</f>
        <v>5085.68896484375</v>
      </c>
      <c r="S1511" s="27">
        <f t="shared" si="69"/>
        <v>-1.7134966560865925</v>
      </c>
      <c r="T1511" s="19">
        <f>VLOOKUP(A1511,[1]Sheet1!$A$2:$Q$1536,16,FALSE)</f>
        <v>9894.8243048969616</v>
      </c>
      <c r="U1511" s="27">
        <f t="shared" si="70"/>
        <v>-0.39466852313591477</v>
      </c>
      <c r="V1511" s="19">
        <f>VLOOKUP(A1511,[1]Sheet1!$A$2:$Q$1536,17,FALSE)</f>
        <v>5014.802734375</v>
      </c>
      <c r="W1511" s="27">
        <f t="shared" si="71"/>
        <v>-1.7518530101702809</v>
      </c>
    </row>
    <row r="1512" spans="1:23" x14ac:dyDescent="0.3">
      <c r="A1512" s="4" t="s">
        <v>777</v>
      </c>
      <c r="B1512" s="5">
        <v>2018</v>
      </c>
      <c r="C1512" s="5" t="s">
        <v>237</v>
      </c>
      <c r="D1512" s="15" t="s">
        <v>764</v>
      </c>
      <c r="E1512" s="6">
        <v>67447</v>
      </c>
      <c r="F1512" s="5" t="s">
        <v>184</v>
      </c>
      <c r="G1512" s="5" t="s">
        <v>25</v>
      </c>
      <c r="H1512" s="5" t="s">
        <v>18</v>
      </c>
      <c r="I1512" s="5" t="s">
        <v>17</v>
      </c>
      <c r="J1512" s="7">
        <v>45622</v>
      </c>
      <c r="K1512" s="5" t="s">
        <v>17</v>
      </c>
      <c r="L1512" s="8">
        <v>44310</v>
      </c>
      <c r="M1512" s="19">
        <v>235</v>
      </c>
      <c r="N1512" s="19">
        <v>285</v>
      </c>
      <c r="O1512" s="24">
        <v>10800</v>
      </c>
      <c r="P1512" s="24">
        <v>18000</v>
      </c>
      <c r="Q1512" t="s">
        <v>1983</v>
      </c>
      <c r="R1512" s="19">
        <f>VLOOKUP(A1512,[1]Sheet1!$A$2:$Q$1536,15,FALSE)</f>
        <v>12255.505859375</v>
      </c>
      <c r="S1512" s="27">
        <f t="shared" si="69"/>
        <v>-0.46872762385656064</v>
      </c>
      <c r="T1512" s="19">
        <f>VLOOKUP(A1512,[1]Sheet1!$A$2:$Q$1536,16,FALSE)</f>
        <v>10799.14936178435</v>
      </c>
      <c r="U1512" s="27">
        <f t="shared" si="70"/>
        <v>-0.66679794833635386</v>
      </c>
      <c r="V1512" s="19">
        <f>VLOOKUP(A1512,[1]Sheet1!$A$2:$Q$1536,17,FALSE)</f>
        <v>12337.619140625</v>
      </c>
      <c r="W1512" s="27">
        <f t="shared" si="71"/>
        <v>-0.45895247655441523</v>
      </c>
    </row>
    <row r="1513" spans="1:23" x14ac:dyDescent="0.3">
      <c r="A1513" s="4" t="s">
        <v>420</v>
      </c>
      <c r="B1513" s="5">
        <v>2017</v>
      </c>
      <c r="C1513" s="5" t="s">
        <v>391</v>
      </c>
      <c r="D1513" s="15" t="s">
        <v>413</v>
      </c>
      <c r="E1513" s="6">
        <v>88851</v>
      </c>
      <c r="F1513" s="5" t="s">
        <v>66</v>
      </c>
      <c r="G1513" s="5" t="s">
        <v>22</v>
      </c>
      <c r="H1513" s="5" t="s">
        <v>18</v>
      </c>
      <c r="I1513" s="5" t="s">
        <v>17</v>
      </c>
      <c r="J1513" s="7">
        <v>45398</v>
      </c>
      <c r="K1513" s="5" t="s">
        <v>17</v>
      </c>
      <c r="L1513" s="8">
        <v>44028</v>
      </c>
      <c r="M1513" s="19">
        <v>235</v>
      </c>
      <c r="N1513" s="19">
        <v>285</v>
      </c>
      <c r="O1513" s="24">
        <v>4100</v>
      </c>
      <c r="P1513" s="24">
        <v>11900</v>
      </c>
      <c r="Q1513" t="s">
        <v>1983</v>
      </c>
      <c r="R1513" s="19">
        <f>VLOOKUP(A1513,[1]Sheet1!$A$2:$Q$1536,15,FALSE)</f>
        <v>4518.55517578125</v>
      </c>
      <c r="S1513" s="27">
        <f t="shared" si="69"/>
        <v>-1.6335851919618336</v>
      </c>
      <c r="T1513" s="19">
        <f>VLOOKUP(A1513,[1]Sheet1!$A$2:$Q$1536,16,FALSE)</f>
        <v>9427.3957265972113</v>
      </c>
      <c r="U1513" s="27">
        <f t="shared" si="70"/>
        <v>-0.26227861279090142</v>
      </c>
      <c r="V1513" s="19">
        <f>VLOOKUP(A1513,[1]Sheet1!$A$2:$Q$1536,17,FALSE)</f>
        <v>4571.89404296875</v>
      </c>
      <c r="W1513" s="27">
        <f t="shared" si="71"/>
        <v>-1.6028599718537571</v>
      </c>
    </row>
    <row r="1514" spans="1:23" x14ac:dyDescent="0.3">
      <c r="A1514" s="4" t="s">
        <v>1963</v>
      </c>
      <c r="B1514" s="5">
        <v>2015</v>
      </c>
      <c r="C1514" s="5" t="s">
        <v>96</v>
      </c>
      <c r="D1514" s="15" t="s">
        <v>1959</v>
      </c>
      <c r="E1514" s="6">
        <v>73565</v>
      </c>
      <c r="F1514" s="5" t="s">
        <v>15</v>
      </c>
      <c r="G1514" s="5" t="s">
        <v>16</v>
      </c>
      <c r="H1514" s="5" t="s">
        <v>17</v>
      </c>
      <c r="I1514" s="5" t="s">
        <v>18</v>
      </c>
      <c r="J1514" s="7">
        <v>45449</v>
      </c>
      <c r="K1514" s="5" t="s">
        <v>17</v>
      </c>
      <c r="L1514" s="8">
        <v>44310</v>
      </c>
      <c r="M1514" s="19">
        <v>235</v>
      </c>
      <c r="N1514" s="19">
        <v>285</v>
      </c>
      <c r="O1514" s="24">
        <v>0</v>
      </c>
      <c r="P1514" s="24">
        <v>10500</v>
      </c>
      <c r="Q1514" t="s">
        <v>1983</v>
      </c>
      <c r="R1514" s="19">
        <f>VLOOKUP(A1514,[1]Sheet1!$A$2:$Q$1536,15,FALSE)</f>
        <v>9715.109375</v>
      </c>
      <c r="S1514" s="27">
        <f t="shared" si="69"/>
        <v>-8.0790714206447109E-2</v>
      </c>
      <c r="T1514" s="19">
        <f>VLOOKUP(A1514,[1]Sheet1!$A$2:$Q$1536,16,FALSE)</f>
        <v>10254.474464374411</v>
      </c>
      <c r="U1514" s="27">
        <f t="shared" si="70"/>
        <v>-2.3943258767534312E-2</v>
      </c>
      <c r="V1514" s="19">
        <f>VLOOKUP(A1514,[1]Sheet1!$A$2:$Q$1536,17,FALSE)</f>
        <v>9783.87890625</v>
      </c>
      <c r="W1514" s="27">
        <f t="shared" si="71"/>
        <v>-7.3193985801739386E-2</v>
      </c>
    </row>
    <row r="1515" spans="1:23" x14ac:dyDescent="0.3">
      <c r="A1515" s="4" t="s">
        <v>517</v>
      </c>
      <c r="B1515" s="5">
        <v>2017</v>
      </c>
      <c r="C1515" s="5" t="s">
        <v>391</v>
      </c>
      <c r="D1515" s="15" t="s">
        <v>394</v>
      </c>
      <c r="E1515" s="6">
        <v>86912</v>
      </c>
      <c r="F1515" s="5" t="s">
        <v>36</v>
      </c>
      <c r="G1515" s="5" t="s">
        <v>28</v>
      </c>
      <c r="H1515" s="5" t="s">
        <v>17</v>
      </c>
      <c r="I1515" s="5" t="s">
        <v>18</v>
      </c>
      <c r="J1515" s="7">
        <v>45356</v>
      </c>
      <c r="K1515" s="5" t="s">
        <v>17</v>
      </c>
      <c r="L1515" s="8">
        <v>43612</v>
      </c>
      <c r="M1515" s="19">
        <v>264</v>
      </c>
      <c r="N1515" s="19">
        <v>314</v>
      </c>
      <c r="O1515" s="24">
        <v>9500</v>
      </c>
      <c r="P1515" s="24">
        <v>13200</v>
      </c>
      <c r="Q1515" t="s">
        <v>1983</v>
      </c>
      <c r="R1515" s="19">
        <f>VLOOKUP(A1515,[1]Sheet1!$A$2:$Q$1536,15,FALSE)</f>
        <v>4467.24560546875</v>
      </c>
      <c r="S1515" s="27">
        <f t="shared" si="69"/>
        <v>-1.9548408943176785</v>
      </c>
      <c r="T1515" s="19">
        <f>VLOOKUP(A1515,[1]Sheet1!$A$2:$Q$1536,16,FALSE)</f>
        <v>9535.4329557301498</v>
      </c>
      <c r="U1515" s="27">
        <f t="shared" si="70"/>
        <v>-0.38431050391557664</v>
      </c>
      <c r="V1515" s="19">
        <f>VLOOKUP(A1515,[1]Sheet1!$A$2:$Q$1536,17,FALSE)</f>
        <v>4499.12060546875</v>
      </c>
      <c r="W1515" s="27">
        <f t="shared" si="71"/>
        <v>-1.9339066803310847</v>
      </c>
    </row>
    <row r="1516" spans="1:23" x14ac:dyDescent="0.3">
      <c r="A1516" s="4" t="s">
        <v>369</v>
      </c>
      <c r="B1516" s="5">
        <v>2017</v>
      </c>
      <c r="C1516" s="5" t="s">
        <v>237</v>
      </c>
      <c r="D1516" s="15" t="s">
        <v>370</v>
      </c>
      <c r="E1516" s="6">
        <v>103740</v>
      </c>
      <c r="F1516" s="5" t="s">
        <v>132</v>
      </c>
      <c r="G1516" s="5" t="s">
        <v>25</v>
      </c>
      <c r="H1516" s="5" t="s">
        <v>18</v>
      </c>
      <c r="I1516" s="5" t="s">
        <v>17</v>
      </c>
      <c r="J1516" s="7">
        <v>45412</v>
      </c>
      <c r="K1516" s="5" t="s">
        <v>17</v>
      </c>
      <c r="L1516" s="8">
        <v>44067</v>
      </c>
      <c r="M1516" s="19">
        <v>235</v>
      </c>
      <c r="N1516" s="19">
        <v>285</v>
      </c>
      <c r="O1516" s="24">
        <v>9000</v>
      </c>
      <c r="P1516" s="24">
        <v>18250</v>
      </c>
      <c r="Q1516" t="s">
        <v>1983</v>
      </c>
      <c r="R1516" s="19">
        <f>VLOOKUP(A1516,[1]Sheet1!$A$2:$Q$1536,15,FALSE)</f>
        <v>3937.343017578125</v>
      </c>
      <c r="S1516" s="27">
        <f t="shared" si="69"/>
        <v>-3.6351054298605781</v>
      </c>
      <c r="T1516" s="19">
        <f>VLOOKUP(A1516,[1]Sheet1!$A$2:$Q$1536,16,FALSE)</f>
        <v>9194.2647483014352</v>
      </c>
      <c r="U1516" s="27">
        <f t="shared" si="70"/>
        <v>-0.98493305333322467</v>
      </c>
      <c r="V1516" s="19">
        <f>VLOOKUP(A1516,[1]Sheet1!$A$2:$Q$1536,17,FALSE)</f>
        <v>3857.52734375</v>
      </c>
      <c r="W1516" s="27">
        <f t="shared" si="71"/>
        <v>-3.7310098863119694</v>
      </c>
    </row>
    <row r="1517" spans="1:23" x14ac:dyDescent="0.3">
      <c r="A1517" s="4" t="s">
        <v>738</v>
      </c>
      <c r="B1517" s="5">
        <v>2016</v>
      </c>
      <c r="C1517" s="5" t="s">
        <v>46</v>
      </c>
      <c r="D1517" s="15" t="s">
        <v>737</v>
      </c>
      <c r="E1517" s="6">
        <v>104121</v>
      </c>
      <c r="F1517" s="5" t="s">
        <v>115</v>
      </c>
      <c r="G1517" s="5" t="s">
        <v>16</v>
      </c>
      <c r="H1517" s="5" t="s">
        <v>17</v>
      </c>
      <c r="I1517" s="5" t="s">
        <v>18</v>
      </c>
      <c r="J1517" s="7">
        <v>45384</v>
      </c>
      <c r="K1517" s="5" t="s">
        <v>17</v>
      </c>
      <c r="L1517" s="8">
        <v>44483</v>
      </c>
      <c r="M1517" s="19">
        <v>264</v>
      </c>
      <c r="N1517" s="19">
        <v>314</v>
      </c>
      <c r="O1517" s="24">
        <v>9700</v>
      </c>
      <c r="P1517" s="24">
        <v>10000</v>
      </c>
      <c r="Q1517" t="s">
        <v>1983</v>
      </c>
      <c r="R1517" s="19">
        <f>VLOOKUP(A1517,[1]Sheet1!$A$2:$Q$1536,15,FALSE)</f>
        <v>7880.56982421875</v>
      </c>
      <c r="S1517" s="27">
        <f t="shared" si="69"/>
        <v>-0.2689437722216188</v>
      </c>
      <c r="T1517" s="19">
        <f>VLOOKUP(A1517,[1]Sheet1!$A$2:$Q$1536,16,FALSE)</f>
        <v>9541.5290062990625</v>
      </c>
      <c r="U1517" s="27">
        <f t="shared" si="70"/>
        <v>-4.8050055017206064E-2</v>
      </c>
      <c r="V1517" s="19">
        <f>VLOOKUP(A1517,[1]Sheet1!$A$2:$Q$1536,17,FALSE)</f>
        <v>8028.48779296875</v>
      </c>
      <c r="W1517" s="27">
        <f t="shared" si="71"/>
        <v>-0.24556457677594976</v>
      </c>
    </row>
    <row r="1518" spans="1:23" x14ac:dyDescent="0.3">
      <c r="A1518" s="4" t="s">
        <v>799</v>
      </c>
      <c r="B1518" s="5">
        <v>2009</v>
      </c>
      <c r="C1518" s="5" t="s">
        <v>391</v>
      </c>
      <c r="D1518" s="15" t="s">
        <v>392</v>
      </c>
      <c r="E1518" s="6">
        <v>121946</v>
      </c>
      <c r="F1518" s="5" t="s">
        <v>32</v>
      </c>
      <c r="G1518" s="5" t="s">
        <v>25</v>
      </c>
      <c r="H1518" s="5" t="s">
        <v>18</v>
      </c>
      <c r="I1518" s="5" t="s">
        <v>17</v>
      </c>
      <c r="J1518" s="7">
        <v>45622</v>
      </c>
      <c r="K1518" s="5" t="s">
        <v>17</v>
      </c>
      <c r="L1518" s="8">
        <v>44128</v>
      </c>
      <c r="M1518" s="19">
        <v>264</v>
      </c>
      <c r="N1518" s="19">
        <v>314</v>
      </c>
      <c r="O1518" s="24">
        <v>1000</v>
      </c>
      <c r="P1518" s="24">
        <v>3300</v>
      </c>
      <c r="Q1518" t="s">
        <v>1983</v>
      </c>
      <c r="R1518" s="19">
        <f>VLOOKUP(A1518,[1]Sheet1!$A$2:$Q$1536,15,FALSE)</f>
        <v>1511.353271484375</v>
      </c>
      <c r="S1518" s="27">
        <f t="shared" si="69"/>
        <v>-1.1834736208027037</v>
      </c>
      <c r="T1518" s="19">
        <f>VLOOKUP(A1518,[1]Sheet1!$A$2:$Q$1536,16,FALSE)</f>
        <v>9197.8950380046881</v>
      </c>
      <c r="U1518" s="27">
        <f t="shared" si="70"/>
        <v>0.64122225940122557</v>
      </c>
      <c r="V1518" s="19">
        <f>VLOOKUP(A1518,[1]Sheet1!$A$2:$Q$1536,17,FALSE)</f>
        <v>1526.447631835938</v>
      </c>
      <c r="W1518" s="27">
        <f t="shared" si="71"/>
        <v>-1.1618822232577468</v>
      </c>
    </row>
    <row r="1519" spans="1:23" x14ac:dyDescent="0.3">
      <c r="A1519" s="4" t="s">
        <v>1886</v>
      </c>
      <c r="B1519" s="5">
        <v>2017</v>
      </c>
      <c r="C1519" s="5" t="s">
        <v>1223</v>
      </c>
      <c r="D1519" s="15" t="s">
        <v>1887</v>
      </c>
      <c r="E1519" s="6">
        <v>86613</v>
      </c>
      <c r="F1519" s="5" t="s">
        <v>40</v>
      </c>
      <c r="G1519" s="5" t="s">
        <v>25</v>
      </c>
      <c r="H1519" s="5" t="s">
        <v>18</v>
      </c>
      <c r="I1519" s="5" t="s">
        <v>17</v>
      </c>
      <c r="J1519" s="7">
        <v>45734</v>
      </c>
      <c r="K1519" s="5" t="s">
        <v>17</v>
      </c>
      <c r="L1519" s="8">
        <v>44121</v>
      </c>
      <c r="M1519" s="19">
        <v>280</v>
      </c>
      <c r="N1519" s="19">
        <v>330</v>
      </c>
      <c r="O1519" s="24">
        <v>0</v>
      </c>
      <c r="P1519" s="24">
        <v>14400</v>
      </c>
      <c r="Q1519" t="s">
        <v>1983</v>
      </c>
      <c r="R1519" s="19">
        <f>VLOOKUP(A1519,[1]Sheet1!$A$2:$Q$1536,15,FALSE)</f>
        <v>5904.8388671875</v>
      </c>
      <c r="S1519" s="27">
        <f t="shared" si="69"/>
        <v>-1.4386778917912761</v>
      </c>
      <c r="T1519" s="19">
        <f>VLOOKUP(A1519,[1]Sheet1!$A$2:$Q$1536,16,FALSE)</f>
        <v>10079.06929053201</v>
      </c>
      <c r="U1519" s="27">
        <f t="shared" si="70"/>
        <v>-0.42870334402075683</v>
      </c>
      <c r="V1519" s="19">
        <f>VLOOKUP(A1519,[1]Sheet1!$A$2:$Q$1536,17,FALSE)</f>
        <v>5955.173828125</v>
      </c>
      <c r="W1519" s="27">
        <f t="shared" si="71"/>
        <v>-1.4180654361409082</v>
      </c>
    </row>
    <row r="1520" spans="1:23" x14ac:dyDescent="0.3">
      <c r="A1520" s="4" t="s">
        <v>501</v>
      </c>
      <c r="B1520" s="5">
        <v>2018</v>
      </c>
      <c r="C1520" s="5" t="s">
        <v>391</v>
      </c>
      <c r="D1520" s="15" t="s">
        <v>394</v>
      </c>
      <c r="E1520" s="6">
        <v>71628</v>
      </c>
      <c r="F1520" s="5" t="s">
        <v>24</v>
      </c>
      <c r="G1520" s="5" t="s">
        <v>28</v>
      </c>
      <c r="H1520" s="5" t="s">
        <v>17</v>
      </c>
      <c r="I1520" s="5" t="s">
        <v>18</v>
      </c>
      <c r="J1520" s="7">
        <v>45594</v>
      </c>
      <c r="K1520" s="5" t="s">
        <v>17</v>
      </c>
      <c r="L1520" s="8">
        <v>43935</v>
      </c>
      <c r="M1520" s="19">
        <v>222</v>
      </c>
      <c r="N1520" s="19">
        <v>272</v>
      </c>
      <c r="O1520" s="24">
        <v>10200</v>
      </c>
      <c r="P1520" s="24">
        <v>13200</v>
      </c>
      <c r="Q1520" t="s">
        <v>1983</v>
      </c>
      <c r="R1520" s="19">
        <f>VLOOKUP(A1520,[1]Sheet1!$A$2:$Q$1536,15,FALSE)</f>
        <v>5328.97509765625</v>
      </c>
      <c r="S1520" s="27">
        <f t="shared" si="69"/>
        <v>-1.4770241478151258</v>
      </c>
      <c r="T1520" s="19">
        <f>VLOOKUP(A1520,[1]Sheet1!$A$2:$Q$1536,16,FALSE)</f>
        <v>9802.6429926713081</v>
      </c>
      <c r="U1520" s="27">
        <f t="shared" si="70"/>
        <v>-0.3465756133186364</v>
      </c>
      <c r="V1520" s="19">
        <f>VLOOKUP(A1520,[1]Sheet1!$A$2:$Q$1536,17,FALSE)</f>
        <v>5435.9052734375</v>
      </c>
      <c r="W1520" s="27">
        <f t="shared" si="71"/>
        <v>-1.4282983856436344</v>
      </c>
    </row>
    <row r="1521" spans="1:23" x14ac:dyDescent="0.3">
      <c r="A1521" s="4" t="s">
        <v>1409</v>
      </c>
      <c r="B1521" s="5">
        <v>2014</v>
      </c>
      <c r="C1521" s="5" t="s">
        <v>1401</v>
      </c>
      <c r="D1521" s="15" t="s">
        <v>1405</v>
      </c>
      <c r="E1521" s="6">
        <v>95192</v>
      </c>
      <c r="F1521" s="5" t="s">
        <v>27</v>
      </c>
      <c r="G1521" s="5" t="s">
        <v>25</v>
      </c>
      <c r="H1521" s="5" t="s">
        <v>18</v>
      </c>
      <c r="I1521" s="5" t="s">
        <v>17</v>
      </c>
      <c r="J1521" s="7">
        <v>45580</v>
      </c>
      <c r="K1521" s="5" t="s">
        <v>17</v>
      </c>
      <c r="L1521" s="8">
        <v>44224</v>
      </c>
      <c r="M1521" s="19">
        <v>235</v>
      </c>
      <c r="N1521" s="19">
        <v>285</v>
      </c>
      <c r="O1521" s="24">
        <v>3100</v>
      </c>
      <c r="P1521" s="24">
        <v>5600</v>
      </c>
      <c r="Q1521" t="s">
        <v>1983</v>
      </c>
      <c r="R1521" s="19">
        <f>VLOOKUP(A1521,[1]Sheet1!$A$2:$Q$1536,15,FALSE)</f>
        <v>3263.830078125</v>
      </c>
      <c r="S1521" s="27">
        <f t="shared" si="69"/>
        <v>-0.71577559675443625</v>
      </c>
      <c r="T1521" s="19">
        <f>VLOOKUP(A1521,[1]Sheet1!$A$2:$Q$1536,16,FALSE)</f>
        <v>9545.2524973399213</v>
      </c>
      <c r="U1521" s="27">
        <f t="shared" si="70"/>
        <v>0.41332091512921082</v>
      </c>
      <c r="V1521" s="19">
        <f>VLOOKUP(A1521,[1]Sheet1!$A$2:$Q$1536,17,FALSE)</f>
        <v>3246.1513671875</v>
      </c>
      <c r="W1521" s="27">
        <f t="shared" si="71"/>
        <v>-0.72511980082182659</v>
      </c>
    </row>
    <row r="1522" spans="1:23" x14ac:dyDescent="0.3">
      <c r="A1522" s="4" t="s">
        <v>268</v>
      </c>
      <c r="B1522" s="5">
        <v>2016</v>
      </c>
      <c r="C1522" s="5" t="s">
        <v>237</v>
      </c>
      <c r="D1522" s="15" t="s">
        <v>250</v>
      </c>
      <c r="E1522" s="6">
        <v>110751</v>
      </c>
      <c r="F1522" s="5" t="s">
        <v>47</v>
      </c>
      <c r="G1522" s="5" t="s">
        <v>25</v>
      </c>
      <c r="H1522" s="5" t="s">
        <v>18</v>
      </c>
      <c r="I1522" s="5" t="s">
        <v>17</v>
      </c>
      <c r="J1522" s="7">
        <v>45720</v>
      </c>
      <c r="K1522" s="5" t="s">
        <v>17</v>
      </c>
      <c r="L1522" s="8">
        <v>43977</v>
      </c>
      <c r="M1522" s="19">
        <v>179</v>
      </c>
      <c r="N1522" s="19">
        <v>229</v>
      </c>
      <c r="O1522" s="24">
        <v>3800</v>
      </c>
      <c r="P1522" s="24">
        <v>7100</v>
      </c>
      <c r="Q1522" t="s">
        <v>1983</v>
      </c>
      <c r="R1522" s="19">
        <f>VLOOKUP(A1522,[1]Sheet1!$A$2:$Q$1536,15,FALSE)</f>
        <v>6939.77490234375</v>
      </c>
      <c r="S1522" s="27">
        <f t="shared" si="69"/>
        <v>-2.308793871716756E-2</v>
      </c>
      <c r="T1522" s="19">
        <f>VLOOKUP(A1522,[1]Sheet1!$A$2:$Q$1536,16,FALSE)</f>
        <v>9963.3375967243701</v>
      </c>
      <c r="U1522" s="27">
        <f t="shared" si="70"/>
        <v>0.28738739091464138</v>
      </c>
      <c r="V1522" s="19">
        <f>VLOOKUP(A1522,[1]Sheet1!$A$2:$Q$1536,17,FALSE)</f>
        <v>6987.63525390625</v>
      </c>
      <c r="W1522" s="27">
        <f t="shared" si="71"/>
        <v>-1.6080511075751341E-2</v>
      </c>
    </row>
    <row r="1523" spans="1:23" x14ac:dyDescent="0.3">
      <c r="A1523" s="4" t="s">
        <v>1094</v>
      </c>
      <c r="B1523" s="5">
        <v>2021</v>
      </c>
      <c r="C1523" s="5" t="s">
        <v>1086</v>
      </c>
      <c r="D1523" s="15" t="s">
        <v>1093</v>
      </c>
      <c r="E1523" s="6">
        <v>54911</v>
      </c>
      <c r="F1523" s="5" t="s">
        <v>36</v>
      </c>
      <c r="G1523" s="5" t="s">
        <v>28</v>
      </c>
      <c r="H1523" s="5" t="s">
        <v>17</v>
      </c>
      <c r="I1523" s="5" t="s">
        <v>18</v>
      </c>
      <c r="J1523" s="7">
        <v>45622</v>
      </c>
      <c r="K1523" s="5" t="s">
        <v>17</v>
      </c>
      <c r="L1523" s="8">
        <v>44035</v>
      </c>
      <c r="M1523" s="19">
        <v>222</v>
      </c>
      <c r="N1523" s="19">
        <v>272</v>
      </c>
      <c r="O1523" s="24">
        <v>11300</v>
      </c>
      <c r="P1523" s="24">
        <v>13300</v>
      </c>
      <c r="Q1523" t="s">
        <v>1983</v>
      </c>
      <c r="R1523" s="19">
        <f>VLOOKUP(A1523,[1]Sheet1!$A$2:$Q$1536,15,FALSE)</f>
        <v>8133.71240234375</v>
      </c>
      <c r="S1523" s="27">
        <f t="shared" si="69"/>
        <v>-0.63516969153809411</v>
      </c>
      <c r="T1523" s="19">
        <f>VLOOKUP(A1523,[1]Sheet1!$A$2:$Q$1536,16,FALSE)</f>
        <v>13647.22144940886</v>
      </c>
      <c r="U1523" s="27">
        <f t="shared" si="70"/>
        <v>2.5442647845646298E-2</v>
      </c>
      <c r="V1523" s="19">
        <f>VLOOKUP(A1523,[1]Sheet1!$A$2:$Q$1536,17,FALSE)</f>
        <v>8602.0732421875</v>
      </c>
      <c r="W1523" s="27">
        <f t="shared" si="71"/>
        <v>-0.54613889297899321</v>
      </c>
    </row>
    <row r="1524" spans="1:23" x14ac:dyDescent="0.3">
      <c r="A1524" s="4" t="s">
        <v>326</v>
      </c>
      <c r="B1524" s="5">
        <v>2016</v>
      </c>
      <c r="C1524" s="5" t="s">
        <v>237</v>
      </c>
      <c r="D1524" s="15" t="s">
        <v>306</v>
      </c>
      <c r="E1524" s="6">
        <v>99999</v>
      </c>
      <c r="F1524" s="5" t="s">
        <v>112</v>
      </c>
      <c r="G1524" s="5" t="s">
        <v>22</v>
      </c>
      <c r="H1524" s="5" t="s">
        <v>18</v>
      </c>
      <c r="I1524" s="5" t="s">
        <v>17</v>
      </c>
      <c r="J1524" s="7">
        <v>45463</v>
      </c>
      <c r="K1524" s="5" t="s">
        <v>17</v>
      </c>
      <c r="L1524" s="8">
        <v>43605</v>
      </c>
      <c r="M1524" s="19">
        <v>264</v>
      </c>
      <c r="N1524" s="19">
        <v>314</v>
      </c>
      <c r="O1524" s="24">
        <v>0</v>
      </c>
      <c r="P1524" s="24">
        <v>3700</v>
      </c>
      <c r="Q1524" t="s">
        <v>1983</v>
      </c>
      <c r="R1524" s="19">
        <f>VLOOKUP(A1524,[1]Sheet1!$A$2:$Q$1536,15,FALSE)</f>
        <v>3417.545654296875</v>
      </c>
      <c r="S1524" s="27">
        <f t="shared" si="69"/>
        <v>-8.2648302107682328E-2</v>
      </c>
      <c r="T1524" s="19">
        <f>VLOOKUP(A1524,[1]Sheet1!$A$2:$Q$1536,16,FALSE)</f>
        <v>9315.1472913448397</v>
      </c>
      <c r="U1524" s="27">
        <f t="shared" si="70"/>
        <v>0.60279747766974645</v>
      </c>
      <c r="V1524" s="19">
        <f>VLOOKUP(A1524,[1]Sheet1!$A$2:$Q$1536,17,FALSE)</f>
        <v>3336.35888671875</v>
      </c>
      <c r="W1524" s="27">
        <f t="shared" si="71"/>
        <v>-0.10899340437529627</v>
      </c>
    </row>
    <row r="1525" spans="1:23" x14ac:dyDescent="0.3">
      <c r="A1525" s="4" t="s">
        <v>1158</v>
      </c>
      <c r="B1525" s="5">
        <v>2017</v>
      </c>
      <c r="C1525" s="5" t="s">
        <v>636</v>
      </c>
      <c r="D1525" s="15" t="s">
        <v>1142</v>
      </c>
      <c r="E1525" s="6">
        <v>116854</v>
      </c>
      <c r="F1525" s="5" t="s">
        <v>144</v>
      </c>
      <c r="G1525" s="5" t="s">
        <v>25</v>
      </c>
      <c r="H1525" s="5" t="s">
        <v>18</v>
      </c>
      <c r="I1525" s="5" t="s">
        <v>17</v>
      </c>
      <c r="J1525" s="7">
        <v>45356</v>
      </c>
      <c r="K1525" s="5" t="s">
        <v>17</v>
      </c>
      <c r="L1525" s="8">
        <v>44113</v>
      </c>
      <c r="M1525" s="19">
        <v>264</v>
      </c>
      <c r="N1525" s="19">
        <v>314</v>
      </c>
      <c r="O1525" s="24">
        <v>1800</v>
      </c>
      <c r="P1525" s="24">
        <v>9300</v>
      </c>
      <c r="Q1525" t="s">
        <v>1983</v>
      </c>
      <c r="R1525" s="19">
        <f>VLOOKUP(A1525,[1]Sheet1!$A$2:$Q$1536,15,FALSE)</f>
        <v>2867.398681640625</v>
      </c>
      <c r="S1525" s="27">
        <f t="shared" si="69"/>
        <v>-2.2433578419164459</v>
      </c>
      <c r="T1525" s="19">
        <f>VLOOKUP(A1525,[1]Sheet1!$A$2:$Q$1536,16,FALSE)</f>
        <v>8650.5952968865749</v>
      </c>
      <c r="U1525" s="27">
        <f t="shared" si="70"/>
        <v>-7.5070521834162268E-2</v>
      </c>
      <c r="V1525" s="19">
        <f>VLOOKUP(A1525,[1]Sheet1!$A$2:$Q$1536,17,FALSE)</f>
        <v>2703.99365234375</v>
      </c>
      <c r="W1525" s="27">
        <f t="shared" si="71"/>
        <v>-2.4393571863376997</v>
      </c>
    </row>
    <row r="1526" spans="1:23" x14ac:dyDescent="0.3">
      <c r="A1526" s="4" t="s">
        <v>1492</v>
      </c>
      <c r="B1526" s="5">
        <v>2018</v>
      </c>
      <c r="C1526" s="5" t="s">
        <v>1219</v>
      </c>
      <c r="D1526" s="15" t="s">
        <v>1220</v>
      </c>
      <c r="E1526" s="6">
        <v>64950</v>
      </c>
      <c r="F1526" s="5" t="s">
        <v>47</v>
      </c>
      <c r="G1526" s="5" t="s">
        <v>28</v>
      </c>
      <c r="H1526" s="5" t="s">
        <v>17</v>
      </c>
      <c r="I1526" s="5" t="s">
        <v>18</v>
      </c>
      <c r="J1526" s="7">
        <v>45454</v>
      </c>
      <c r="K1526" s="5" t="s">
        <v>17</v>
      </c>
      <c r="L1526" s="8">
        <v>44035</v>
      </c>
      <c r="M1526" s="19">
        <v>222</v>
      </c>
      <c r="N1526" s="19">
        <v>272</v>
      </c>
      <c r="O1526" s="24">
        <v>10000</v>
      </c>
      <c r="P1526" s="24">
        <v>10600</v>
      </c>
      <c r="Q1526" t="s">
        <v>1983</v>
      </c>
      <c r="R1526" s="19">
        <f>VLOOKUP(A1526,[1]Sheet1!$A$2:$Q$1536,15,FALSE)</f>
        <v>7299.8857421875</v>
      </c>
      <c r="S1526" s="27">
        <f t="shared" si="69"/>
        <v>-0.45207752208236351</v>
      </c>
      <c r="T1526" s="19">
        <f>VLOOKUP(A1526,[1]Sheet1!$A$2:$Q$1536,16,FALSE)</f>
        <v>11843.509824285689</v>
      </c>
      <c r="U1526" s="27">
        <f t="shared" si="70"/>
        <v>0.10499504308560731</v>
      </c>
      <c r="V1526" s="19">
        <f>VLOOKUP(A1526,[1]Sheet1!$A$2:$Q$1536,17,FALSE)</f>
        <v>6824.8876953125</v>
      </c>
      <c r="W1526" s="27">
        <f t="shared" si="71"/>
        <v>-0.55313910986115411</v>
      </c>
    </row>
    <row r="1527" spans="1:23" x14ac:dyDescent="0.3">
      <c r="A1527" s="4" t="s">
        <v>1695</v>
      </c>
      <c r="B1527" s="5">
        <v>2017</v>
      </c>
      <c r="C1527" s="5" t="s">
        <v>1089</v>
      </c>
      <c r="D1527" s="15" t="s">
        <v>1696</v>
      </c>
      <c r="E1527" s="6">
        <v>42937</v>
      </c>
      <c r="F1527" s="5" t="s">
        <v>73</v>
      </c>
      <c r="G1527" s="5" t="s">
        <v>28</v>
      </c>
      <c r="H1527" s="5" t="s">
        <v>17</v>
      </c>
      <c r="I1527" s="5" t="s">
        <v>18</v>
      </c>
      <c r="J1527" s="7">
        <v>45687</v>
      </c>
      <c r="K1527" s="5" t="s">
        <v>17</v>
      </c>
      <c r="L1527" s="8">
        <v>44144</v>
      </c>
      <c r="M1527" s="19">
        <v>235</v>
      </c>
      <c r="N1527" s="19">
        <v>285</v>
      </c>
      <c r="O1527" s="24">
        <v>0</v>
      </c>
      <c r="P1527" s="24">
        <v>12100</v>
      </c>
      <c r="Q1527" t="s">
        <v>1983</v>
      </c>
      <c r="R1527" s="19">
        <f>VLOOKUP(A1527,[1]Sheet1!$A$2:$Q$1536,15,FALSE)</f>
        <v>3135.066650390625</v>
      </c>
      <c r="S1527" s="27">
        <f t="shared" si="69"/>
        <v>-2.859567068053356</v>
      </c>
      <c r="T1527" s="19">
        <f>VLOOKUP(A1527,[1]Sheet1!$A$2:$Q$1536,16,FALSE)</f>
        <v>11006.62035662356</v>
      </c>
      <c r="U1527" s="27">
        <f t="shared" si="70"/>
        <v>-9.9338362544544978E-2</v>
      </c>
      <c r="V1527" s="19">
        <f>VLOOKUP(A1527,[1]Sheet1!$A$2:$Q$1536,17,FALSE)</f>
        <v>3046.538330078125</v>
      </c>
      <c r="W1527" s="27">
        <f t="shared" si="71"/>
        <v>-2.971720913713142</v>
      </c>
    </row>
    <row r="1528" spans="1:23" x14ac:dyDescent="0.3">
      <c r="A1528" s="4" t="s">
        <v>1533</v>
      </c>
      <c r="B1528" s="5">
        <v>2011</v>
      </c>
      <c r="C1528" s="5" t="s">
        <v>1139</v>
      </c>
      <c r="D1528" s="15" t="s">
        <v>1534</v>
      </c>
      <c r="E1528" s="6">
        <v>130502</v>
      </c>
      <c r="F1528" s="5" t="s">
        <v>64</v>
      </c>
      <c r="G1528" s="5" t="s">
        <v>28</v>
      </c>
      <c r="H1528" s="5" t="s">
        <v>17</v>
      </c>
      <c r="I1528" s="5" t="s">
        <v>18</v>
      </c>
      <c r="J1528" s="7">
        <v>45510</v>
      </c>
      <c r="K1528" s="5" t="s">
        <v>17</v>
      </c>
      <c r="L1528" s="8">
        <v>44128</v>
      </c>
      <c r="M1528" s="19">
        <v>264</v>
      </c>
      <c r="N1528" s="19">
        <v>314</v>
      </c>
      <c r="O1528" s="24">
        <v>6600</v>
      </c>
      <c r="P1528" s="24">
        <v>6600</v>
      </c>
      <c r="R1528" s="19">
        <f>VLOOKUP(A1528,[1]Sheet1!$A$2:$Q$1536,15,FALSE)</f>
        <v>3280.371337890625</v>
      </c>
      <c r="S1528" s="28" t="s">
        <v>1988</v>
      </c>
      <c r="T1528" s="19">
        <f>VLOOKUP(A1528,[1]Sheet1!$A$2:$Q$1536,16,FALSE)</f>
        <v>9103.4555891709188</v>
      </c>
      <c r="U1528" s="28" t="s">
        <v>1988</v>
      </c>
      <c r="V1528" s="19">
        <f>VLOOKUP(A1528,[1]Sheet1!$A$2:$Q$1536,17,FALSE)</f>
        <v>3205.46240234375</v>
      </c>
      <c r="W1528" s="28" t="s">
        <v>1988</v>
      </c>
    </row>
    <row r="1529" spans="1:23" x14ac:dyDescent="0.3">
      <c r="A1529" s="4" t="s">
        <v>1437</v>
      </c>
      <c r="B1529" s="5">
        <v>2013</v>
      </c>
      <c r="C1529" s="5" t="s">
        <v>1086</v>
      </c>
      <c r="D1529" s="15" t="s">
        <v>1436</v>
      </c>
      <c r="E1529" s="6">
        <v>136619</v>
      </c>
      <c r="F1529" s="5" t="s">
        <v>79</v>
      </c>
      <c r="G1529" s="5" t="s">
        <v>22</v>
      </c>
      <c r="H1529" s="5" t="s">
        <v>18</v>
      </c>
      <c r="I1529" s="5" t="s">
        <v>17</v>
      </c>
      <c r="J1529" s="7">
        <v>45449</v>
      </c>
      <c r="K1529" s="5" t="s">
        <v>17</v>
      </c>
      <c r="L1529" s="8">
        <v>44310</v>
      </c>
      <c r="M1529" s="19">
        <v>235</v>
      </c>
      <c r="N1529" s="19">
        <v>285</v>
      </c>
      <c r="O1529" s="24">
        <v>0</v>
      </c>
      <c r="P1529" s="24">
        <v>2100</v>
      </c>
      <c r="Q1529" t="s">
        <v>1983</v>
      </c>
      <c r="R1529" s="19">
        <f>VLOOKUP(A1529,[1]Sheet1!$A$2:$Q$1536,15,FALSE)</f>
        <v>709.0233154296875</v>
      </c>
      <c r="S1529" s="27">
        <f t="shared" si="69"/>
        <v>-1.9618207953110014</v>
      </c>
      <c r="T1529" s="19">
        <f>VLOOKUP(A1529,[1]Sheet1!$A$2:$Q$1536,16,FALSE)</f>
        <v>8583.4419225195579</v>
      </c>
      <c r="U1529" s="27">
        <f t="shared" si="70"/>
        <v>0.75534290102313961</v>
      </c>
      <c r="V1529" s="19">
        <f>VLOOKUP(A1529,[1]Sheet1!$A$2:$Q$1536,17,FALSE)</f>
        <v>938.1177978515625</v>
      </c>
      <c r="W1529" s="27">
        <f t="shared" si="71"/>
        <v>-1.2385248471027102</v>
      </c>
    </row>
    <row r="1530" spans="1:23" x14ac:dyDescent="0.3">
      <c r="A1530" s="4" t="s">
        <v>1222</v>
      </c>
      <c r="B1530" s="5">
        <v>2011</v>
      </c>
      <c r="C1530" s="5" t="s">
        <v>1223</v>
      </c>
      <c r="D1530" s="15" t="s">
        <v>1224</v>
      </c>
      <c r="E1530" s="6">
        <v>99999</v>
      </c>
      <c r="F1530" s="5" t="s">
        <v>1225</v>
      </c>
      <c r="G1530" s="5" t="s">
        <v>22</v>
      </c>
      <c r="H1530" s="5" t="s">
        <v>18</v>
      </c>
      <c r="I1530" s="5" t="s">
        <v>17</v>
      </c>
      <c r="J1530" s="7">
        <v>45440</v>
      </c>
      <c r="K1530" s="5" t="s">
        <v>17</v>
      </c>
      <c r="L1530" s="8">
        <v>43608</v>
      </c>
      <c r="M1530" s="19">
        <v>264</v>
      </c>
      <c r="N1530" s="19">
        <v>314</v>
      </c>
      <c r="O1530" s="24"/>
      <c r="P1530" s="24">
        <v>2000</v>
      </c>
      <c r="R1530" s="19">
        <f>VLOOKUP(A1530,[1]Sheet1!$A$2:$Q$1536,15,FALSE)</f>
        <v>2757.0234375</v>
      </c>
      <c r="S1530" s="27">
        <f t="shared" si="69"/>
        <v>0.27457997897415409</v>
      </c>
      <c r="T1530" s="19">
        <f>VLOOKUP(A1530,[1]Sheet1!$A$2:$Q$1536,16,FALSE)</f>
        <v>9765.3635664647591</v>
      </c>
      <c r="U1530" s="27">
        <f t="shared" si="70"/>
        <v>0.79519451719460799</v>
      </c>
      <c r="V1530" s="19">
        <f>VLOOKUP(A1530,[1]Sheet1!$A$2:$Q$1536,17,FALSE)</f>
        <v>2713.12353515625</v>
      </c>
      <c r="W1530" s="27">
        <f t="shared" si="71"/>
        <v>0.26284226498193008</v>
      </c>
    </row>
    <row r="1531" spans="1:23" x14ac:dyDescent="0.3">
      <c r="A1531" s="4" t="s">
        <v>1226</v>
      </c>
      <c r="B1531" s="5">
        <v>2014</v>
      </c>
      <c r="C1531" s="5" t="s">
        <v>1223</v>
      </c>
      <c r="D1531" s="15" t="s">
        <v>1224</v>
      </c>
      <c r="E1531" s="6">
        <v>60483</v>
      </c>
      <c r="F1531" s="5" t="s">
        <v>47</v>
      </c>
      <c r="G1531" s="5" t="s">
        <v>25</v>
      </c>
      <c r="H1531" s="5" t="s">
        <v>18</v>
      </c>
      <c r="I1531" s="5" t="s">
        <v>17</v>
      </c>
      <c r="J1531" s="7">
        <v>45692</v>
      </c>
      <c r="K1531" s="5" t="s">
        <v>17</v>
      </c>
      <c r="L1531" s="8">
        <v>44081</v>
      </c>
      <c r="M1531" s="19">
        <v>325</v>
      </c>
      <c r="N1531" s="19">
        <v>375</v>
      </c>
      <c r="O1531" s="24"/>
      <c r="P1531" s="24">
        <v>15000</v>
      </c>
      <c r="R1531" s="19">
        <f>VLOOKUP(A1531,[1]Sheet1!$A$2:$Q$1536,15,FALSE)</f>
        <v>10458.9873046875</v>
      </c>
      <c r="S1531" s="27">
        <f t="shared" si="69"/>
        <v>-0.43417326773858045</v>
      </c>
      <c r="T1531" s="19">
        <f>VLOOKUP(A1531,[1]Sheet1!$A$2:$Q$1536,16,FALSE)</f>
        <v>12737.93837439975</v>
      </c>
      <c r="U1531" s="27">
        <f t="shared" si="70"/>
        <v>-0.17758459486241984</v>
      </c>
      <c r="V1531" s="19">
        <f>VLOOKUP(A1531,[1]Sheet1!$A$2:$Q$1536,17,FALSE)</f>
        <v>10374.318359375</v>
      </c>
      <c r="W1531" s="27">
        <f t="shared" si="71"/>
        <v>-0.44587812715858027</v>
      </c>
    </row>
    <row r="1532" spans="1:23" x14ac:dyDescent="0.3">
      <c r="A1532" s="4" t="s">
        <v>1888</v>
      </c>
      <c r="B1532" s="5">
        <v>2015</v>
      </c>
      <c r="C1532" s="5" t="s">
        <v>1223</v>
      </c>
      <c r="D1532" s="15" t="s">
        <v>1887</v>
      </c>
      <c r="E1532" s="6">
        <v>71260</v>
      </c>
      <c r="F1532" s="5" t="s">
        <v>47</v>
      </c>
      <c r="G1532" s="5" t="s">
        <v>16</v>
      </c>
      <c r="H1532" s="5" t="s">
        <v>17</v>
      </c>
      <c r="I1532" s="5" t="s">
        <v>18</v>
      </c>
      <c r="J1532" s="7">
        <v>45692</v>
      </c>
      <c r="K1532" s="5" t="s">
        <v>17</v>
      </c>
      <c r="L1532" s="8">
        <v>44224</v>
      </c>
      <c r="M1532" s="19">
        <v>235</v>
      </c>
      <c r="N1532" s="19">
        <v>285</v>
      </c>
      <c r="O1532" s="24"/>
      <c r="P1532" s="24">
        <v>6600</v>
      </c>
      <c r="R1532" s="19">
        <f>VLOOKUP(A1532,[1]Sheet1!$A$2:$Q$1536,15,FALSE)</f>
        <v>10759.4853515625</v>
      </c>
      <c r="S1532" s="27">
        <f t="shared" si="69"/>
        <v>0.38658776099903852</v>
      </c>
      <c r="T1532" s="19">
        <f>VLOOKUP(A1532,[1]Sheet1!$A$2:$Q$1536,16,FALSE)</f>
        <v>10687.045133923661</v>
      </c>
      <c r="U1532" s="27">
        <f t="shared" si="70"/>
        <v>0.38242985621444042</v>
      </c>
      <c r="V1532" s="19">
        <f>VLOOKUP(A1532,[1]Sheet1!$A$2:$Q$1536,17,FALSE)</f>
        <v>10728.99609375</v>
      </c>
      <c r="W1532" s="27">
        <f t="shared" si="71"/>
        <v>0.38484458915548292</v>
      </c>
    </row>
    <row r="1533" spans="1:23" x14ac:dyDescent="0.3">
      <c r="A1533" s="4" t="s">
        <v>1920</v>
      </c>
      <c r="B1533" s="5">
        <v>2012</v>
      </c>
      <c r="C1533" s="5" t="s">
        <v>1921</v>
      </c>
      <c r="D1533" s="15" t="s">
        <v>1922</v>
      </c>
      <c r="E1533" s="6">
        <v>13511</v>
      </c>
      <c r="F1533" s="5" t="s">
        <v>158</v>
      </c>
      <c r="G1533" s="5" t="s">
        <v>16</v>
      </c>
      <c r="H1533" s="5" t="s">
        <v>17</v>
      </c>
      <c r="I1533" s="5" t="s">
        <v>18</v>
      </c>
      <c r="J1533" s="7">
        <v>45370</v>
      </c>
      <c r="K1533" s="5" t="s">
        <v>17</v>
      </c>
      <c r="L1533" s="8">
        <v>44081</v>
      </c>
      <c r="M1533" s="19">
        <v>325</v>
      </c>
      <c r="N1533" s="19">
        <v>375</v>
      </c>
      <c r="O1533" s="24">
        <v>35500</v>
      </c>
      <c r="P1533" s="24">
        <v>35500</v>
      </c>
      <c r="R1533" s="19">
        <f>VLOOKUP(A1533,[1]Sheet1!$A$2:$Q$1536,15,FALSE)</f>
        <v>34870.1171875</v>
      </c>
      <c r="S1533" s="28" t="s">
        <v>1988</v>
      </c>
      <c r="T1533" s="19">
        <f>VLOOKUP(A1533,[1]Sheet1!$A$2:$Q$1536,16,FALSE)</f>
        <v>17429.974807805389</v>
      </c>
      <c r="U1533" s="28" t="s">
        <v>1988</v>
      </c>
      <c r="V1533" s="19">
        <f>VLOOKUP(A1533,[1]Sheet1!$A$2:$Q$1536,17,FALSE)</f>
        <v>35960.1328125</v>
      </c>
      <c r="W1533" s="28" t="s">
        <v>1988</v>
      </c>
    </row>
    <row r="1534" spans="1:23" x14ac:dyDescent="0.3">
      <c r="A1534" s="4" t="s">
        <v>1135</v>
      </c>
      <c r="B1534" s="5">
        <v>2016</v>
      </c>
      <c r="C1534" s="5" t="s">
        <v>1136</v>
      </c>
      <c r="D1534" s="15" t="s">
        <v>1137</v>
      </c>
      <c r="E1534" s="6">
        <v>97161</v>
      </c>
      <c r="F1534" s="5" t="s">
        <v>81</v>
      </c>
      <c r="G1534" s="5" t="s">
        <v>28</v>
      </c>
      <c r="H1534" s="5" t="s">
        <v>17</v>
      </c>
      <c r="I1534" s="5" t="s">
        <v>18</v>
      </c>
      <c r="J1534" s="7">
        <v>45510</v>
      </c>
      <c r="K1534" s="5" t="s">
        <v>17</v>
      </c>
      <c r="L1534" s="8">
        <v>44128</v>
      </c>
      <c r="M1534" s="19">
        <v>264</v>
      </c>
      <c r="N1534" s="19">
        <v>314</v>
      </c>
      <c r="O1534" s="24">
        <v>6600</v>
      </c>
      <c r="P1534" s="24">
        <v>6600</v>
      </c>
      <c r="R1534" s="19">
        <f>VLOOKUP(A1534,[1]Sheet1!$A$2:$Q$1536,15,FALSE)</f>
        <v>4044.6767578125</v>
      </c>
      <c r="S1534" s="28" t="s">
        <v>1988</v>
      </c>
      <c r="T1534" s="19">
        <f>VLOOKUP(A1534,[1]Sheet1!$A$2:$Q$1536,16,FALSE)</f>
        <v>9143.339852774985</v>
      </c>
      <c r="U1534" s="28" t="s">
        <v>1988</v>
      </c>
      <c r="V1534" s="19">
        <f>VLOOKUP(A1534,[1]Sheet1!$A$2:$Q$1536,17,FALSE)</f>
        <v>3881.8876953125</v>
      </c>
      <c r="W1534" s="28" t="s">
        <v>1988</v>
      </c>
    </row>
    <row r="1535" spans="1:23" x14ac:dyDescent="0.3">
      <c r="A1535" s="4" t="s">
        <v>1604</v>
      </c>
      <c r="B1535" s="5">
        <v>2016</v>
      </c>
      <c r="C1535" s="5" t="s">
        <v>1136</v>
      </c>
      <c r="D1535" s="15" t="s">
        <v>1605</v>
      </c>
      <c r="E1535" s="6">
        <v>95484</v>
      </c>
      <c r="F1535" s="5" t="s">
        <v>42</v>
      </c>
      <c r="G1535" s="5" t="s">
        <v>28</v>
      </c>
      <c r="H1535" s="5" t="s">
        <v>17</v>
      </c>
      <c r="I1535" s="5" t="s">
        <v>18</v>
      </c>
      <c r="J1535" s="7">
        <v>45538</v>
      </c>
      <c r="K1535" s="5" t="s">
        <v>17</v>
      </c>
      <c r="L1535" s="8">
        <v>44054</v>
      </c>
      <c r="M1535" s="19">
        <v>235</v>
      </c>
      <c r="N1535" s="19">
        <v>285</v>
      </c>
      <c r="O1535" s="24">
        <v>8600</v>
      </c>
      <c r="P1535" s="24">
        <v>8600</v>
      </c>
      <c r="R1535" s="19">
        <f>VLOOKUP(A1535,[1]Sheet1!$A$2:$Q$1536,15,FALSE)</f>
        <v>4173.91015625</v>
      </c>
      <c r="S1535" s="28" t="s">
        <v>1988</v>
      </c>
      <c r="T1535" s="19">
        <f>VLOOKUP(A1535,[1]Sheet1!$A$2:$Q$1536,16,FALSE)</f>
        <v>9143.339852774985</v>
      </c>
      <c r="U1535" s="28" t="s">
        <v>1988</v>
      </c>
      <c r="V1535" s="19">
        <f>VLOOKUP(A1535,[1]Sheet1!$A$2:$Q$1536,17,FALSE)</f>
        <v>4010.5322265625</v>
      </c>
      <c r="W1535" s="28" t="s">
        <v>1988</v>
      </c>
    </row>
    <row r="1536" spans="1:23" x14ac:dyDescent="0.3">
      <c r="A1536" s="9" t="s">
        <v>686</v>
      </c>
      <c r="B1536" s="10">
        <v>2021</v>
      </c>
      <c r="C1536" s="10" t="s">
        <v>684</v>
      </c>
      <c r="D1536" s="16" t="s">
        <v>687</v>
      </c>
      <c r="E1536" s="11">
        <v>85539</v>
      </c>
      <c r="F1536" s="10" t="s">
        <v>246</v>
      </c>
      <c r="G1536" s="10" t="s">
        <v>33</v>
      </c>
      <c r="H1536" s="10" t="s">
        <v>17</v>
      </c>
      <c r="I1536" s="10" t="s">
        <v>18</v>
      </c>
      <c r="J1536" s="12">
        <v>45645</v>
      </c>
      <c r="K1536" s="10" t="s">
        <v>17</v>
      </c>
      <c r="L1536" s="13">
        <v>44137</v>
      </c>
      <c r="M1536" s="19">
        <v>280</v>
      </c>
      <c r="N1536" s="19">
        <v>330</v>
      </c>
      <c r="O1536" s="24"/>
      <c r="P1536" s="24">
        <v>10800</v>
      </c>
      <c r="R1536" s="19">
        <f>VLOOKUP(A1536,[1]Sheet1!$A$2:$Q$1536,15,FALSE)</f>
        <v>13517.091796875</v>
      </c>
      <c r="S1536" s="27">
        <f t="shared" si="69"/>
        <v>0.20101156651929827</v>
      </c>
      <c r="T1536" s="19">
        <f>VLOOKUP(A1536,[1]Sheet1!$A$2:$Q$1536,16,FALSE)</f>
        <v>11978.587323196571</v>
      </c>
      <c r="U1536" s="27">
        <f t="shared" si="70"/>
        <v>9.8391178475130597E-2</v>
      </c>
      <c r="V1536" s="19">
        <f>VLOOKUP(A1536,[1]Sheet1!$A$2:$Q$1536,17,FALSE)</f>
        <v>13489.23046875</v>
      </c>
      <c r="W1536" s="27">
        <f t="shared" si="71"/>
        <v>0.19936129603390204</v>
      </c>
    </row>
    <row r="1538" spans="15:22" x14ac:dyDescent="0.3">
      <c r="O1538" s="23" t="s">
        <v>1993</v>
      </c>
      <c r="P1538" s="23">
        <f>SUM(P2:P1536)</f>
        <v>13800974.532749269</v>
      </c>
      <c r="R1538" s="23">
        <f>SUM(R2:R1536)</f>
        <v>9224917.9541931152</v>
      </c>
      <c r="T1538" s="23">
        <f>SUM(T2:T1536)</f>
        <v>15232201.854453588</v>
      </c>
      <c r="V1538" s="23">
        <f>SUM(V2:V1536)</f>
        <v>9197226.1219482422</v>
      </c>
    </row>
  </sheetData>
  <autoFilter ref="A1:Q1536" xr:uid="{3D9EC7A7-60FF-438F-B062-3DF2225E0377}">
    <sortState xmlns:xlrd2="http://schemas.microsoft.com/office/spreadsheetml/2017/richdata2" ref="A3:Q1535">
      <sortCondition ref="Q1:Q1536"/>
    </sortState>
  </autoFilter>
  <pageMargins left="0.7" right="0.7" top="0.75" bottom="0.75" header="0.3" footer="0.3"/>
  <ignoredErrors>
    <ignoredError sqref="T2:V153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B80E6-89F7-40A9-A4D4-119480A1AD13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0AFC5E7A-4707-438F-8519-B71D21A9AC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6018A-81ED-4C3A-815C-D6B7C4A89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Henry</dc:creator>
  <cp:lastModifiedBy>Chen Chen</cp:lastModifiedBy>
  <dcterms:created xsi:type="dcterms:W3CDTF">2025-03-25T19:16:38Z</dcterms:created>
  <dcterms:modified xsi:type="dcterms:W3CDTF">2025-08-26T18:57:14Z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